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ojasrivastava/Desktop/"/>
    </mc:Choice>
  </mc:AlternateContent>
  <xr:revisionPtr revIDLastSave="0" documentId="8_{7F4B65EB-08D3-1C40-93B0-E4B63E82F672}" xr6:coauthVersionLast="47" xr6:coauthVersionMax="47" xr10:uidLastSave="{00000000-0000-0000-0000-000000000000}"/>
  <bookViews>
    <workbookView xWindow="0" yWindow="660" windowWidth="29400" windowHeight="18460" activeTab="2" xr2:uid="{28DC0D3F-F1FA-594B-BE01-F80AE66CE22E}"/>
  </bookViews>
  <sheets>
    <sheet name="Claims Data" sheetId="1" r:id="rId1"/>
    <sheet name="Risk Rules" sheetId="2" r:id="rId2"/>
    <sheet name="Scored Claims" sheetId="3" r:id="rId3"/>
    <sheet name="Summary Dashboard" sheetId="4" r:id="rId4"/>
  </sheets>
  <definedNames>
    <definedName name="claims_raw" localSheetId="0">'Claims Data'!$A$1:$A$2001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J20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J2" i="3"/>
  <c r="I2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" i="3"/>
  <c r="G3" i="3"/>
  <c r="G4" i="3"/>
  <c r="G5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" i="3"/>
  <c r="E200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" i="3"/>
  <c r="A1998" i="3"/>
  <c r="B1998" i="3"/>
  <c r="C1998" i="3"/>
  <c r="A1999" i="3"/>
  <c r="B1999" i="3"/>
  <c r="C1999" i="3"/>
  <c r="A2000" i="3"/>
  <c r="B2000" i="3"/>
  <c r="C2000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A360" i="3"/>
  <c r="B360" i="3"/>
  <c r="C360" i="3"/>
  <c r="A361" i="3"/>
  <c r="B361" i="3"/>
  <c r="C361" i="3"/>
  <c r="A362" i="3"/>
  <c r="B362" i="3"/>
  <c r="C362" i="3"/>
  <c r="A363" i="3"/>
  <c r="B363" i="3"/>
  <c r="C363" i="3"/>
  <c r="A364" i="3"/>
  <c r="B364" i="3"/>
  <c r="C364" i="3"/>
  <c r="A365" i="3"/>
  <c r="B365" i="3"/>
  <c r="C365" i="3"/>
  <c r="A366" i="3"/>
  <c r="B366" i="3"/>
  <c r="C366" i="3"/>
  <c r="A367" i="3"/>
  <c r="B367" i="3"/>
  <c r="C367" i="3"/>
  <c r="A368" i="3"/>
  <c r="B368" i="3"/>
  <c r="C368" i="3"/>
  <c r="A369" i="3"/>
  <c r="B369" i="3"/>
  <c r="C369" i="3"/>
  <c r="A370" i="3"/>
  <c r="B370" i="3"/>
  <c r="C370" i="3"/>
  <c r="A371" i="3"/>
  <c r="B371" i="3"/>
  <c r="C371" i="3"/>
  <c r="A372" i="3"/>
  <c r="B372" i="3"/>
  <c r="C372" i="3"/>
  <c r="A373" i="3"/>
  <c r="B373" i="3"/>
  <c r="C373" i="3"/>
  <c r="A374" i="3"/>
  <c r="B374" i="3"/>
  <c r="C374" i="3"/>
  <c r="A375" i="3"/>
  <c r="B375" i="3"/>
  <c r="C375" i="3"/>
  <c r="A376" i="3"/>
  <c r="B376" i="3"/>
  <c r="C376" i="3"/>
  <c r="A377" i="3"/>
  <c r="B377" i="3"/>
  <c r="C377" i="3"/>
  <c r="A378" i="3"/>
  <c r="B378" i="3"/>
  <c r="C378" i="3"/>
  <c r="A379" i="3"/>
  <c r="B379" i="3"/>
  <c r="C379" i="3"/>
  <c r="A380" i="3"/>
  <c r="B380" i="3"/>
  <c r="C380" i="3"/>
  <c r="A381" i="3"/>
  <c r="B381" i="3"/>
  <c r="C381" i="3"/>
  <c r="A382" i="3"/>
  <c r="B382" i="3"/>
  <c r="C382" i="3"/>
  <c r="A383" i="3"/>
  <c r="B383" i="3"/>
  <c r="C383" i="3"/>
  <c r="A384" i="3"/>
  <c r="B384" i="3"/>
  <c r="C384" i="3"/>
  <c r="A385" i="3"/>
  <c r="B385" i="3"/>
  <c r="C385" i="3"/>
  <c r="A386" i="3"/>
  <c r="B386" i="3"/>
  <c r="C386" i="3"/>
  <c r="A387" i="3"/>
  <c r="B387" i="3"/>
  <c r="C387" i="3"/>
  <c r="A388" i="3"/>
  <c r="B388" i="3"/>
  <c r="C388" i="3"/>
  <c r="A389" i="3"/>
  <c r="B389" i="3"/>
  <c r="C389" i="3"/>
  <c r="A390" i="3"/>
  <c r="B390" i="3"/>
  <c r="C390" i="3"/>
  <c r="A391" i="3"/>
  <c r="B391" i="3"/>
  <c r="C391" i="3"/>
  <c r="A392" i="3"/>
  <c r="B392" i="3"/>
  <c r="C392" i="3"/>
  <c r="A393" i="3"/>
  <c r="B393" i="3"/>
  <c r="C393" i="3"/>
  <c r="A394" i="3"/>
  <c r="B394" i="3"/>
  <c r="C394" i="3"/>
  <c r="A395" i="3"/>
  <c r="B395" i="3"/>
  <c r="C395" i="3"/>
  <c r="A396" i="3"/>
  <c r="B396" i="3"/>
  <c r="C396" i="3"/>
  <c r="A397" i="3"/>
  <c r="B397" i="3"/>
  <c r="C397" i="3"/>
  <c r="A398" i="3"/>
  <c r="B398" i="3"/>
  <c r="C398" i="3"/>
  <c r="A399" i="3"/>
  <c r="B399" i="3"/>
  <c r="C399" i="3"/>
  <c r="A400" i="3"/>
  <c r="B400" i="3"/>
  <c r="C400" i="3"/>
  <c r="A401" i="3"/>
  <c r="B401" i="3"/>
  <c r="C401" i="3"/>
  <c r="A402" i="3"/>
  <c r="B402" i="3"/>
  <c r="C402" i="3"/>
  <c r="A403" i="3"/>
  <c r="B403" i="3"/>
  <c r="C403" i="3"/>
  <c r="A404" i="3"/>
  <c r="B404" i="3"/>
  <c r="C404" i="3"/>
  <c r="A405" i="3"/>
  <c r="B405" i="3"/>
  <c r="C405" i="3"/>
  <c r="A406" i="3"/>
  <c r="B406" i="3"/>
  <c r="C406" i="3"/>
  <c r="A407" i="3"/>
  <c r="B407" i="3"/>
  <c r="C407" i="3"/>
  <c r="A408" i="3"/>
  <c r="B408" i="3"/>
  <c r="C408" i="3"/>
  <c r="A409" i="3"/>
  <c r="B409" i="3"/>
  <c r="C409" i="3"/>
  <c r="A410" i="3"/>
  <c r="B410" i="3"/>
  <c r="C410" i="3"/>
  <c r="A411" i="3"/>
  <c r="B411" i="3"/>
  <c r="C411" i="3"/>
  <c r="A412" i="3"/>
  <c r="B412" i="3"/>
  <c r="C412" i="3"/>
  <c r="A413" i="3"/>
  <c r="B413" i="3"/>
  <c r="C413" i="3"/>
  <c r="A414" i="3"/>
  <c r="B414" i="3"/>
  <c r="C414" i="3"/>
  <c r="A415" i="3"/>
  <c r="B415" i="3"/>
  <c r="C415" i="3"/>
  <c r="A416" i="3"/>
  <c r="B416" i="3"/>
  <c r="C416" i="3"/>
  <c r="A417" i="3"/>
  <c r="B417" i="3"/>
  <c r="C417" i="3"/>
  <c r="A418" i="3"/>
  <c r="B418" i="3"/>
  <c r="C418" i="3"/>
  <c r="A419" i="3"/>
  <c r="B419" i="3"/>
  <c r="C419" i="3"/>
  <c r="A420" i="3"/>
  <c r="B420" i="3"/>
  <c r="C420" i="3"/>
  <c r="A421" i="3"/>
  <c r="B421" i="3"/>
  <c r="C421" i="3"/>
  <c r="A422" i="3"/>
  <c r="B422" i="3"/>
  <c r="C422" i="3"/>
  <c r="A423" i="3"/>
  <c r="B423" i="3"/>
  <c r="C423" i="3"/>
  <c r="A424" i="3"/>
  <c r="B424" i="3"/>
  <c r="C424" i="3"/>
  <c r="A425" i="3"/>
  <c r="B425" i="3"/>
  <c r="C425" i="3"/>
  <c r="A426" i="3"/>
  <c r="B426" i="3"/>
  <c r="C426" i="3"/>
  <c r="A427" i="3"/>
  <c r="B427" i="3"/>
  <c r="C427" i="3"/>
  <c r="A428" i="3"/>
  <c r="B428" i="3"/>
  <c r="C428" i="3"/>
  <c r="A429" i="3"/>
  <c r="B429" i="3"/>
  <c r="C429" i="3"/>
  <c r="A430" i="3"/>
  <c r="B430" i="3"/>
  <c r="C430" i="3"/>
  <c r="A431" i="3"/>
  <c r="B431" i="3"/>
  <c r="C431" i="3"/>
  <c r="A432" i="3"/>
  <c r="B432" i="3"/>
  <c r="C432" i="3"/>
  <c r="A433" i="3"/>
  <c r="B433" i="3"/>
  <c r="C433" i="3"/>
  <c r="A434" i="3"/>
  <c r="B434" i="3"/>
  <c r="C434" i="3"/>
  <c r="A435" i="3"/>
  <c r="B435" i="3"/>
  <c r="C435" i="3"/>
  <c r="A436" i="3"/>
  <c r="B436" i="3"/>
  <c r="C436" i="3"/>
  <c r="A437" i="3"/>
  <c r="B437" i="3"/>
  <c r="C437" i="3"/>
  <c r="A438" i="3"/>
  <c r="B438" i="3"/>
  <c r="C438" i="3"/>
  <c r="A439" i="3"/>
  <c r="B439" i="3"/>
  <c r="C439" i="3"/>
  <c r="A440" i="3"/>
  <c r="B440" i="3"/>
  <c r="C440" i="3"/>
  <c r="A441" i="3"/>
  <c r="B441" i="3"/>
  <c r="C441" i="3"/>
  <c r="A442" i="3"/>
  <c r="B442" i="3"/>
  <c r="C442" i="3"/>
  <c r="A443" i="3"/>
  <c r="B443" i="3"/>
  <c r="C443" i="3"/>
  <c r="A444" i="3"/>
  <c r="B444" i="3"/>
  <c r="C444" i="3"/>
  <c r="A445" i="3"/>
  <c r="B445" i="3"/>
  <c r="C445" i="3"/>
  <c r="A446" i="3"/>
  <c r="B446" i="3"/>
  <c r="C446" i="3"/>
  <c r="A447" i="3"/>
  <c r="B447" i="3"/>
  <c r="C447" i="3"/>
  <c r="A448" i="3"/>
  <c r="B448" i="3"/>
  <c r="C448" i="3"/>
  <c r="A449" i="3"/>
  <c r="B449" i="3"/>
  <c r="C449" i="3"/>
  <c r="A450" i="3"/>
  <c r="B450" i="3"/>
  <c r="C450" i="3"/>
  <c r="A451" i="3"/>
  <c r="B451" i="3"/>
  <c r="C451" i="3"/>
  <c r="A452" i="3"/>
  <c r="B452" i="3"/>
  <c r="C452" i="3"/>
  <c r="A453" i="3"/>
  <c r="B453" i="3"/>
  <c r="C453" i="3"/>
  <c r="A454" i="3"/>
  <c r="B454" i="3"/>
  <c r="C454" i="3"/>
  <c r="A455" i="3"/>
  <c r="B455" i="3"/>
  <c r="C455" i="3"/>
  <c r="A456" i="3"/>
  <c r="B456" i="3"/>
  <c r="C456" i="3"/>
  <c r="A457" i="3"/>
  <c r="B457" i="3"/>
  <c r="C457" i="3"/>
  <c r="A458" i="3"/>
  <c r="B458" i="3"/>
  <c r="C458" i="3"/>
  <c r="A459" i="3"/>
  <c r="B459" i="3"/>
  <c r="C459" i="3"/>
  <c r="A460" i="3"/>
  <c r="B460" i="3"/>
  <c r="C460" i="3"/>
  <c r="A461" i="3"/>
  <c r="B461" i="3"/>
  <c r="C461" i="3"/>
  <c r="A462" i="3"/>
  <c r="B462" i="3"/>
  <c r="C462" i="3"/>
  <c r="A463" i="3"/>
  <c r="B463" i="3"/>
  <c r="C463" i="3"/>
  <c r="A464" i="3"/>
  <c r="B464" i="3"/>
  <c r="C464" i="3"/>
  <c r="A465" i="3"/>
  <c r="B465" i="3"/>
  <c r="C465" i="3"/>
  <c r="A466" i="3"/>
  <c r="B466" i="3"/>
  <c r="C466" i="3"/>
  <c r="A467" i="3"/>
  <c r="B467" i="3"/>
  <c r="C467" i="3"/>
  <c r="A468" i="3"/>
  <c r="B468" i="3"/>
  <c r="C468" i="3"/>
  <c r="A469" i="3"/>
  <c r="B469" i="3"/>
  <c r="C469" i="3"/>
  <c r="A470" i="3"/>
  <c r="B470" i="3"/>
  <c r="C470" i="3"/>
  <c r="A471" i="3"/>
  <c r="B471" i="3"/>
  <c r="C471" i="3"/>
  <c r="A472" i="3"/>
  <c r="B472" i="3"/>
  <c r="C472" i="3"/>
  <c r="A473" i="3"/>
  <c r="B473" i="3"/>
  <c r="C473" i="3"/>
  <c r="A474" i="3"/>
  <c r="B474" i="3"/>
  <c r="C474" i="3"/>
  <c r="A475" i="3"/>
  <c r="B475" i="3"/>
  <c r="C475" i="3"/>
  <c r="A476" i="3"/>
  <c r="B476" i="3"/>
  <c r="C476" i="3"/>
  <c r="A477" i="3"/>
  <c r="B477" i="3"/>
  <c r="C477" i="3"/>
  <c r="A478" i="3"/>
  <c r="B478" i="3"/>
  <c r="C478" i="3"/>
  <c r="A479" i="3"/>
  <c r="B479" i="3"/>
  <c r="C479" i="3"/>
  <c r="A480" i="3"/>
  <c r="B480" i="3"/>
  <c r="C480" i="3"/>
  <c r="A481" i="3"/>
  <c r="B481" i="3"/>
  <c r="C481" i="3"/>
  <c r="A482" i="3"/>
  <c r="B482" i="3"/>
  <c r="C482" i="3"/>
  <c r="A483" i="3"/>
  <c r="B483" i="3"/>
  <c r="C483" i="3"/>
  <c r="A484" i="3"/>
  <c r="B484" i="3"/>
  <c r="C484" i="3"/>
  <c r="A485" i="3"/>
  <c r="B485" i="3"/>
  <c r="C485" i="3"/>
  <c r="A486" i="3"/>
  <c r="B486" i="3"/>
  <c r="C486" i="3"/>
  <c r="A487" i="3"/>
  <c r="B487" i="3"/>
  <c r="C487" i="3"/>
  <c r="A488" i="3"/>
  <c r="B488" i="3"/>
  <c r="C488" i="3"/>
  <c r="A489" i="3"/>
  <c r="B489" i="3"/>
  <c r="C489" i="3"/>
  <c r="A490" i="3"/>
  <c r="B490" i="3"/>
  <c r="C490" i="3"/>
  <c r="A491" i="3"/>
  <c r="B491" i="3"/>
  <c r="C491" i="3"/>
  <c r="A492" i="3"/>
  <c r="B492" i="3"/>
  <c r="C492" i="3"/>
  <c r="A493" i="3"/>
  <c r="B493" i="3"/>
  <c r="C493" i="3"/>
  <c r="A494" i="3"/>
  <c r="B494" i="3"/>
  <c r="C494" i="3"/>
  <c r="A495" i="3"/>
  <c r="B495" i="3"/>
  <c r="C495" i="3"/>
  <c r="A496" i="3"/>
  <c r="B496" i="3"/>
  <c r="C496" i="3"/>
  <c r="A497" i="3"/>
  <c r="B497" i="3"/>
  <c r="C497" i="3"/>
  <c r="A498" i="3"/>
  <c r="B498" i="3"/>
  <c r="C498" i="3"/>
  <c r="A499" i="3"/>
  <c r="B499" i="3"/>
  <c r="C499" i="3"/>
  <c r="A500" i="3"/>
  <c r="B500" i="3"/>
  <c r="C500" i="3"/>
  <c r="A501" i="3"/>
  <c r="B501" i="3"/>
  <c r="C501" i="3"/>
  <c r="A502" i="3"/>
  <c r="B502" i="3"/>
  <c r="C502" i="3"/>
  <c r="A503" i="3"/>
  <c r="B503" i="3"/>
  <c r="C503" i="3"/>
  <c r="A504" i="3"/>
  <c r="B504" i="3"/>
  <c r="C504" i="3"/>
  <c r="A505" i="3"/>
  <c r="B505" i="3"/>
  <c r="C505" i="3"/>
  <c r="A506" i="3"/>
  <c r="B506" i="3"/>
  <c r="C506" i="3"/>
  <c r="A507" i="3"/>
  <c r="B507" i="3"/>
  <c r="C507" i="3"/>
  <c r="A508" i="3"/>
  <c r="B508" i="3"/>
  <c r="C508" i="3"/>
  <c r="A509" i="3"/>
  <c r="B509" i="3"/>
  <c r="C509" i="3"/>
  <c r="A510" i="3"/>
  <c r="B510" i="3"/>
  <c r="C510" i="3"/>
  <c r="A511" i="3"/>
  <c r="B511" i="3"/>
  <c r="C511" i="3"/>
  <c r="A512" i="3"/>
  <c r="B512" i="3"/>
  <c r="C512" i="3"/>
  <c r="A513" i="3"/>
  <c r="B513" i="3"/>
  <c r="C513" i="3"/>
  <c r="A514" i="3"/>
  <c r="B514" i="3"/>
  <c r="C514" i="3"/>
  <c r="A515" i="3"/>
  <c r="B515" i="3"/>
  <c r="C515" i="3"/>
  <c r="A516" i="3"/>
  <c r="B516" i="3"/>
  <c r="C516" i="3"/>
  <c r="A517" i="3"/>
  <c r="B517" i="3"/>
  <c r="C517" i="3"/>
  <c r="A518" i="3"/>
  <c r="B518" i="3"/>
  <c r="C518" i="3"/>
  <c r="A519" i="3"/>
  <c r="B519" i="3"/>
  <c r="C519" i="3"/>
  <c r="A520" i="3"/>
  <c r="B520" i="3"/>
  <c r="C520" i="3"/>
  <c r="A521" i="3"/>
  <c r="B521" i="3"/>
  <c r="C521" i="3"/>
  <c r="A522" i="3"/>
  <c r="B522" i="3"/>
  <c r="C522" i="3"/>
  <c r="A523" i="3"/>
  <c r="B523" i="3"/>
  <c r="C523" i="3"/>
  <c r="A524" i="3"/>
  <c r="B524" i="3"/>
  <c r="C524" i="3"/>
  <c r="A525" i="3"/>
  <c r="B525" i="3"/>
  <c r="C525" i="3"/>
  <c r="A526" i="3"/>
  <c r="B526" i="3"/>
  <c r="C526" i="3"/>
  <c r="A527" i="3"/>
  <c r="B527" i="3"/>
  <c r="C527" i="3"/>
  <c r="A528" i="3"/>
  <c r="B528" i="3"/>
  <c r="C528" i="3"/>
  <c r="A529" i="3"/>
  <c r="B529" i="3"/>
  <c r="C529" i="3"/>
  <c r="A530" i="3"/>
  <c r="B530" i="3"/>
  <c r="C530" i="3"/>
  <c r="A531" i="3"/>
  <c r="B531" i="3"/>
  <c r="C531" i="3"/>
  <c r="A532" i="3"/>
  <c r="B532" i="3"/>
  <c r="C532" i="3"/>
  <c r="A533" i="3"/>
  <c r="B533" i="3"/>
  <c r="C533" i="3"/>
  <c r="A534" i="3"/>
  <c r="B534" i="3"/>
  <c r="C534" i="3"/>
  <c r="A535" i="3"/>
  <c r="B535" i="3"/>
  <c r="C535" i="3"/>
  <c r="A536" i="3"/>
  <c r="B536" i="3"/>
  <c r="C536" i="3"/>
  <c r="A537" i="3"/>
  <c r="B537" i="3"/>
  <c r="C537" i="3"/>
  <c r="A538" i="3"/>
  <c r="B538" i="3"/>
  <c r="C538" i="3"/>
  <c r="A539" i="3"/>
  <c r="B539" i="3"/>
  <c r="C539" i="3"/>
  <c r="A540" i="3"/>
  <c r="B540" i="3"/>
  <c r="C540" i="3"/>
  <c r="A541" i="3"/>
  <c r="B541" i="3"/>
  <c r="C541" i="3"/>
  <c r="A542" i="3"/>
  <c r="B542" i="3"/>
  <c r="C542" i="3"/>
  <c r="A543" i="3"/>
  <c r="B543" i="3"/>
  <c r="C543" i="3"/>
  <c r="A544" i="3"/>
  <c r="B544" i="3"/>
  <c r="C544" i="3"/>
  <c r="A545" i="3"/>
  <c r="B545" i="3"/>
  <c r="C545" i="3"/>
  <c r="A546" i="3"/>
  <c r="B546" i="3"/>
  <c r="C546" i="3"/>
  <c r="A547" i="3"/>
  <c r="B547" i="3"/>
  <c r="C547" i="3"/>
  <c r="A548" i="3"/>
  <c r="B548" i="3"/>
  <c r="C548" i="3"/>
  <c r="A549" i="3"/>
  <c r="B549" i="3"/>
  <c r="C549" i="3"/>
  <c r="A550" i="3"/>
  <c r="B550" i="3"/>
  <c r="C550" i="3"/>
  <c r="A551" i="3"/>
  <c r="B551" i="3"/>
  <c r="C551" i="3"/>
  <c r="A552" i="3"/>
  <c r="B552" i="3"/>
  <c r="C552" i="3"/>
  <c r="A553" i="3"/>
  <c r="B553" i="3"/>
  <c r="C553" i="3"/>
  <c r="A554" i="3"/>
  <c r="B554" i="3"/>
  <c r="C554" i="3"/>
  <c r="A555" i="3"/>
  <c r="B555" i="3"/>
  <c r="C555" i="3"/>
  <c r="A556" i="3"/>
  <c r="B556" i="3"/>
  <c r="C556" i="3"/>
  <c r="A557" i="3"/>
  <c r="B557" i="3"/>
  <c r="C557" i="3"/>
  <c r="A558" i="3"/>
  <c r="B558" i="3"/>
  <c r="C558" i="3"/>
  <c r="A559" i="3"/>
  <c r="B559" i="3"/>
  <c r="C559" i="3"/>
  <c r="A560" i="3"/>
  <c r="B560" i="3"/>
  <c r="C560" i="3"/>
  <c r="A561" i="3"/>
  <c r="B561" i="3"/>
  <c r="C561" i="3"/>
  <c r="A562" i="3"/>
  <c r="B562" i="3"/>
  <c r="C562" i="3"/>
  <c r="A563" i="3"/>
  <c r="B563" i="3"/>
  <c r="C563" i="3"/>
  <c r="A564" i="3"/>
  <c r="B564" i="3"/>
  <c r="C564" i="3"/>
  <c r="A565" i="3"/>
  <c r="B565" i="3"/>
  <c r="C565" i="3"/>
  <c r="A566" i="3"/>
  <c r="B566" i="3"/>
  <c r="C566" i="3"/>
  <c r="A567" i="3"/>
  <c r="B567" i="3"/>
  <c r="C567" i="3"/>
  <c r="A568" i="3"/>
  <c r="B568" i="3"/>
  <c r="C568" i="3"/>
  <c r="A569" i="3"/>
  <c r="B569" i="3"/>
  <c r="C569" i="3"/>
  <c r="A570" i="3"/>
  <c r="B570" i="3"/>
  <c r="C570" i="3"/>
  <c r="A571" i="3"/>
  <c r="B571" i="3"/>
  <c r="C571" i="3"/>
  <c r="A572" i="3"/>
  <c r="B572" i="3"/>
  <c r="C572" i="3"/>
  <c r="A573" i="3"/>
  <c r="B573" i="3"/>
  <c r="C573" i="3"/>
  <c r="A574" i="3"/>
  <c r="B574" i="3"/>
  <c r="C574" i="3"/>
  <c r="A575" i="3"/>
  <c r="B575" i="3"/>
  <c r="C575" i="3"/>
  <c r="A576" i="3"/>
  <c r="B576" i="3"/>
  <c r="C576" i="3"/>
  <c r="A577" i="3"/>
  <c r="B577" i="3"/>
  <c r="C577" i="3"/>
  <c r="A578" i="3"/>
  <c r="B578" i="3"/>
  <c r="C578" i="3"/>
  <c r="A579" i="3"/>
  <c r="B579" i="3"/>
  <c r="C579" i="3"/>
  <c r="A580" i="3"/>
  <c r="B580" i="3"/>
  <c r="C580" i="3"/>
  <c r="A581" i="3"/>
  <c r="B581" i="3"/>
  <c r="C581" i="3"/>
  <c r="A582" i="3"/>
  <c r="B582" i="3"/>
  <c r="C582" i="3"/>
  <c r="A583" i="3"/>
  <c r="B583" i="3"/>
  <c r="C583" i="3"/>
  <c r="A584" i="3"/>
  <c r="B584" i="3"/>
  <c r="C584" i="3"/>
  <c r="A585" i="3"/>
  <c r="B585" i="3"/>
  <c r="C585" i="3"/>
  <c r="A586" i="3"/>
  <c r="B586" i="3"/>
  <c r="C586" i="3"/>
  <c r="A587" i="3"/>
  <c r="B587" i="3"/>
  <c r="C587" i="3"/>
  <c r="A588" i="3"/>
  <c r="B588" i="3"/>
  <c r="C588" i="3"/>
  <c r="A589" i="3"/>
  <c r="B589" i="3"/>
  <c r="C589" i="3"/>
  <c r="A590" i="3"/>
  <c r="B590" i="3"/>
  <c r="C590" i="3"/>
  <c r="A591" i="3"/>
  <c r="B591" i="3"/>
  <c r="C591" i="3"/>
  <c r="A592" i="3"/>
  <c r="B592" i="3"/>
  <c r="C592" i="3"/>
  <c r="A593" i="3"/>
  <c r="B593" i="3"/>
  <c r="C593" i="3"/>
  <c r="A594" i="3"/>
  <c r="B594" i="3"/>
  <c r="C594" i="3"/>
  <c r="A595" i="3"/>
  <c r="B595" i="3"/>
  <c r="C595" i="3"/>
  <c r="A596" i="3"/>
  <c r="B596" i="3"/>
  <c r="C596" i="3"/>
  <c r="A597" i="3"/>
  <c r="B597" i="3"/>
  <c r="C597" i="3"/>
  <c r="A598" i="3"/>
  <c r="B598" i="3"/>
  <c r="C598" i="3"/>
  <c r="A599" i="3"/>
  <c r="B599" i="3"/>
  <c r="C599" i="3"/>
  <c r="A600" i="3"/>
  <c r="B600" i="3"/>
  <c r="C600" i="3"/>
  <c r="A601" i="3"/>
  <c r="B601" i="3"/>
  <c r="C601" i="3"/>
  <c r="A602" i="3"/>
  <c r="B602" i="3"/>
  <c r="C602" i="3"/>
  <c r="A603" i="3"/>
  <c r="B603" i="3"/>
  <c r="C603" i="3"/>
  <c r="A604" i="3"/>
  <c r="B604" i="3"/>
  <c r="C604" i="3"/>
  <c r="A605" i="3"/>
  <c r="B605" i="3"/>
  <c r="C605" i="3"/>
  <c r="A606" i="3"/>
  <c r="B606" i="3"/>
  <c r="C606" i="3"/>
  <c r="A607" i="3"/>
  <c r="B607" i="3"/>
  <c r="C607" i="3"/>
  <c r="A608" i="3"/>
  <c r="B608" i="3"/>
  <c r="C608" i="3"/>
  <c r="A609" i="3"/>
  <c r="B609" i="3"/>
  <c r="C609" i="3"/>
  <c r="A610" i="3"/>
  <c r="B610" i="3"/>
  <c r="C610" i="3"/>
  <c r="A611" i="3"/>
  <c r="B611" i="3"/>
  <c r="C611" i="3"/>
  <c r="A612" i="3"/>
  <c r="B612" i="3"/>
  <c r="C612" i="3"/>
  <c r="A613" i="3"/>
  <c r="B613" i="3"/>
  <c r="C613" i="3"/>
  <c r="A614" i="3"/>
  <c r="B614" i="3"/>
  <c r="C614" i="3"/>
  <c r="A615" i="3"/>
  <c r="B615" i="3"/>
  <c r="C615" i="3"/>
  <c r="A616" i="3"/>
  <c r="B616" i="3"/>
  <c r="C616" i="3"/>
  <c r="A617" i="3"/>
  <c r="B617" i="3"/>
  <c r="C617" i="3"/>
  <c r="A618" i="3"/>
  <c r="B618" i="3"/>
  <c r="C618" i="3"/>
  <c r="A619" i="3"/>
  <c r="B619" i="3"/>
  <c r="C619" i="3"/>
  <c r="A620" i="3"/>
  <c r="B620" i="3"/>
  <c r="C620" i="3"/>
  <c r="A621" i="3"/>
  <c r="B621" i="3"/>
  <c r="C621" i="3"/>
  <c r="A622" i="3"/>
  <c r="B622" i="3"/>
  <c r="C622" i="3"/>
  <c r="A623" i="3"/>
  <c r="B623" i="3"/>
  <c r="C623" i="3"/>
  <c r="A624" i="3"/>
  <c r="B624" i="3"/>
  <c r="C624" i="3"/>
  <c r="A625" i="3"/>
  <c r="B625" i="3"/>
  <c r="C625" i="3"/>
  <c r="A626" i="3"/>
  <c r="B626" i="3"/>
  <c r="C626" i="3"/>
  <c r="A627" i="3"/>
  <c r="B627" i="3"/>
  <c r="C627" i="3"/>
  <c r="A628" i="3"/>
  <c r="B628" i="3"/>
  <c r="C628" i="3"/>
  <c r="A629" i="3"/>
  <c r="B629" i="3"/>
  <c r="C629" i="3"/>
  <c r="A630" i="3"/>
  <c r="B630" i="3"/>
  <c r="C630" i="3"/>
  <c r="A631" i="3"/>
  <c r="B631" i="3"/>
  <c r="C631" i="3"/>
  <c r="A632" i="3"/>
  <c r="B632" i="3"/>
  <c r="C632" i="3"/>
  <c r="A633" i="3"/>
  <c r="B633" i="3"/>
  <c r="C633" i="3"/>
  <c r="A634" i="3"/>
  <c r="B634" i="3"/>
  <c r="C634" i="3"/>
  <c r="A635" i="3"/>
  <c r="B635" i="3"/>
  <c r="C635" i="3"/>
  <c r="A636" i="3"/>
  <c r="B636" i="3"/>
  <c r="C636" i="3"/>
  <c r="A637" i="3"/>
  <c r="B637" i="3"/>
  <c r="C637" i="3"/>
  <c r="A638" i="3"/>
  <c r="B638" i="3"/>
  <c r="C638" i="3"/>
  <c r="A639" i="3"/>
  <c r="B639" i="3"/>
  <c r="C639" i="3"/>
  <c r="A640" i="3"/>
  <c r="B640" i="3"/>
  <c r="C640" i="3"/>
  <c r="A641" i="3"/>
  <c r="B641" i="3"/>
  <c r="C641" i="3"/>
  <c r="A642" i="3"/>
  <c r="B642" i="3"/>
  <c r="C642" i="3"/>
  <c r="A643" i="3"/>
  <c r="B643" i="3"/>
  <c r="C643" i="3"/>
  <c r="A644" i="3"/>
  <c r="B644" i="3"/>
  <c r="C644" i="3"/>
  <c r="A645" i="3"/>
  <c r="B645" i="3"/>
  <c r="C645" i="3"/>
  <c r="A646" i="3"/>
  <c r="B646" i="3"/>
  <c r="C646" i="3"/>
  <c r="A647" i="3"/>
  <c r="B647" i="3"/>
  <c r="C647" i="3"/>
  <c r="A648" i="3"/>
  <c r="B648" i="3"/>
  <c r="C648" i="3"/>
  <c r="A649" i="3"/>
  <c r="B649" i="3"/>
  <c r="C649" i="3"/>
  <c r="A650" i="3"/>
  <c r="B650" i="3"/>
  <c r="C650" i="3"/>
  <c r="A651" i="3"/>
  <c r="B651" i="3"/>
  <c r="C651" i="3"/>
  <c r="A652" i="3"/>
  <c r="B652" i="3"/>
  <c r="C652" i="3"/>
  <c r="A653" i="3"/>
  <c r="B653" i="3"/>
  <c r="C653" i="3"/>
  <c r="A654" i="3"/>
  <c r="B654" i="3"/>
  <c r="C654" i="3"/>
  <c r="A655" i="3"/>
  <c r="B655" i="3"/>
  <c r="C655" i="3"/>
  <c r="A656" i="3"/>
  <c r="B656" i="3"/>
  <c r="C656" i="3"/>
  <c r="A657" i="3"/>
  <c r="B657" i="3"/>
  <c r="C657" i="3"/>
  <c r="A658" i="3"/>
  <c r="B658" i="3"/>
  <c r="C658" i="3"/>
  <c r="A659" i="3"/>
  <c r="B659" i="3"/>
  <c r="C659" i="3"/>
  <c r="A660" i="3"/>
  <c r="B660" i="3"/>
  <c r="C660" i="3"/>
  <c r="A661" i="3"/>
  <c r="B661" i="3"/>
  <c r="C661" i="3"/>
  <c r="A662" i="3"/>
  <c r="B662" i="3"/>
  <c r="C662" i="3"/>
  <c r="A663" i="3"/>
  <c r="B663" i="3"/>
  <c r="C663" i="3"/>
  <c r="A664" i="3"/>
  <c r="B664" i="3"/>
  <c r="C664" i="3"/>
  <c r="A665" i="3"/>
  <c r="B665" i="3"/>
  <c r="C665" i="3"/>
  <c r="A666" i="3"/>
  <c r="B666" i="3"/>
  <c r="C666" i="3"/>
  <c r="A667" i="3"/>
  <c r="B667" i="3"/>
  <c r="C667" i="3"/>
  <c r="A668" i="3"/>
  <c r="B668" i="3"/>
  <c r="C668" i="3"/>
  <c r="A669" i="3"/>
  <c r="B669" i="3"/>
  <c r="C669" i="3"/>
  <c r="A670" i="3"/>
  <c r="B670" i="3"/>
  <c r="C670" i="3"/>
  <c r="A671" i="3"/>
  <c r="B671" i="3"/>
  <c r="C671" i="3"/>
  <c r="A672" i="3"/>
  <c r="B672" i="3"/>
  <c r="C672" i="3"/>
  <c r="A673" i="3"/>
  <c r="B673" i="3"/>
  <c r="C673" i="3"/>
  <c r="A674" i="3"/>
  <c r="B674" i="3"/>
  <c r="C674" i="3"/>
  <c r="A675" i="3"/>
  <c r="B675" i="3"/>
  <c r="C675" i="3"/>
  <c r="A676" i="3"/>
  <c r="B676" i="3"/>
  <c r="C676" i="3"/>
  <c r="A677" i="3"/>
  <c r="B677" i="3"/>
  <c r="C677" i="3"/>
  <c r="A678" i="3"/>
  <c r="B678" i="3"/>
  <c r="C678" i="3"/>
  <c r="A679" i="3"/>
  <c r="B679" i="3"/>
  <c r="C679" i="3"/>
  <c r="A680" i="3"/>
  <c r="B680" i="3"/>
  <c r="C680" i="3"/>
  <c r="A681" i="3"/>
  <c r="B681" i="3"/>
  <c r="C681" i="3"/>
  <c r="A682" i="3"/>
  <c r="B682" i="3"/>
  <c r="C682" i="3"/>
  <c r="A683" i="3"/>
  <c r="B683" i="3"/>
  <c r="C683" i="3"/>
  <c r="A684" i="3"/>
  <c r="B684" i="3"/>
  <c r="C684" i="3"/>
  <c r="A685" i="3"/>
  <c r="B685" i="3"/>
  <c r="C685" i="3"/>
  <c r="A686" i="3"/>
  <c r="B686" i="3"/>
  <c r="C686" i="3"/>
  <c r="A687" i="3"/>
  <c r="B687" i="3"/>
  <c r="C687" i="3"/>
  <c r="A688" i="3"/>
  <c r="B688" i="3"/>
  <c r="C688" i="3"/>
  <c r="A689" i="3"/>
  <c r="B689" i="3"/>
  <c r="C689" i="3"/>
  <c r="A690" i="3"/>
  <c r="B690" i="3"/>
  <c r="C690" i="3"/>
  <c r="A691" i="3"/>
  <c r="B691" i="3"/>
  <c r="C691" i="3"/>
  <c r="A692" i="3"/>
  <c r="B692" i="3"/>
  <c r="C692" i="3"/>
  <c r="A693" i="3"/>
  <c r="B693" i="3"/>
  <c r="C693" i="3"/>
  <c r="A694" i="3"/>
  <c r="B694" i="3"/>
  <c r="C694" i="3"/>
  <c r="A695" i="3"/>
  <c r="B695" i="3"/>
  <c r="C695" i="3"/>
  <c r="A696" i="3"/>
  <c r="B696" i="3"/>
  <c r="C696" i="3"/>
  <c r="A697" i="3"/>
  <c r="B697" i="3"/>
  <c r="C697" i="3"/>
  <c r="A698" i="3"/>
  <c r="B698" i="3"/>
  <c r="C698" i="3"/>
  <c r="A699" i="3"/>
  <c r="B699" i="3"/>
  <c r="C699" i="3"/>
  <c r="A700" i="3"/>
  <c r="B700" i="3"/>
  <c r="C700" i="3"/>
  <c r="A701" i="3"/>
  <c r="B701" i="3"/>
  <c r="C701" i="3"/>
  <c r="A702" i="3"/>
  <c r="B702" i="3"/>
  <c r="C702" i="3"/>
  <c r="A703" i="3"/>
  <c r="B703" i="3"/>
  <c r="C703" i="3"/>
  <c r="A704" i="3"/>
  <c r="B704" i="3"/>
  <c r="C704" i="3"/>
  <c r="A705" i="3"/>
  <c r="B705" i="3"/>
  <c r="C705" i="3"/>
  <c r="A706" i="3"/>
  <c r="B706" i="3"/>
  <c r="C706" i="3"/>
  <c r="A707" i="3"/>
  <c r="B707" i="3"/>
  <c r="C707" i="3"/>
  <c r="A708" i="3"/>
  <c r="B708" i="3"/>
  <c r="C708" i="3"/>
  <c r="A709" i="3"/>
  <c r="B709" i="3"/>
  <c r="C709" i="3"/>
  <c r="A710" i="3"/>
  <c r="B710" i="3"/>
  <c r="C710" i="3"/>
  <c r="A711" i="3"/>
  <c r="B711" i="3"/>
  <c r="C711" i="3"/>
  <c r="A712" i="3"/>
  <c r="B712" i="3"/>
  <c r="C712" i="3"/>
  <c r="A713" i="3"/>
  <c r="B713" i="3"/>
  <c r="C713" i="3"/>
  <c r="A714" i="3"/>
  <c r="B714" i="3"/>
  <c r="C714" i="3"/>
  <c r="A715" i="3"/>
  <c r="B715" i="3"/>
  <c r="C715" i="3"/>
  <c r="A716" i="3"/>
  <c r="B716" i="3"/>
  <c r="C716" i="3"/>
  <c r="A717" i="3"/>
  <c r="B717" i="3"/>
  <c r="C717" i="3"/>
  <c r="A718" i="3"/>
  <c r="B718" i="3"/>
  <c r="C718" i="3"/>
  <c r="A719" i="3"/>
  <c r="B719" i="3"/>
  <c r="C719" i="3"/>
  <c r="A720" i="3"/>
  <c r="B720" i="3"/>
  <c r="C720" i="3"/>
  <c r="A721" i="3"/>
  <c r="B721" i="3"/>
  <c r="C721" i="3"/>
  <c r="A722" i="3"/>
  <c r="B722" i="3"/>
  <c r="C722" i="3"/>
  <c r="A723" i="3"/>
  <c r="B723" i="3"/>
  <c r="C723" i="3"/>
  <c r="A724" i="3"/>
  <c r="B724" i="3"/>
  <c r="C724" i="3"/>
  <c r="A725" i="3"/>
  <c r="B725" i="3"/>
  <c r="C725" i="3"/>
  <c r="A726" i="3"/>
  <c r="B726" i="3"/>
  <c r="C726" i="3"/>
  <c r="A727" i="3"/>
  <c r="B727" i="3"/>
  <c r="C727" i="3"/>
  <c r="A728" i="3"/>
  <c r="B728" i="3"/>
  <c r="C728" i="3"/>
  <c r="A729" i="3"/>
  <c r="B729" i="3"/>
  <c r="C729" i="3"/>
  <c r="A730" i="3"/>
  <c r="B730" i="3"/>
  <c r="C730" i="3"/>
  <c r="A731" i="3"/>
  <c r="B731" i="3"/>
  <c r="C731" i="3"/>
  <c r="A732" i="3"/>
  <c r="B732" i="3"/>
  <c r="C732" i="3"/>
  <c r="A733" i="3"/>
  <c r="B733" i="3"/>
  <c r="C733" i="3"/>
  <c r="A734" i="3"/>
  <c r="B734" i="3"/>
  <c r="C734" i="3"/>
  <c r="A735" i="3"/>
  <c r="B735" i="3"/>
  <c r="C735" i="3"/>
  <c r="A736" i="3"/>
  <c r="B736" i="3"/>
  <c r="C736" i="3"/>
  <c r="A737" i="3"/>
  <c r="B737" i="3"/>
  <c r="C737" i="3"/>
  <c r="A738" i="3"/>
  <c r="B738" i="3"/>
  <c r="C738" i="3"/>
  <c r="A739" i="3"/>
  <c r="B739" i="3"/>
  <c r="C739" i="3"/>
  <c r="A740" i="3"/>
  <c r="B740" i="3"/>
  <c r="C740" i="3"/>
  <c r="A741" i="3"/>
  <c r="B741" i="3"/>
  <c r="C741" i="3"/>
  <c r="A742" i="3"/>
  <c r="B742" i="3"/>
  <c r="C742" i="3"/>
  <c r="A743" i="3"/>
  <c r="B743" i="3"/>
  <c r="C743" i="3"/>
  <c r="A744" i="3"/>
  <c r="B744" i="3"/>
  <c r="C744" i="3"/>
  <c r="A745" i="3"/>
  <c r="B745" i="3"/>
  <c r="C745" i="3"/>
  <c r="A746" i="3"/>
  <c r="B746" i="3"/>
  <c r="C746" i="3"/>
  <c r="A747" i="3"/>
  <c r="B747" i="3"/>
  <c r="C747" i="3"/>
  <c r="A748" i="3"/>
  <c r="B748" i="3"/>
  <c r="C748" i="3"/>
  <c r="A749" i="3"/>
  <c r="B749" i="3"/>
  <c r="C749" i="3"/>
  <c r="A750" i="3"/>
  <c r="B750" i="3"/>
  <c r="C750" i="3"/>
  <c r="A751" i="3"/>
  <c r="B751" i="3"/>
  <c r="C751" i="3"/>
  <c r="A752" i="3"/>
  <c r="B752" i="3"/>
  <c r="C752" i="3"/>
  <c r="A753" i="3"/>
  <c r="B753" i="3"/>
  <c r="C753" i="3"/>
  <c r="A754" i="3"/>
  <c r="B754" i="3"/>
  <c r="C754" i="3"/>
  <c r="A755" i="3"/>
  <c r="B755" i="3"/>
  <c r="C755" i="3"/>
  <c r="A756" i="3"/>
  <c r="B756" i="3"/>
  <c r="C756" i="3"/>
  <c r="A757" i="3"/>
  <c r="B757" i="3"/>
  <c r="C757" i="3"/>
  <c r="A758" i="3"/>
  <c r="B758" i="3"/>
  <c r="C758" i="3"/>
  <c r="A759" i="3"/>
  <c r="B759" i="3"/>
  <c r="C759" i="3"/>
  <c r="A760" i="3"/>
  <c r="B760" i="3"/>
  <c r="C760" i="3"/>
  <c r="A761" i="3"/>
  <c r="B761" i="3"/>
  <c r="C761" i="3"/>
  <c r="A762" i="3"/>
  <c r="B762" i="3"/>
  <c r="C762" i="3"/>
  <c r="A763" i="3"/>
  <c r="B763" i="3"/>
  <c r="C763" i="3"/>
  <c r="A764" i="3"/>
  <c r="B764" i="3"/>
  <c r="C764" i="3"/>
  <c r="A765" i="3"/>
  <c r="B765" i="3"/>
  <c r="C765" i="3"/>
  <c r="A766" i="3"/>
  <c r="B766" i="3"/>
  <c r="C766" i="3"/>
  <c r="A767" i="3"/>
  <c r="B767" i="3"/>
  <c r="C767" i="3"/>
  <c r="A768" i="3"/>
  <c r="B768" i="3"/>
  <c r="C768" i="3"/>
  <c r="A769" i="3"/>
  <c r="B769" i="3"/>
  <c r="C769" i="3"/>
  <c r="A770" i="3"/>
  <c r="B770" i="3"/>
  <c r="C770" i="3"/>
  <c r="A771" i="3"/>
  <c r="B771" i="3"/>
  <c r="C771" i="3"/>
  <c r="A772" i="3"/>
  <c r="B772" i="3"/>
  <c r="C772" i="3"/>
  <c r="A773" i="3"/>
  <c r="B773" i="3"/>
  <c r="C773" i="3"/>
  <c r="A774" i="3"/>
  <c r="B774" i="3"/>
  <c r="C774" i="3"/>
  <c r="A775" i="3"/>
  <c r="B775" i="3"/>
  <c r="C775" i="3"/>
  <c r="A776" i="3"/>
  <c r="B776" i="3"/>
  <c r="C776" i="3"/>
  <c r="A777" i="3"/>
  <c r="B777" i="3"/>
  <c r="C777" i="3"/>
  <c r="A778" i="3"/>
  <c r="B778" i="3"/>
  <c r="C778" i="3"/>
  <c r="A779" i="3"/>
  <c r="B779" i="3"/>
  <c r="C779" i="3"/>
  <c r="A780" i="3"/>
  <c r="B780" i="3"/>
  <c r="C780" i="3"/>
  <c r="A781" i="3"/>
  <c r="B781" i="3"/>
  <c r="C781" i="3"/>
  <c r="A782" i="3"/>
  <c r="B782" i="3"/>
  <c r="C782" i="3"/>
  <c r="A783" i="3"/>
  <c r="B783" i="3"/>
  <c r="C783" i="3"/>
  <c r="A784" i="3"/>
  <c r="B784" i="3"/>
  <c r="C784" i="3"/>
  <c r="A785" i="3"/>
  <c r="B785" i="3"/>
  <c r="C785" i="3"/>
  <c r="A786" i="3"/>
  <c r="B786" i="3"/>
  <c r="C786" i="3"/>
  <c r="A787" i="3"/>
  <c r="B787" i="3"/>
  <c r="C787" i="3"/>
  <c r="A788" i="3"/>
  <c r="B788" i="3"/>
  <c r="C788" i="3"/>
  <c r="A789" i="3"/>
  <c r="B789" i="3"/>
  <c r="C789" i="3"/>
  <c r="A790" i="3"/>
  <c r="B790" i="3"/>
  <c r="C790" i="3"/>
  <c r="A791" i="3"/>
  <c r="B791" i="3"/>
  <c r="C791" i="3"/>
  <c r="A792" i="3"/>
  <c r="B792" i="3"/>
  <c r="C792" i="3"/>
  <c r="A793" i="3"/>
  <c r="B793" i="3"/>
  <c r="C793" i="3"/>
  <c r="A794" i="3"/>
  <c r="B794" i="3"/>
  <c r="C794" i="3"/>
  <c r="A795" i="3"/>
  <c r="B795" i="3"/>
  <c r="C795" i="3"/>
  <c r="A796" i="3"/>
  <c r="B796" i="3"/>
  <c r="C796" i="3"/>
  <c r="A797" i="3"/>
  <c r="B797" i="3"/>
  <c r="C797" i="3"/>
  <c r="A798" i="3"/>
  <c r="B798" i="3"/>
  <c r="C798" i="3"/>
  <c r="A799" i="3"/>
  <c r="B799" i="3"/>
  <c r="C799" i="3"/>
  <c r="A800" i="3"/>
  <c r="B800" i="3"/>
  <c r="C800" i="3"/>
  <c r="A801" i="3"/>
  <c r="B801" i="3"/>
  <c r="C801" i="3"/>
  <c r="A802" i="3"/>
  <c r="B802" i="3"/>
  <c r="C802" i="3"/>
  <c r="A803" i="3"/>
  <c r="B803" i="3"/>
  <c r="C803" i="3"/>
  <c r="A804" i="3"/>
  <c r="B804" i="3"/>
  <c r="C804" i="3"/>
  <c r="A805" i="3"/>
  <c r="B805" i="3"/>
  <c r="C805" i="3"/>
  <c r="A806" i="3"/>
  <c r="B806" i="3"/>
  <c r="C806" i="3"/>
  <c r="A807" i="3"/>
  <c r="B807" i="3"/>
  <c r="C807" i="3"/>
  <c r="A808" i="3"/>
  <c r="B808" i="3"/>
  <c r="C808" i="3"/>
  <c r="A809" i="3"/>
  <c r="B809" i="3"/>
  <c r="C809" i="3"/>
  <c r="A810" i="3"/>
  <c r="B810" i="3"/>
  <c r="C810" i="3"/>
  <c r="A811" i="3"/>
  <c r="B811" i="3"/>
  <c r="C811" i="3"/>
  <c r="A812" i="3"/>
  <c r="B812" i="3"/>
  <c r="C812" i="3"/>
  <c r="A813" i="3"/>
  <c r="B813" i="3"/>
  <c r="C813" i="3"/>
  <c r="A814" i="3"/>
  <c r="B814" i="3"/>
  <c r="C814" i="3"/>
  <c r="A815" i="3"/>
  <c r="B815" i="3"/>
  <c r="C815" i="3"/>
  <c r="A816" i="3"/>
  <c r="B816" i="3"/>
  <c r="C816" i="3"/>
  <c r="A817" i="3"/>
  <c r="B817" i="3"/>
  <c r="C817" i="3"/>
  <c r="A818" i="3"/>
  <c r="B818" i="3"/>
  <c r="C818" i="3"/>
  <c r="A819" i="3"/>
  <c r="B819" i="3"/>
  <c r="C819" i="3"/>
  <c r="A820" i="3"/>
  <c r="B820" i="3"/>
  <c r="C820" i="3"/>
  <c r="A821" i="3"/>
  <c r="B821" i="3"/>
  <c r="C821" i="3"/>
  <c r="A822" i="3"/>
  <c r="B822" i="3"/>
  <c r="C822" i="3"/>
  <c r="A823" i="3"/>
  <c r="B823" i="3"/>
  <c r="C823" i="3"/>
  <c r="A824" i="3"/>
  <c r="B824" i="3"/>
  <c r="C824" i="3"/>
  <c r="A825" i="3"/>
  <c r="B825" i="3"/>
  <c r="C825" i="3"/>
  <c r="A826" i="3"/>
  <c r="B826" i="3"/>
  <c r="C826" i="3"/>
  <c r="A827" i="3"/>
  <c r="B827" i="3"/>
  <c r="C827" i="3"/>
  <c r="A828" i="3"/>
  <c r="B828" i="3"/>
  <c r="C828" i="3"/>
  <c r="A829" i="3"/>
  <c r="B829" i="3"/>
  <c r="C829" i="3"/>
  <c r="A830" i="3"/>
  <c r="B830" i="3"/>
  <c r="C830" i="3"/>
  <c r="A831" i="3"/>
  <c r="B831" i="3"/>
  <c r="C831" i="3"/>
  <c r="A832" i="3"/>
  <c r="B832" i="3"/>
  <c r="C832" i="3"/>
  <c r="A833" i="3"/>
  <c r="B833" i="3"/>
  <c r="C833" i="3"/>
  <c r="A834" i="3"/>
  <c r="B834" i="3"/>
  <c r="C834" i="3"/>
  <c r="A835" i="3"/>
  <c r="B835" i="3"/>
  <c r="C835" i="3"/>
  <c r="A836" i="3"/>
  <c r="B836" i="3"/>
  <c r="C836" i="3"/>
  <c r="A837" i="3"/>
  <c r="B837" i="3"/>
  <c r="C837" i="3"/>
  <c r="A838" i="3"/>
  <c r="B838" i="3"/>
  <c r="C838" i="3"/>
  <c r="A839" i="3"/>
  <c r="B839" i="3"/>
  <c r="C839" i="3"/>
  <c r="A840" i="3"/>
  <c r="B840" i="3"/>
  <c r="C840" i="3"/>
  <c r="A841" i="3"/>
  <c r="B841" i="3"/>
  <c r="C841" i="3"/>
  <c r="A842" i="3"/>
  <c r="B842" i="3"/>
  <c r="C842" i="3"/>
  <c r="A843" i="3"/>
  <c r="B843" i="3"/>
  <c r="C843" i="3"/>
  <c r="A844" i="3"/>
  <c r="B844" i="3"/>
  <c r="C844" i="3"/>
  <c r="A845" i="3"/>
  <c r="B845" i="3"/>
  <c r="C845" i="3"/>
  <c r="A846" i="3"/>
  <c r="B846" i="3"/>
  <c r="C846" i="3"/>
  <c r="A847" i="3"/>
  <c r="B847" i="3"/>
  <c r="C847" i="3"/>
  <c r="A848" i="3"/>
  <c r="B848" i="3"/>
  <c r="C848" i="3"/>
  <c r="A849" i="3"/>
  <c r="B849" i="3"/>
  <c r="C849" i="3"/>
  <c r="A850" i="3"/>
  <c r="B850" i="3"/>
  <c r="C850" i="3"/>
  <c r="A851" i="3"/>
  <c r="B851" i="3"/>
  <c r="C851" i="3"/>
  <c r="A852" i="3"/>
  <c r="B852" i="3"/>
  <c r="C852" i="3"/>
  <c r="A853" i="3"/>
  <c r="B853" i="3"/>
  <c r="C853" i="3"/>
  <c r="A854" i="3"/>
  <c r="B854" i="3"/>
  <c r="C854" i="3"/>
  <c r="A855" i="3"/>
  <c r="B855" i="3"/>
  <c r="C855" i="3"/>
  <c r="A856" i="3"/>
  <c r="B856" i="3"/>
  <c r="C856" i="3"/>
  <c r="A857" i="3"/>
  <c r="B857" i="3"/>
  <c r="C857" i="3"/>
  <c r="A858" i="3"/>
  <c r="B858" i="3"/>
  <c r="C858" i="3"/>
  <c r="A859" i="3"/>
  <c r="B859" i="3"/>
  <c r="C859" i="3"/>
  <c r="A860" i="3"/>
  <c r="B860" i="3"/>
  <c r="C860" i="3"/>
  <c r="A861" i="3"/>
  <c r="B861" i="3"/>
  <c r="C861" i="3"/>
  <c r="A862" i="3"/>
  <c r="B862" i="3"/>
  <c r="C862" i="3"/>
  <c r="A863" i="3"/>
  <c r="B863" i="3"/>
  <c r="C863" i="3"/>
  <c r="A864" i="3"/>
  <c r="B864" i="3"/>
  <c r="C864" i="3"/>
  <c r="A865" i="3"/>
  <c r="B865" i="3"/>
  <c r="C865" i="3"/>
  <c r="A866" i="3"/>
  <c r="B866" i="3"/>
  <c r="C866" i="3"/>
  <c r="A867" i="3"/>
  <c r="B867" i="3"/>
  <c r="C867" i="3"/>
  <c r="A868" i="3"/>
  <c r="B868" i="3"/>
  <c r="C868" i="3"/>
  <c r="A869" i="3"/>
  <c r="B869" i="3"/>
  <c r="C869" i="3"/>
  <c r="A870" i="3"/>
  <c r="B870" i="3"/>
  <c r="C870" i="3"/>
  <c r="A871" i="3"/>
  <c r="B871" i="3"/>
  <c r="C871" i="3"/>
  <c r="A872" i="3"/>
  <c r="B872" i="3"/>
  <c r="C872" i="3"/>
  <c r="A873" i="3"/>
  <c r="B873" i="3"/>
  <c r="C873" i="3"/>
  <c r="A874" i="3"/>
  <c r="B874" i="3"/>
  <c r="C874" i="3"/>
  <c r="A875" i="3"/>
  <c r="B875" i="3"/>
  <c r="C875" i="3"/>
  <c r="A876" i="3"/>
  <c r="B876" i="3"/>
  <c r="C876" i="3"/>
  <c r="A877" i="3"/>
  <c r="B877" i="3"/>
  <c r="C877" i="3"/>
  <c r="A878" i="3"/>
  <c r="B878" i="3"/>
  <c r="C878" i="3"/>
  <c r="A879" i="3"/>
  <c r="B879" i="3"/>
  <c r="C879" i="3"/>
  <c r="A880" i="3"/>
  <c r="B880" i="3"/>
  <c r="C880" i="3"/>
  <c r="A881" i="3"/>
  <c r="B881" i="3"/>
  <c r="C881" i="3"/>
  <c r="A882" i="3"/>
  <c r="B882" i="3"/>
  <c r="C882" i="3"/>
  <c r="A883" i="3"/>
  <c r="B883" i="3"/>
  <c r="C883" i="3"/>
  <c r="A884" i="3"/>
  <c r="B884" i="3"/>
  <c r="C884" i="3"/>
  <c r="A885" i="3"/>
  <c r="B885" i="3"/>
  <c r="C885" i="3"/>
  <c r="A886" i="3"/>
  <c r="B886" i="3"/>
  <c r="C886" i="3"/>
  <c r="A887" i="3"/>
  <c r="B887" i="3"/>
  <c r="C887" i="3"/>
  <c r="A888" i="3"/>
  <c r="B888" i="3"/>
  <c r="C888" i="3"/>
  <c r="A889" i="3"/>
  <c r="B889" i="3"/>
  <c r="C889" i="3"/>
  <c r="A890" i="3"/>
  <c r="B890" i="3"/>
  <c r="C890" i="3"/>
  <c r="A891" i="3"/>
  <c r="B891" i="3"/>
  <c r="C891" i="3"/>
  <c r="A892" i="3"/>
  <c r="B892" i="3"/>
  <c r="C892" i="3"/>
  <c r="A893" i="3"/>
  <c r="B893" i="3"/>
  <c r="C893" i="3"/>
  <c r="A894" i="3"/>
  <c r="B894" i="3"/>
  <c r="C894" i="3"/>
  <c r="A895" i="3"/>
  <c r="B895" i="3"/>
  <c r="C895" i="3"/>
  <c r="A896" i="3"/>
  <c r="B896" i="3"/>
  <c r="C896" i="3"/>
  <c r="A897" i="3"/>
  <c r="B897" i="3"/>
  <c r="C897" i="3"/>
  <c r="A898" i="3"/>
  <c r="B898" i="3"/>
  <c r="C898" i="3"/>
  <c r="A899" i="3"/>
  <c r="B899" i="3"/>
  <c r="C899" i="3"/>
  <c r="A900" i="3"/>
  <c r="B900" i="3"/>
  <c r="C900" i="3"/>
  <c r="A901" i="3"/>
  <c r="B901" i="3"/>
  <c r="C901" i="3"/>
  <c r="A902" i="3"/>
  <c r="B902" i="3"/>
  <c r="C902" i="3"/>
  <c r="A903" i="3"/>
  <c r="B903" i="3"/>
  <c r="C903" i="3"/>
  <c r="A904" i="3"/>
  <c r="B904" i="3"/>
  <c r="C904" i="3"/>
  <c r="A905" i="3"/>
  <c r="B905" i="3"/>
  <c r="C905" i="3"/>
  <c r="A906" i="3"/>
  <c r="B906" i="3"/>
  <c r="C906" i="3"/>
  <c r="A907" i="3"/>
  <c r="B907" i="3"/>
  <c r="C907" i="3"/>
  <c r="A908" i="3"/>
  <c r="B908" i="3"/>
  <c r="C908" i="3"/>
  <c r="A909" i="3"/>
  <c r="B909" i="3"/>
  <c r="C909" i="3"/>
  <c r="A910" i="3"/>
  <c r="B910" i="3"/>
  <c r="C910" i="3"/>
  <c r="A911" i="3"/>
  <c r="B911" i="3"/>
  <c r="C911" i="3"/>
  <c r="A912" i="3"/>
  <c r="B912" i="3"/>
  <c r="C912" i="3"/>
  <c r="A913" i="3"/>
  <c r="B913" i="3"/>
  <c r="C913" i="3"/>
  <c r="A914" i="3"/>
  <c r="B914" i="3"/>
  <c r="C914" i="3"/>
  <c r="A915" i="3"/>
  <c r="B915" i="3"/>
  <c r="C915" i="3"/>
  <c r="A916" i="3"/>
  <c r="B916" i="3"/>
  <c r="C916" i="3"/>
  <c r="A917" i="3"/>
  <c r="B917" i="3"/>
  <c r="C917" i="3"/>
  <c r="A918" i="3"/>
  <c r="B918" i="3"/>
  <c r="C918" i="3"/>
  <c r="A919" i="3"/>
  <c r="B919" i="3"/>
  <c r="C919" i="3"/>
  <c r="A920" i="3"/>
  <c r="B920" i="3"/>
  <c r="C920" i="3"/>
  <c r="A921" i="3"/>
  <c r="B921" i="3"/>
  <c r="C921" i="3"/>
  <c r="A922" i="3"/>
  <c r="B922" i="3"/>
  <c r="C922" i="3"/>
  <c r="A923" i="3"/>
  <c r="B923" i="3"/>
  <c r="C923" i="3"/>
  <c r="A924" i="3"/>
  <c r="B924" i="3"/>
  <c r="C924" i="3"/>
  <c r="A925" i="3"/>
  <c r="B925" i="3"/>
  <c r="C925" i="3"/>
  <c r="A926" i="3"/>
  <c r="B926" i="3"/>
  <c r="C926" i="3"/>
  <c r="A927" i="3"/>
  <c r="B927" i="3"/>
  <c r="C927" i="3"/>
  <c r="A928" i="3"/>
  <c r="B928" i="3"/>
  <c r="C928" i="3"/>
  <c r="A929" i="3"/>
  <c r="B929" i="3"/>
  <c r="C929" i="3"/>
  <c r="A930" i="3"/>
  <c r="B930" i="3"/>
  <c r="C930" i="3"/>
  <c r="A931" i="3"/>
  <c r="B931" i="3"/>
  <c r="C931" i="3"/>
  <c r="A932" i="3"/>
  <c r="B932" i="3"/>
  <c r="C932" i="3"/>
  <c r="A933" i="3"/>
  <c r="B933" i="3"/>
  <c r="C933" i="3"/>
  <c r="A934" i="3"/>
  <c r="B934" i="3"/>
  <c r="C934" i="3"/>
  <c r="A935" i="3"/>
  <c r="B935" i="3"/>
  <c r="C935" i="3"/>
  <c r="A936" i="3"/>
  <c r="B936" i="3"/>
  <c r="C936" i="3"/>
  <c r="A937" i="3"/>
  <c r="B937" i="3"/>
  <c r="C937" i="3"/>
  <c r="A938" i="3"/>
  <c r="B938" i="3"/>
  <c r="C938" i="3"/>
  <c r="A939" i="3"/>
  <c r="B939" i="3"/>
  <c r="C939" i="3"/>
  <c r="A940" i="3"/>
  <c r="B940" i="3"/>
  <c r="C940" i="3"/>
  <c r="A941" i="3"/>
  <c r="B941" i="3"/>
  <c r="C941" i="3"/>
  <c r="A942" i="3"/>
  <c r="B942" i="3"/>
  <c r="C942" i="3"/>
  <c r="A943" i="3"/>
  <c r="B943" i="3"/>
  <c r="C943" i="3"/>
  <c r="A944" i="3"/>
  <c r="B944" i="3"/>
  <c r="C944" i="3"/>
  <c r="A945" i="3"/>
  <c r="B945" i="3"/>
  <c r="C945" i="3"/>
  <c r="A946" i="3"/>
  <c r="B946" i="3"/>
  <c r="C946" i="3"/>
  <c r="A947" i="3"/>
  <c r="B947" i="3"/>
  <c r="C947" i="3"/>
  <c r="A948" i="3"/>
  <c r="B948" i="3"/>
  <c r="C948" i="3"/>
  <c r="A949" i="3"/>
  <c r="B949" i="3"/>
  <c r="C949" i="3"/>
  <c r="A950" i="3"/>
  <c r="B950" i="3"/>
  <c r="C950" i="3"/>
  <c r="A951" i="3"/>
  <c r="B951" i="3"/>
  <c r="C951" i="3"/>
  <c r="A952" i="3"/>
  <c r="B952" i="3"/>
  <c r="C952" i="3"/>
  <c r="A953" i="3"/>
  <c r="B953" i="3"/>
  <c r="C953" i="3"/>
  <c r="A954" i="3"/>
  <c r="B954" i="3"/>
  <c r="C954" i="3"/>
  <c r="A955" i="3"/>
  <c r="B955" i="3"/>
  <c r="C955" i="3"/>
  <c r="A956" i="3"/>
  <c r="B956" i="3"/>
  <c r="C956" i="3"/>
  <c r="A957" i="3"/>
  <c r="B957" i="3"/>
  <c r="C957" i="3"/>
  <c r="A958" i="3"/>
  <c r="B958" i="3"/>
  <c r="C958" i="3"/>
  <c r="A959" i="3"/>
  <c r="B959" i="3"/>
  <c r="C959" i="3"/>
  <c r="A960" i="3"/>
  <c r="B960" i="3"/>
  <c r="C960" i="3"/>
  <c r="A961" i="3"/>
  <c r="B961" i="3"/>
  <c r="C961" i="3"/>
  <c r="A962" i="3"/>
  <c r="B962" i="3"/>
  <c r="C962" i="3"/>
  <c r="A963" i="3"/>
  <c r="B963" i="3"/>
  <c r="C963" i="3"/>
  <c r="A964" i="3"/>
  <c r="B964" i="3"/>
  <c r="C964" i="3"/>
  <c r="A965" i="3"/>
  <c r="B965" i="3"/>
  <c r="C965" i="3"/>
  <c r="A966" i="3"/>
  <c r="B966" i="3"/>
  <c r="C966" i="3"/>
  <c r="A967" i="3"/>
  <c r="B967" i="3"/>
  <c r="C967" i="3"/>
  <c r="A968" i="3"/>
  <c r="B968" i="3"/>
  <c r="C968" i="3"/>
  <c r="A969" i="3"/>
  <c r="B969" i="3"/>
  <c r="C969" i="3"/>
  <c r="A970" i="3"/>
  <c r="B970" i="3"/>
  <c r="C970" i="3"/>
  <c r="A971" i="3"/>
  <c r="B971" i="3"/>
  <c r="C971" i="3"/>
  <c r="A972" i="3"/>
  <c r="B972" i="3"/>
  <c r="C972" i="3"/>
  <c r="A973" i="3"/>
  <c r="B973" i="3"/>
  <c r="C973" i="3"/>
  <c r="A974" i="3"/>
  <c r="B974" i="3"/>
  <c r="C974" i="3"/>
  <c r="A975" i="3"/>
  <c r="B975" i="3"/>
  <c r="C975" i="3"/>
  <c r="A976" i="3"/>
  <c r="B976" i="3"/>
  <c r="C976" i="3"/>
  <c r="A977" i="3"/>
  <c r="B977" i="3"/>
  <c r="C977" i="3"/>
  <c r="A978" i="3"/>
  <c r="B978" i="3"/>
  <c r="C978" i="3"/>
  <c r="A979" i="3"/>
  <c r="B979" i="3"/>
  <c r="C979" i="3"/>
  <c r="A980" i="3"/>
  <c r="B980" i="3"/>
  <c r="C980" i="3"/>
  <c r="A981" i="3"/>
  <c r="B981" i="3"/>
  <c r="C981" i="3"/>
  <c r="A982" i="3"/>
  <c r="B982" i="3"/>
  <c r="C982" i="3"/>
  <c r="A983" i="3"/>
  <c r="B983" i="3"/>
  <c r="C983" i="3"/>
  <c r="A984" i="3"/>
  <c r="B984" i="3"/>
  <c r="C984" i="3"/>
  <c r="A985" i="3"/>
  <c r="B985" i="3"/>
  <c r="C985" i="3"/>
  <c r="A986" i="3"/>
  <c r="B986" i="3"/>
  <c r="C986" i="3"/>
  <c r="A987" i="3"/>
  <c r="B987" i="3"/>
  <c r="C987" i="3"/>
  <c r="A988" i="3"/>
  <c r="B988" i="3"/>
  <c r="C988" i="3"/>
  <c r="A989" i="3"/>
  <c r="B989" i="3"/>
  <c r="C989" i="3"/>
  <c r="A990" i="3"/>
  <c r="B990" i="3"/>
  <c r="C990" i="3"/>
  <c r="A991" i="3"/>
  <c r="B991" i="3"/>
  <c r="C991" i="3"/>
  <c r="A992" i="3"/>
  <c r="B992" i="3"/>
  <c r="C992" i="3"/>
  <c r="A993" i="3"/>
  <c r="B993" i="3"/>
  <c r="C993" i="3"/>
  <c r="A994" i="3"/>
  <c r="B994" i="3"/>
  <c r="C994" i="3"/>
  <c r="A995" i="3"/>
  <c r="B995" i="3"/>
  <c r="C995" i="3"/>
  <c r="A996" i="3"/>
  <c r="B996" i="3"/>
  <c r="C996" i="3"/>
  <c r="A997" i="3"/>
  <c r="B997" i="3"/>
  <c r="C997" i="3"/>
  <c r="A998" i="3"/>
  <c r="B998" i="3"/>
  <c r="C998" i="3"/>
  <c r="A999" i="3"/>
  <c r="B999" i="3"/>
  <c r="C999" i="3"/>
  <c r="A1000" i="3"/>
  <c r="B1000" i="3"/>
  <c r="C1000" i="3"/>
  <c r="A1001" i="3"/>
  <c r="B1001" i="3"/>
  <c r="C1001" i="3"/>
  <c r="A1002" i="3"/>
  <c r="B1002" i="3"/>
  <c r="C1002" i="3"/>
  <c r="A1003" i="3"/>
  <c r="B1003" i="3"/>
  <c r="C1003" i="3"/>
  <c r="A1004" i="3"/>
  <c r="B1004" i="3"/>
  <c r="C1004" i="3"/>
  <c r="A1005" i="3"/>
  <c r="B1005" i="3"/>
  <c r="C1005" i="3"/>
  <c r="A1006" i="3"/>
  <c r="B1006" i="3"/>
  <c r="C1006" i="3"/>
  <c r="A1007" i="3"/>
  <c r="B1007" i="3"/>
  <c r="C1007" i="3"/>
  <c r="A1008" i="3"/>
  <c r="B1008" i="3"/>
  <c r="C1008" i="3"/>
  <c r="A1009" i="3"/>
  <c r="B1009" i="3"/>
  <c r="C1009" i="3"/>
  <c r="A1010" i="3"/>
  <c r="B1010" i="3"/>
  <c r="C1010" i="3"/>
  <c r="A1011" i="3"/>
  <c r="B1011" i="3"/>
  <c r="C1011" i="3"/>
  <c r="A1012" i="3"/>
  <c r="B1012" i="3"/>
  <c r="C1012" i="3"/>
  <c r="A1013" i="3"/>
  <c r="B1013" i="3"/>
  <c r="C1013" i="3"/>
  <c r="A1014" i="3"/>
  <c r="B1014" i="3"/>
  <c r="C1014" i="3"/>
  <c r="A1015" i="3"/>
  <c r="B1015" i="3"/>
  <c r="C1015" i="3"/>
  <c r="A1016" i="3"/>
  <c r="B1016" i="3"/>
  <c r="C1016" i="3"/>
  <c r="A1017" i="3"/>
  <c r="B1017" i="3"/>
  <c r="C1017" i="3"/>
  <c r="A1018" i="3"/>
  <c r="B1018" i="3"/>
  <c r="C1018" i="3"/>
  <c r="A1019" i="3"/>
  <c r="B1019" i="3"/>
  <c r="C1019" i="3"/>
  <c r="A1020" i="3"/>
  <c r="B1020" i="3"/>
  <c r="C1020" i="3"/>
  <c r="A1021" i="3"/>
  <c r="B1021" i="3"/>
  <c r="C1021" i="3"/>
  <c r="A1022" i="3"/>
  <c r="B1022" i="3"/>
  <c r="C1022" i="3"/>
  <c r="A1023" i="3"/>
  <c r="B1023" i="3"/>
  <c r="C1023" i="3"/>
  <c r="A1024" i="3"/>
  <c r="B1024" i="3"/>
  <c r="C1024" i="3"/>
  <c r="A1025" i="3"/>
  <c r="B1025" i="3"/>
  <c r="C1025" i="3"/>
  <c r="A1026" i="3"/>
  <c r="B1026" i="3"/>
  <c r="C1026" i="3"/>
  <c r="A1027" i="3"/>
  <c r="B1027" i="3"/>
  <c r="C1027" i="3"/>
  <c r="A1028" i="3"/>
  <c r="B1028" i="3"/>
  <c r="C1028" i="3"/>
  <c r="A1029" i="3"/>
  <c r="B1029" i="3"/>
  <c r="C1029" i="3"/>
  <c r="A1030" i="3"/>
  <c r="B1030" i="3"/>
  <c r="C1030" i="3"/>
  <c r="A1031" i="3"/>
  <c r="B1031" i="3"/>
  <c r="C1031" i="3"/>
  <c r="A1032" i="3"/>
  <c r="B1032" i="3"/>
  <c r="C1032" i="3"/>
  <c r="A1033" i="3"/>
  <c r="B1033" i="3"/>
  <c r="C1033" i="3"/>
  <c r="A1034" i="3"/>
  <c r="B1034" i="3"/>
  <c r="C1034" i="3"/>
  <c r="A1035" i="3"/>
  <c r="B1035" i="3"/>
  <c r="C1035" i="3"/>
  <c r="A1036" i="3"/>
  <c r="B1036" i="3"/>
  <c r="C1036" i="3"/>
  <c r="A1037" i="3"/>
  <c r="B1037" i="3"/>
  <c r="C1037" i="3"/>
  <c r="A1038" i="3"/>
  <c r="B1038" i="3"/>
  <c r="C1038" i="3"/>
  <c r="A1039" i="3"/>
  <c r="B1039" i="3"/>
  <c r="C1039" i="3"/>
  <c r="A1040" i="3"/>
  <c r="B1040" i="3"/>
  <c r="C1040" i="3"/>
  <c r="A1041" i="3"/>
  <c r="B1041" i="3"/>
  <c r="C1041" i="3"/>
  <c r="A1042" i="3"/>
  <c r="B1042" i="3"/>
  <c r="C1042" i="3"/>
  <c r="A1043" i="3"/>
  <c r="B1043" i="3"/>
  <c r="C1043" i="3"/>
  <c r="A1044" i="3"/>
  <c r="B1044" i="3"/>
  <c r="C1044" i="3"/>
  <c r="A1045" i="3"/>
  <c r="B1045" i="3"/>
  <c r="C1045" i="3"/>
  <c r="A1046" i="3"/>
  <c r="B1046" i="3"/>
  <c r="C1046" i="3"/>
  <c r="A1047" i="3"/>
  <c r="B1047" i="3"/>
  <c r="C1047" i="3"/>
  <c r="A1048" i="3"/>
  <c r="B1048" i="3"/>
  <c r="C1048" i="3"/>
  <c r="A1049" i="3"/>
  <c r="B1049" i="3"/>
  <c r="C1049" i="3"/>
  <c r="A1050" i="3"/>
  <c r="B1050" i="3"/>
  <c r="C1050" i="3"/>
  <c r="A1051" i="3"/>
  <c r="B1051" i="3"/>
  <c r="C1051" i="3"/>
  <c r="A1052" i="3"/>
  <c r="B1052" i="3"/>
  <c r="C1052" i="3"/>
  <c r="A1053" i="3"/>
  <c r="B1053" i="3"/>
  <c r="C1053" i="3"/>
  <c r="A1054" i="3"/>
  <c r="B1054" i="3"/>
  <c r="C1054" i="3"/>
  <c r="A1055" i="3"/>
  <c r="B1055" i="3"/>
  <c r="C1055" i="3"/>
  <c r="A1056" i="3"/>
  <c r="B1056" i="3"/>
  <c r="C1056" i="3"/>
  <c r="A1057" i="3"/>
  <c r="B1057" i="3"/>
  <c r="C1057" i="3"/>
  <c r="A1058" i="3"/>
  <c r="B1058" i="3"/>
  <c r="C1058" i="3"/>
  <c r="A1059" i="3"/>
  <c r="B1059" i="3"/>
  <c r="C1059" i="3"/>
  <c r="A1060" i="3"/>
  <c r="B1060" i="3"/>
  <c r="C1060" i="3"/>
  <c r="A1061" i="3"/>
  <c r="B1061" i="3"/>
  <c r="C1061" i="3"/>
  <c r="A1062" i="3"/>
  <c r="B1062" i="3"/>
  <c r="C1062" i="3"/>
  <c r="A1063" i="3"/>
  <c r="B1063" i="3"/>
  <c r="C1063" i="3"/>
  <c r="A1064" i="3"/>
  <c r="B1064" i="3"/>
  <c r="C1064" i="3"/>
  <c r="A1065" i="3"/>
  <c r="B1065" i="3"/>
  <c r="C1065" i="3"/>
  <c r="A1066" i="3"/>
  <c r="B1066" i="3"/>
  <c r="C1066" i="3"/>
  <c r="A1067" i="3"/>
  <c r="B1067" i="3"/>
  <c r="C1067" i="3"/>
  <c r="A1068" i="3"/>
  <c r="B1068" i="3"/>
  <c r="C1068" i="3"/>
  <c r="A1069" i="3"/>
  <c r="B1069" i="3"/>
  <c r="C1069" i="3"/>
  <c r="A1070" i="3"/>
  <c r="B1070" i="3"/>
  <c r="C1070" i="3"/>
  <c r="A1071" i="3"/>
  <c r="B1071" i="3"/>
  <c r="C1071" i="3"/>
  <c r="A1072" i="3"/>
  <c r="B1072" i="3"/>
  <c r="C1072" i="3"/>
  <c r="A1073" i="3"/>
  <c r="B1073" i="3"/>
  <c r="C1073" i="3"/>
  <c r="A1074" i="3"/>
  <c r="B1074" i="3"/>
  <c r="C1074" i="3"/>
  <c r="A1075" i="3"/>
  <c r="B1075" i="3"/>
  <c r="C1075" i="3"/>
  <c r="A1076" i="3"/>
  <c r="B1076" i="3"/>
  <c r="C1076" i="3"/>
  <c r="A1077" i="3"/>
  <c r="B1077" i="3"/>
  <c r="C1077" i="3"/>
  <c r="A1078" i="3"/>
  <c r="B1078" i="3"/>
  <c r="C1078" i="3"/>
  <c r="A1079" i="3"/>
  <c r="B1079" i="3"/>
  <c r="C1079" i="3"/>
  <c r="A1080" i="3"/>
  <c r="B1080" i="3"/>
  <c r="C1080" i="3"/>
  <c r="A1081" i="3"/>
  <c r="B1081" i="3"/>
  <c r="C1081" i="3"/>
  <c r="A1082" i="3"/>
  <c r="B1082" i="3"/>
  <c r="C1082" i="3"/>
  <c r="A1083" i="3"/>
  <c r="B1083" i="3"/>
  <c r="C1083" i="3"/>
  <c r="A1084" i="3"/>
  <c r="B1084" i="3"/>
  <c r="C1084" i="3"/>
  <c r="A1085" i="3"/>
  <c r="B1085" i="3"/>
  <c r="C1085" i="3"/>
  <c r="A1086" i="3"/>
  <c r="B1086" i="3"/>
  <c r="C1086" i="3"/>
  <c r="A1087" i="3"/>
  <c r="B1087" i="3"/>
  <c r="C1087" i="3"/>
  <c r="A1088" i="3"/>
  <c r="B1088" i="3"/>
  <c r="C1088" i="3"/>
  <c r="A1089" i="3"/>
  <c r="B1089" i="3"/>
  <c r="C1089" i="3"/>
  <c r="A1090" i="3"/>
  <c r="B1090" i="3"/>
  <c r="C1090" i="3"/>
  <c r="A1091" i="3"/>
  <c r="B1091" i="3"/>
  <c r="C1091" i="3"/>
  <c r="A1092" i="3"/>
  <c r="B1092" i="3"/>
  <c r="C1092" i="3"/>
  <c r="A1093" i="3"/>
  <c r="B1093" i="3"/>
  <c r="C1093" i="3"/>
  <c r="A1094" i="3"/>
  <c r="B1094" i="3"/>
  <c r="C1094" i="3"/>
  <c r="A1095" i="3"/>
  <c r="B1095" i="3"/>
  <c r="C1095" i="3"/>
  <c r="A1096" i="3"/>
  <c r="B1096" i="3"/>
  <c r="C1096" i="3"/>
  <c r="A1097" i="3"/>
  <c r="B1097" i="3"/>
  <c r="C1097" i="3"/>
  <c r="A1098" i="3"/>
  <c r="B1098" i="3"/>
  <c r="C1098" i="3"/>
  <c r="A1099" i="3"/>
  <c r="B1099" i="3"/>
  <c r="C1099" i="3"/>
  <c r="A1100" i="3"/>
  <c r="B1100" i="3"/>
  <c r="C1100" i="3"/>
  <c r="A1101" i="3"/>
  <c r="B1101" i="3"/>
  <c r="C1101" i="3"/>
  <c r="A1102" i="3"/>
  <c r="B1102" i="3"/>
  <c r="C1102" i="3"/>
  <c r="A1103" i="3"/>
  <c r="B1103" i="3"/>
  <c r="C1103" i="3"/>
  <c r="A1104" i="3"/>
  <c r="B1104" i="3"/>
  <c r="C1104" i="3"/>
  <c r="A1105" i="3"/>
  <c r="B1105" i="3"/>
  <c r="C1105" i="3"/>
  <c r="A1106" i="3"/>
  <c r="B1106" i="3"/>
  <c r="C1106" i="3"/>
  <c r="A1107" i="3"/>
  <c r="B1107" i="3"/>
  <c r="C1107" i="3"/>
  <c r="A1108" i="3"/>
  <c r="B1108" i="3"/>
  <c r="C1108" i="3"/>
  <c r="A1109" i="3"/>
  <c r="B1109" i="3"/>
  <c r="C1109" i="3"/>
  <c r="A1110" i="3"/>
  <c r="B1110" i="3"/>
  <c r="C1110" i="3"/>
  <c r="A1111" i="3"/>
  <c r="B1111" i="3"/>
  <c r="C1111" i="3"/>
  <c r="A1112" i="3"/>
  <c r="B1112" i="3"/>
  <c r="C1112" i="3"/>
  <c r="A1113" i="3"/>
  <c r="B1113" i="3"/>
  <c r="C1113" i="3"/>
  <c r="A1114" i="3"/>
  <c r="B1114" i="3"/>
  <c r="C1114" i="3"/>
  <c r="A1115" i="3"/>
  <c r="B1115" i="3"/>
  <c r="C1115" i="3"/>
  <c r="A1116" i="3"/>
  <c r="B1116" i="3"/>
  <c r="C1116" i="3"/>
  <c r="A1117" i="3"/>
  <c r="B1117" i="3"/>
  <c r="C1117" i="3"/>
  <c r="A1118" i="3"/>
  <c r="B1118" i="3"/>
  <c r="C1118" i="3"/>
  <c r="A1119" i="3"/>
  <c r="B1119" i="3"/>
  <c r="C1119" i="3"/>
  <c r="A1120" i="3"/>
  <c r="B1120" i="3"/>
  <c r="C1120" i="3"/>
  <c r="A1121" i="3"/>
  <c r="B1121" i="3"/>
  <c r="C1121" i="3"/>
  <c r="A1122" i="3"/>
  <c r="B1122" i="3"/>
  <c r="C1122" i="3"/>
  <c r="A1123" i="3"/>
  <c r="B1123" i="3"/>
  <c r="C1123" i="3"/>
  <c r="A1124" i="3"/>
  <c r="B1124" i="3"/>
  <c r="C1124" i="3"/>
  <c r="A1125" i="3"/>
  <c r="B1125" i="3"/>
  <c r="C1125" i="3"/>
  <c r="A1126" i="3"/>
  <c r="B1126" i="3"/>
  <c r="C1126" i="3"/>
  <c r="A1127" i="3"/>
  <c r="B1127" i="3"/>
  <c r="C1127" i="3"/>
  <c r="A1128" i="3"/>
  <c r="B1128" i="3"/>
  <c r="C1128" i="3"/>
  <c r="A1129" i="3"/>
  <c r="B1129" i="3"/>
  <c r="C1129" i="3"/>
  <c r="A1130" i="3"/>
  <c r="B1130" i="3"/>
  <c r="C1130" i="3"/>
  <c r="A1131" i="3"/>
  <c r="B1131" i="3"/>
  <c r="C1131" i="3"/>
  <c r="A1132" i="3"/>
  <c r="B1132" i="3"/>
  <c r="C1132" i="3"/>
  <c r="A1133" i="3"/>
  <c r="B1133" i="3"/>
  <c r="C1133" i="3"/>
  <c r="A1134" i="3"/>
  <c r="B1134" i="3"/>
  <c r="C1134" i="3"/>
  <c r="A1135" i="3"/>
  <c r="B1135" i="3"/>
  <c r="C1135" i="3"/>
  <c r="A1136" i="3"/>
  <c r="B1136" i="3"/>
  <c r="C1136" i="3"/>
  <c r="A1137" i="3"/>
  <c r="B1137" i="3"/>
  <c r="C1137" i="3"/>
  <c r="A1138" i="3"/>
  <c r="B1138" i="3"/>
  <c r="C1138" i="3"/>
  <c r="A1139" i="3"/>
  <c r="B1139" i="3"/>
  <c r="C1139" i="3"/>
  <c r="A1140" i="3"/>
  <c r="B1140" i="3"/>
  <c r="C1140" i="3"/>
  <c r="A1141" i="3"/>
  <c r="B1141" i="3"/>
  <c r="C1141" i="3"/>
  <c r="A1142" i="3"/>
  <c r="B1142" i="3"/>
  <c r="C1142" i="3"/>
  <c r="A1143" i="3"/>
  <c r="B1143" i="3"/>
  <c r="C1143" i="3"/>
  <c r="A1144" i="3"/>
  <c r="B1144" i="3"/>
  <c r="C1144" i="3"/>
  <c r="A1145" i="3"/>
  <c r="B1145" i="3"/>
  <c r="C1145" i="3"/>
  <c r="A1146" i="3"/>
  <c r="B1146" i="3"/>
  <c r="C1146" i="3"/>
  <c r="A1147" i="3"/>
  <c r="B1147" i="3"/>
  <c r="C1147" i="3"/>
  <c r="A1148" i="3"/>
  <c r="B1148" i="3"/>
  <c r="C1148" i="3"/>
  <c r="A1149" i="3"/>
  <c r="B1149" i="3"/>
  <c r="C1149" i="3"/>
  <c r="A1150" i="3"/>
  <c r="B1150" i="3"/>
  <c r="C1150" i="3"/>
  <c r="A1151" i="3"/>
  <c r="B1151" i="3"/>
  <c r="C1151" i="3"/>
  <c r="A1152" i="3"/>
  <c r="B1152" i="3"/>
  <c r="C1152" i="3"/>
  <c r="A1153" i="3"/>
  <c r="B1153" i="3"/>
  <c r="C1153" i="3"/>
  <c r="A1154" i="3"/>
  <c r="B1154" i="3"/>
  <c r="C1154" i="3"/>
  <c r="A1155" i="3"/>
  <c r="B1155" i="3"/>
  <c r="C1155" i="3"/>
  <c r="A1156" i="3"/>
  <c r="B1156" i="3"/>
  <c r="C1156" i="3"/>
  <c r="A1157" i="3"/>
  <c r="B1157" i="3"/>
  <c r="C1157" i="3"/>
  <c r="A1158" i="3"/>
  <c r="B1158" i="3"/>
  <c r="C1158" i="3"/>
  <c r="A1159" i="3"/>
  <c r="B1159" i="3"/>
  <c r="C1159" i="3"/>
  <c r="A1160" i="3"/>
  <c r="B1160" i="3"/>
  <c r="C1160" i="3"/>
  <c r="A1161" i="3"/>
  <c r="B1161" i="3"/>
  <c r="C1161" i="3"/>
  <c r="A1162" i="3"/>
  <c r="B1162" i="3"/>
  <c r="C1162" i="3"/>
  <c r="A1163" i="3"/>
  <c r="B1163" i="3"/>
  <c r="C1163" i="3"/>
  <c r="A1164" i="3"/>
  <c r="B1164" i="3"/>
  <c r="C1164" i="3"/>
  <c r="A1165" i="3"/>
  <c r="B1165" i="3"/>
  <c r="C1165" i="3"/>
  <c r="A1166" i="3"/>
  <c r="B1166" i="3"/>
  <c r="C1166" i="3"/>
  <c r="A1167" i="3"/>
  <c r="B1167" i="3"/>
  <c r="C1167" i="3"/>
  <c r="A1168" i="3"/>
  <c r="B1168" i="3"/>
  <c r="C1168" i="3"/>
  <c r="A1169" i="3"/>
  <c r="B1169" i="3"/>
  <c r="C1169" i="3"/>
  <c r="A1170" i="3"/>
  <c r="B1170" i="3"/>
  <c r="C1170" i="3"/>
  <c r="A1171" i="3"/>
  <c r="B1171" i="3"/>
  <c r="C1171" i="3"/>
  <c r="A1172" i="3"/>
  <c r="B1172" i="3"/>
  <c r="C1172" i="3"/>
  <c r="A1173" i="3"/>
  <c r="B1173" i="3"/>
  <c r="C1173" i="3"/>
  <c r="A1174" i="3"/>
  <c r="B1174" i="3"/>
  <c r="C1174" i="3"/>
  <c r="A1175" i="3"/>
  <c r="B1175" i="3"/>
  <c r="C1175" i="3"/>
  <c r="A1176" i="3"/>
  <c r="B1176" i="3"/>
  <c r="C1176" i="3"/>
  <c r="A1177" i="3"/>
  <c r="B1177" i="3"/>
  <c r="C1177" i="3"/>
  <c r="A1178" i="3"/>
  <c r="B1178" i="3"/>
  <c r="C1178" i="3"/>
  <c r="A1179" i="3"/>
  <c r="B1179" i="3"/>
  <c r="C1179" i="3"/>
  <c r="A1180" i="3"/>
  <c r="B1180" i="3"/>
  <c r="C1180" i="3"/>
  <c r="A1181" i="3"/>
  <c r="B1181" i="3"/>
  <c r="C1181" i="3"/>
  <c r="A1182" i="3"/>
  <c r="B1182" i="3"/>
  <c r="C1182" i="3"/>
  <c r="A1183" i="3"/>
  <c r="B1183" i="3"/>
  <c r="C1183" i="3"/>
  <c r="A1184" i="3"/>
  <c r="B1184" i="3"/>
  <c r="C1184" i="3"/>
  <c r="A1185" i="3"/>
  <c r="B1185" i="3"/>
  <c r="C1185" i="3"/>
  <c r="A1186" i="3"/>
  <c r="B1186" i="3"/>
  <c r="C1186" i="3"/>
  <c r="A1187" i="3"/>
  <c r="B1187" i="3"/>
  <c r="C1187" i="3"/>
  <c r="A1188" i="3"/>
  <c r="B1188" i="3"/>
  <c r="C1188" i="3"/>
  <c r="A1189" i="3"/>
  <c r="B1189" i="3"/>
  <c r="C1189" i="3"/>
  <c r="A1190" i="3"/>
  <c r="B1190" i="3"/>
  <c r="C1190" i="3"/>
  <c r="A1191" i="3"/>
  <c r="B1191" i="3"/>
  <c r="C1191" i="3"/>
  <c r="A1192" i="3"/>
  <c r="B1192" i="3"/>
  <c r="C1192" i="3"/>
  <c r="A1193" i="3"/>
  <c r="B1193" i="3"/>
  <c r="C1193" i="3"/>
  <c r="A1194" i="3"/>
  <c r="B1194" i="3"/>
  <c r="C1194" i="3"/>
  <c r="A1195" i="3"/>
  <c r="B1195" i="3"/>
  <c r="C1195" i="3"/>
  <c r="A1196" i="3"/>
  <c r="B1196" i="3"/>
  <c r="C1196" i="3"/>
  <c r="A1197" i="3"/>
  <c r="B1197" i="3"/>
  <c r="C1197" i="3"/>
  <c r="A1198" i="3"/>
  <c r="B1198" i="3"/>
  <c r="C1198" i="3"/>
  <c r="A1199" i="3"/>
  <c r="B1199" i="3"/>
  <c r="C1199" i="3"/>
  <c r="A1200" i="3"/>
  <c r="B1200" i="3"/>
  <c r="C1200" i="3"/>
  <c r="A1201" i="3"/>
  <c r="B1201" i="3"/>
  <c r="C1201" i="3"/>
  <c r="A1202" i="3"/>
  <c r="B1202" i="3"/>
  <c r="C1202" i="3"/>
  <c r="A1203" i="3"/>
  <c r="B1203" i="3"/>
  <c r="C1203" i="3"/>
  <c r="A1204" i="3"/>
  <c r="B1204" i="3"/>
  <c r="C1204" i="3"/>
  <c r="A1205" i="3"/>
  <c r="B1205" i="3"/>
  <c r="C1205" i="3"/>
  <c r="A1206" i="3"/>
  <c r="B1206" i="3"/>
  <c r="C1206" i="3"/>
  <c r="A1207" i="3"/>
  <c r="B1207" i="3"/>
  <c r="C1207" i="3"/>
  <c r="A1208" i="3"/>
  <c r="B1208" i="3"/>
  <c r="C1208" i="3"/>
  <c r="A1209" i="3"/>
  <c r="B1209" i="3"/>
  <c r="C1209" i="3"/>
  <c r="A1210" i="3"/>
  <c r="B1210" i="3"/>
  <c r="C1210" i="3"/>
  <c r="A1211" i="3"/>
  <c r="B1211" i="3"/>
  <c r="C1211" i="3"/>
  <c r="A1212" i="3"/>
  <c r="B1212" i="3"/>
  <c r="C1212" i="3"/>
  <c r="A1213" i="3"/>
  <c r="B1213" i="3"/>
  <c r="C1213" i="3"/>
  <c r="A1214" i="3"/>
  <c r="B1214" i="3"/>
  <c r="C1214" i="3"/>
  <c r="A1215" i="3"/>
  <c r="B1215" i="3"/>
  <c r="C1215" i="3"/>
  <c r="A1216" i="3"/>
  <c r="B1216" i="3"/>
  <c r="C1216" i="3"/>
  <c r="A1217" i="3"/>
  <c r="B1217" i="3"/>
  <c r="C1217" i="3"/>
  <c r="A1218" i="3"/>
  <c r="B1218" i="3"/>
  <c r="C1218" i="3"/>
  <c r="A1219" i="3"/>
  <c r="B1219" i="3"/>
  <c r="C1219" i="3"/>
  <c r="A1220" i="3"/>
  <c r="B1220" i="3"/>
  <c r="C1220" i="3"/>
  <c r="A1221" i="3"/>
  <c r="B1221" i="3"/>
  <c r="C1221" i="3"/>
  <c r="A1222" i="3"/>
  <c r="B1222" i="3"/>
  <c r="C1222" i="3"/>
  <c r="A1223" i="3"/>
  <c r="B1223" i="3"/>
  <c r="C1223" i="3"/>
  <c r="A1224" i="3"/>
  <c r="B1224" i="3"/>
  <c r="C1224" i="3"/>
  <c r="A1225" i="3"/>
  <c r="B1225" i="3"/>
  <c r="C1225" i="3"/>
  <c r="A1226" i="3"/>
  <c r="B1226" i="3"/>
  <c r="C1226" i="3"/>
  <c r="A1227" i="3"/>
  <c r="B1227" i="3"/>
  <c r="C1227" i="3"/>
  <c r="A1228" i="3"/>
  <c r="B1228" i="3"/>
  <c r="C1228" i="3"/>
  <c r="A1229" i="3"/>
  <c r="B1229" i="3"/>
  <c r="C1229" i="3"/>
  <c r="A1230" i="3"/>
  <c r="B1230" i="3"/>
  <c r="C1230" i="3"/>
  <c r="A1231" i="3"/>
  <c r="B1231" i="3"/>
  <c r="C1231" i="3"/>
  <c r="A1232" i="3"/>
  <c r="B1232" i="3"/>
  <c r="C1232" i="3"/>
  <c r="A1233" i="3"/>
  <c r="B1233" i="3"/>
  <c r="C1233" i="3"/>
  <c r="A1234" i="3"/>
  <c r="B1234" i="3"/>
  <c r="C1234" i="3"/>
  <c r="A1235" i="3"/>
  <c r="B1235" i="3"/>
  <c r="C1235" i="3"/>
  <c r="A1236" i="3"/>
  <c r="B1236" i="3"/>
  <c r="C1236" i="3"/>
  <c r="A1237" i="3"/>
  <c r="B1237" i="3"/>
  <c r="C1237" i="3"/>
  <c r="A1238" i="3"/>
  <c r="B1238" i="3"/>
  <c r="C1238" i="3"/>
  <c r="A1239" i="3"/>
  <c r="B1239" i="3"/>
  <c r="C1239" i="3"/>
  <c r="A1240" i="3"/>
  <c r="B1240" i="3"/>
  <c r="C1240" i="3"/>
  <c r="A1241" i="3"/>
  <c r="B1241" i="3"/>
  <c r="C1241" i="3"/>
  <c r="A1242" i="3"/>
  <c r="B1242" i="3"/>
  <c r="C1242" i="3"/>
  <c r="A1243" i="3"/>
  <c r="B1243" i="3"/>
  <c r="C1243" i="3"/>
  <c r="A1244" i="3"/>
  <c r="B1244" i="3"/>
  <c r="C1244" i="3"/>
  <c r="A1245" i="3"/>
  <c r="B1245" i="3"/>
  <c r="C1245" i="3"/>
  <c r="A1246" i="3"/>
  <c r="B1246" i="3"/>
  <c r="C1246" i="3"/>
  <c r="A1247" i="3"/>
  <c r="B1247" i="3"/>
  <c r="C1247" i="3"/>
  <c r="A1248" i="3"/>
  <c r="B1248" i="3"/>
  <c r="C1248" i="3"/>
  <c r="A1249" i="3"/>
  <c r="B1249" i="3"/>
  <c r="C1249" i="3"/>
  <c r="A1250" i="3"/>
  <c r="B1250" i="3"/>
  <c r="C1250" i="3"/>
  <c r="A1251" i="3"/>
  <c r="B1251" i="3"/>
  <c r="C1251" i="3"/>
  <c r="A1252" i="3"/>
  <c r="B1252" i="3"/>
  <c r="C1252" i="3"/>
  <c r="A1253" i="3"/>
  <c r="B1253" i="3"/>
  <c r="C1253" i="3"/>
  <c r="A1254" i="3"/>
  <c r="B1254" i="3"/>
  <c r="C1254" i="3"/>
  <c r="A1255" i="3"/>
  <c r="B1255" i="3"/>
  <c r="C1255" i="3"/>
  <c r="A1256" i="3"/>
  <c r="B1256" i="3"/>
  <c r="C1256" i="3"/>
  <c r="A1257" i="3"/>
  <c r="B1257" i="3"/>
  <c r="C1257" i="3"/>
  <c r="A1258" i="3"/>
  <c r="B1258" i="3"/>
  <c r="C1258" i="3"/>
  <c r="A1259" i="3"/>
  <c r="B1259" i="3"/>
  <c r="C1259" i="3"/>
  <c r="A1260" i="3"/>
  <c r="B1260" i="3"/>
  <c r="C1260" i="3"/>
  <c r="A1261" i="3"/>
  <c r="B1261" i="3"/>
  <c r="C1261" i="3"/>
  <c r="A1262" i="3"/>
  <c r="B1262" i="3"/>
  <c r="C1262" i="3"/>
  <c r="A1263" i="3"/>
  <c r="B1263" i="3"/>
  <c r="C1263" i="3"/>
  <c r="A1264" i="3"/>
  <c r="B1264" i="3"/>
  <c r="C1264" i="3"/>
  <c r="A1265" i="3"/>
  <c r="B1265" i="3"/>
  <c r="C1265" i="3"/>
  <c r="A1266" i="3"/>
  <c r="B1266" i="3"/>
  <c r="C1266" i="3"/>
  <c r="A1267" i="3"/>
  <c r="B1267" i="3"/>
  <c r="C1267" i="3"/>
  <c r="A1268" i="3"/>
  <c r="B1268" i="3"/>
  <c r="C1268" i="3"/>
  <c r="A1269" i="3"/>
  <c r="B1269" i="3"/>
  <c r="C1269" i="3"/>
  <c r="A1270" i="3"/>
  <c r="B1270" i="3"/>
  <c r="C1270" i="3"/>
  <c r="A1271" i="3"/>
  <c r="B1271" i="3"/>
  <c r="C1271" i="3"/>
  <c r="A1272" i="3"/>
  <c r="B1272" i="3"/>
  <c r="C1272" i="3"/>
  <c r="A1273" i="3"/>
  <c r="B1273" i="3"/>
  <c r="C1273" i="3"/>
  <c r="A1274" i="3"/>
  <c r="B1274" i="3"/>
  <c r="C1274" i="3"/>
  <c r="A1275" i="3"/>
  <c r="B1275" i="3"/>
  <c r="C1275" i="3"/>
  <c r="A1276" i="3"/>
  <c r="B1276" i="3"/>
  <c r="C1276" i="3"/>
  <c r="A1277" i="3"/>
  <c r="B1277" i="3"/>
  <c r="C1277" i="3"/>
  <c r="A1278" i="3"/>
  <c r="B1278" i="3"/>
  <c r="C1278" i="3"/>
  <c r="A1279" i="3"/>
  <c r="B1279" i="3"/>
  <c r="C1279" i="3"/>
  <c r="A1280" i="3"/>
  <c r="B1280" i="3"/>
  <c r="C1280" i="3"/>
  <c r="A1281" i="3"/>
  <c r="B1281" i="3"/>
  <c r="C1281" i="3"/>
  <c r="A1282" i="3"/>
  <c r="B1282" i="3"/>
  <c r="C1282" i="3"/>
  <c r="A1283" i="3"/>
  <c r="B1283" i="3"/>
  <c r="C1283" i="3"/>
  <c r="A1284" i="3"/>
  <c r="B1284" i="3"/>
  <c r="C1284" i="3"/>
  <c r="A1285" i="3"/>
  <c r="B1285" i="3"/>
  <c r="C1285" i="3"/>
  <c r="A1286" i="3"/>
  <c r="B1286" i="3"/>
  <c r="C1286" i="3"/>
  <c r="A1287" i="3"/>
  <c r="B1287" i="3"/>
  <c r="C1287" i="3"/>
  <c r="A1288" i="3"/>
  <c r="B1288" i="3"/>
  <c r="C1288" i="3"/>
  <c r="A1289" i="3"/>
  <c r="B1289" i="3"/>
  <c r="C1289" i="3"/>
  <c r="A1290" i="3"/>
  <c r="B1290" i="3"/>
  <c r="C1290" i="3"/>
  <c r="A1291" i="3"/>
  <c r="B1291" i="3"/>
  <c r="C1291" i="3"/>
  <c r="A1292" i="3"/>
  <c r="B1292" i="3"/>
  <c r="C1292" i="3"/>
  <c r="A1293" i="3"/>
  <c r="B1293" i="3"/>
  <c r="C1293" i="3"/>
  <c r="A1294" i="3"/>
  <c r="B1294" i="3"/>
  <c r="C1294" i="3"/>
  <c r="A1295" i="3"/>
  <c r="B1295" i="3"/>
  <c r="C1295" i="3"/>
  <c r="A1296" i="3"/>
  <c r="B1296" i="3"/>
  <c r="C1296" i="3"/>
  <c r="A1297" i="3"/>
  <c r="B1297" i="3"/>
  <c r="C1297" i="3"/>
  <c r="A1298" i="3"/>
  <c r="B1298" i="3"/>
  <c r="C1298" i="3"/>
  <c r="A1299" i="3"/>
  <c r="B1299" i="3"/>
  <c r="C1299" i="3"/>
  <c r="A1300" i="3"/>
  <c r="B1300" i="3"/>
  <c r="C1300" i="3"/>
  <c r="A1301" i="3"/>
  <c r="B1301" i="3"/>
  <c r="C1301" i="3"/>
  <c r="A1302" i="3"/>
  <c r="B1302" i="3"/>
  <c r="C1302" i="3"/>
  <c r="A1303" i="3"/>
  <c r="B1303" i="3"/>
  <c r="C1303" i="3"/>
  <c r="A1304" i="3"/>
  <c r="B1304" i="3"/>
  <c r="C1304" i="3"/>
  <c r="A1305" i="3"/>
  <c r="B1305" i="3"/>
  <c r="C1305" i="3"/>
  <c r="A1306" i="3"/>
  <c r="B1306" i="3"/>
  <c r="C1306" i="3"/>
  <c r="A1307" i="3"/>
  <c r="B1307" i="3"/>
  <c r="C1307" i="3"/>
  <c r="A1308" i="3"/>
  <c r="B1308" i="3"/>
  <c r="C1308" i="3"/>
  <c r="A1309" i="3"/>
  <c r="B1309" i="3"/>
  <c r="C1309" i="3"/>
  <c r="A1310" i="3"/>
  <c r="B1310" i="3"/>
  <c r="C1310" i="3"/>
  <c r="A1311" i="3"/>
  <c r="B1311" i="3"/>
  <c r="C1311" i="3"/>
  <c r="A1312" i="3"/>
  <c r="B1312" i="3"/>
  <c r="C1312" i="3"/>
  <c r="A1313" i="3"/>
  <c r="B1313" i="3"/>
  <c r="C1313" i="3"/>
  <c r="A1314" i="3"/>
  <c r="B1314" i="3"/>
  <c r="C1314" i="3"/>
  <c r="A1315" i="3"/>
  <c r="B1315" i="3"/>
  <c r="C1315" i="3"/>
  <c r="A1316" i="3"/>
  <c r="B1316" i="3"/>
  <c r="C1316" i="3"/>
  <c r="A1317" i="3"/>
  <c r="B1317" i="3"/>
  <c r="C1317" i="3"/>
  <c r="A1318" i="3"/>
  <c r="B1318" i="3"/>
  <c r="C1318" i="3"/>
  <c r="A1319" i="3"/>
  <c r="B1319" i="3"/>
  <c r="C1319" i="3"/>
  <c r="A1320" i="3"/>
  <c r="B1320" i="3"/>
  <c r="C1320" i="3"/>
  <c r="A1321" i="3"/>
  <c r="B1321" i="3"/>
  <c r="C1321" i="3"/>
  <c r="A1322" i="3"/>
  <c r="B1322" i="3"/>
  <c r="C1322" i="3"/>
  <c r="A1323" i="3"/>
  <c r="B1323" i="3"/>
  <c r="C1323" i="3"/>
  <c r="A1324" i="3"/>
  <c r="B1324" i="3"/>
  <c r="C1324" i="3"/>
  <c r="A1325" i="3"/>
  <c r="B1325" i="3"/>
  <c r="C1325" i="3"/>
  <c r="A1326" i="3"/>
  <c r="B1326" i="3"/>
  <c r="C1326" i="3"/>
  <c r="A1327" i="3"/>
  <c r="B1327" i="3"/>
  <c r="C1327" i="3"/>
  <c r="A1328" i="3"/>
  <c r="B1328" i="3"/>
  <c r="C1328" i="3"/>
  <c r="A1329" i="3"/>
  <c r="B1329" i="3"/>
  <c r="C1329" i="3"/>
  <c r="A1330" i="3"/>
  <c r="B1330" i="3"/>
  <c r="C1330" i="3"/>
  <c r="A1331" i="3"/>
  <c r="B1331" i="3"/>
  <c r="C1331" i="3"/>
  <c r="A1332" i="3"/>
  <c r="B1332" i="3"/>
  <c r="C1332" i="3"/>
  <c r="A1333" i="3"/>
  <c r="B1333" i="3"/>
  <c r="C1333" i="3"/>
  <c r="A1334" i="3"/>
  <c r="B1334" i="3"/>
  <c r="C1334" i="3"/>
  <c r="A1335" i="3"/>
  <c r="B1335" i="3"/>
  <c r="C1335" i="3"/>
  <c r="A1336" i="3"/>
  <c r="B1336" i="3"/>
  <c r="C1336" i="3"/>
  <c r="A1337" i="3"/>
  <c r="B1337" i="3"/>
  <c r="C1337" i="3"/>
  <c r="A1338" i="3"/>
  <c r="B1338" i="3"/>
  <c r="C1338" i="3"/>
  <c r="A1339" i="3"/>
  <c r="B1339" i="3"/>
  <c r="C1339" i="3"/>
  <c r="A1340" i="3"/>
  <c r="B1340" i="3"/>
  <c r="C1340" i="3"/>
  <c r="A1341" i="3"/>
  <c r="B1341" i="3"/>
  <c r="C1341" i="3"/>
  <c r="A1342" i="3"/>
  <c r="B1342" i="3"/>
  <c r="C1342" i="3"/>
  <c r="A1343" i="3"/>
  <c r="B1343" i="3"/>
  <c r="C1343" i="3"/>
  <c r="A1344" i="3"/>
  <c r="B1344" i="3"/>
  <c r="C1344" i="3"/>
  <c r="A1345" i="3"/>
  <c r="B1345" i="3"/>
  <c r="C1345" i="3"/>
  <c r="A1346" i="3"/>
  <c r="B1346" i="3"/>
  <c r="C1346" i="3"/>
  <c r="A1347" i="3"/>
  <c r="B1347" i="3"/>
  <c r="C1347" i="3"/>
  <c r="A1348" i="3"/>
  <c r="B1348" i="3"/>
  <c r="C1348" i="3"/>
  <c r="A1349" i="3"/>
  <c r="B1349" i="3"/>
  <c r="C1349" i="3"/>
  <c r="A1350" i="3"/>
  <c r="B1350" i="3"/>
  <c r="C1350" i="3"/>
  <c r="A1351" i="3"/>
  <c r="B1351" i="3"/>
  <c r="C1351" i="3"/>
  <c r="A1352" i="3"/>
  <c r="B1352" i="3"/>
  <c r="C1352" i="3"/>
  <c r="A1353" i="3"/>
  <c r="B1353" i="3"/>
  <c r="C1353" i="3"/>
  <c r="A1354" i="3"/>
  <c r="B1354" i="3"/>
  <c r="C1354" i="3"/>
  <c r="A1355" i="3"/>
  <c r="B1355" i="3"/>
  <c r="C1355" i="3"/>
  <c r="A1356" i="3"/>
  <c r="B1356" i="3"/>
  <c r="C1356" i="3"/>
  <c r="A1357" i="3"/>
  <c r="B1357" i="3"/>
  <c r="C1357" i="3"/>
  <c r="A1358" i="3"/>
  <c r="B1358" i="3"/>
  <c r="C1358" i="3"/>
  <c r="A1359" i="3"/>
  <c r="B1359" i="3"/>
  <c r="C1359" i="3"/>
  <c r="A1360" i="3"/>
  <c r="B1360" i="3"/>
  <c r="C1360" i="3"/>
  <c r="A1361" i="3"/>
  <c r="B1361" i="3"/>
  <c r="C1361" i="3"/>
  <c r="A1362" i="3"/>
  <c r="B1362" i="3"/>
  <c r="C1362" i="3"/>
  <c r="A1363" i="3"/>
  <c r="B1363" i="3"/>
  <c r="C1363" i="3"/>
  <c r="A1364" i="3"/>
  <c r="B1364" i="3"/>
  <c r="C1364" i="3"/>
  <c r="A1365" i="3"/>
  <c r="B1365" i="3"/>
  <c r="C1365" i="3"/>
  <c r="A1366" i="3"/>
  <c r="B1366" i="3"/>
  <c r="C1366" i="3"/>
  <c r="A1367" i="3"/>
  <c r="B1367" i="3"/>
  <c r="C1367" i="3"/>
  <c r="A1368" i="3"/>
  <c r="B1368" i="3"/>
  <c r="C1368" i="3"/>
  <c r="A1369" i="3"/>
  <c r="B1369" i="3"/>
  <c r="C1369" i="3"/>
  <c r="A1370" i="3"/>
  <c r="B1370" i="3"/>
  <c r="C1370" i="3"/>
  <c r="A1371" i="3"/>
  <c r="B1371" i="3"/>
  <c r="C1371" i="3"/>
  <c r="A1372" i="3"/>
  <c r="B1372" i="3"/>
  <c r="C1372" i="3"/>
  <c r="A1373" i="3"/>
  <c r="B1373" i="3"/>
  <c r="C1373" i="3"/>
  <c r="A1374" i="3"/>
  <c r="B1374" i="3"/>
  <c r="C1374" i="3"/>
  <c r="A1375" i="3"/>
  <c r="B1375" i="3"/>
  <c r="C1375" i="3"/>
  <c r="A1376" i="3"/>
  <c r="B1376" i="3"/>
  <c r="C1376" i="3"/>
  <c r="A1377" i="3"/>
  <c r="B1377" i="3"/>
  <c r="C1377" i="3"/>
  <c r="A1378" i="3"/>
  <c r="B1378" i="3"/>
  <c r="C1378" i="3"/>
  <c r="A1379" i="3"/>
  <c r="B1379" i="3"/>
  <c r="C1379" i="3"/>
  <c r="A1380" i="3"/>
  <c r="B1380" i="3"/>
  <c r="C1380" i="3"/>
  <c r="A1381" i="3"/>
  <c r="B1381" i="3"/>
  <c r="C1381" i="3"/>
  <c r="A1382" i="3"/>
  <c r="B1382" i="3"/>
  <c r="C1382" i="3"/>
  <c r="A1383" i="3"/>
  <c r="B1383" i="3"/>
  <c r="C1383" i="3"/>
  <c r="A1384" i="3"/>
  <c r="B1384" i="3"/>
  <c r="C1384" i="3"/>
  <c r="A1385" i="3"/>
  <c r="B1385" i="3"/>
  <c r="C1385" i="3"/>
  <c r="A1386" i="3"/>
  <c r="B1386" i="3"/>
  <c r="C1386" i="3"/>
  <c r="A1387" i="3"/>
  <c r="B1387" i="3"/>
  <c r="C1387" i="3"/>
  <c r="A1388" i="3"/>
  <c r="B1388" i="3"/>
  <c r="C1388" i="3"/>
  <c r="A1389" i="3"/>
  <c r="B1389" i="3"/>
  <c r="C1389" i="3"/>
  <c r="A1390" i="3"/>
  <c r="B1390" i="3"/>
  <c r="C1390" i="3"/>
  <c r="A1391" i="3"/>
  <c r="B1391" i="3"/>
  <c r="C1391" i="3"/>
  <c r="A1392" i="3"/>
  <c r="B1392" i="3"/>
  <c r="C1392" i="3"/>
  <c r="A1393" i="3"/>
  <c r="B1393" i="3"/>
  <c r="C1393" i="3"/>
  <c r="A1394" i="3"/>
  <c r="B1394" i="3"/>
  <c r="C1394" i="3"/>
  <c r="A1395" i="3"/>
  <c r="B1395" i="3"/>
  <c r="C1395" i="3"/>
  <c r="A1396" i="3"/>
  <c r="B1396" i="3"/>
  <c r="C1396" i="3"/>
  <c r="A1397" i="3"/>
  <c r="B1397" i="3"/>
  <c r="C1397" i="3"/>
  <c r="A1398" i="3"/>
  <c r="B1398" i="3"/>
  <c r="C1398" i="3"/>
  <c r="A1399" i="3"/>
  <c r="B1399" i="3"/>
  <c r="C1399" i="3"/>
  <c r="A1400" i="3"/>
  <c r="B1400" i="3"/>
  <c r="C1400" i="3"/>
  <c r="A1401" i="3"/>
  <c r="B1401" i="3"/>
  <c r="C1401" i="3"/>
  <c r="A1402" i="3"/>
  <c r="B1402" i="3"/>
  <c r="C1402" i="3"/>
  <c r="A1403" i="3"/>
  <c r="B1403" i="3"/>
  <c r="C1403" i="3"/>
  <c r="A1404" i="3"/>
  <c r="B1404" i="3"/>
  <c r="C1404" i="3"/>
  <c r="A1405" i="3"/>
  <c r="B1405" i="3"/>
  <c r="C1405" i="3"/>
  <c r="A1406" i="3"/>
  <c r="B1406" i="3"/>
  <c r="C1406" i="3"/>
  <c r="A1407" i="3"/>
  <c r="B1407" i="3"/>
  <c r="C1407" i="3"/>
  <c r="A1408" i="3"/>
  <c r="B1408" i="3"/>
  <c r="C1408" i="3"/>
  <c r="A1409" i="3"/>
  <c r="B1409" i="3"/>
  <c r="C1409" i="3"/>
  <c r="A1410" i="3"/>
  <c r="B1410" i="3"/>
  <c r="C1410" i="3"/>
  <c r="A1411" i="3"/>
  <c r="B1411" i="3"/>
  <c r="C1411" i="3"/>
  <c r="A1412" i="3"/>
  <c r="B1412" i="3"/>
  <c r="C1412" i="3"/>
  <c r="A1413" i="3"/>
  <c r="B1413" i="3"/>
  <c r="C1413" i="3"/>
  <c r="A1414" i="3"/>
  <c r="B1414" i="3"/>
  <c r="C1414" i="3"/>
  <c r="A1415" i="3"/>
  <c r="B1415" i="3"/>
  <c r="C1415" i="3"/>
  <c r="A1416" i="3"/>
  <c r="B1416" i="3"/>
  <c r="C1416" i="3"/>
  <c r="A1417" i="3"/>
  <c r="B1417" i="3"/>
  <c r="C1417" i="3"/>
  <c r="A1418" i="3"/>
  <c r="B1418" i="3"/>
  <c r="C1418" i="3"/>
  <c r="A1419" i="3"/>
  <c r="B1419" i="3"/>
  <c r="C1419" i="3"/>
  <c r="A1420" i="3"/>
  <c r="B1420" i="3"/>
  <c r="C1420" i="3"/>
  <c r="A1421" i="3"/>
  <c r="B1421" i="3"/>
  <c r="C1421" i="3"/>
  <c r="A1422" i="3"/>
  <c r="B1422" i="3"/>
  <c r="C1422" i="3"/>
  <c r="A1423" i="3"/>
  <c r="B1423" i="3"/>
  <c r="C1423" i="3"/>
  <c r="A1424" i="3"/>
  <c r="B1424" i="3"/>
  <c r="C1424" i="3"/>
  <c r="A1425" i="3"/>
  <c r="B1425" i="3"/>
  <c r="C1425" i="3"/>
  <c r="A1426" i="3"/>
  <c r="B1426" i="3"/>
  <c r="C1426" i="3"/>
  <c r="A1427" i="3"/>
  <c r="B1427" i="3"/>
  <c r="C1427" i="3"/>
  <c r="A1428" i="3"/>
  <c r="B1428" i="3"/>
  <c r="C1428" i="3"/>
  <c r="A1429" i="3"/>
  <c r="B1429" i="3"/>
  <c r="C1429" i="3"/>
  <c r="A1430" i="3"/>
  <c r="B1430" i="3"/>
  <c r="C1430" i="3"/>
  <c r="A1431" i="3"/>
  <c r="B1431" i="3"/>
  <c r="C1431" i="3"/>
  <c r="A1432" i="3"/>
  <c r="B1432" i="3"/>
  <c r="C1432" i="3"/>
  <c r="A1433" i="3"/>
  <c r="B1433" i="3"/>
  <c r="C1433" i="3"/>
  <c r="A1434" i="3"/>
  <c r="B1434" i="3"/>
  <c r="C1434" i="3"/>
  <c r="A1435" i="3"/>
  <c r="B1435" i="3"/>
  <c r="C1435" i="3"/>
  <c r="A1436" i="3"/>
  <c r="B1436" i="3"/>
  <c r="C1436" i="3"/>
  <c r="A1437" i="3"/>
  <c r="B1437" i="3"/>
  <c r="C1437" i="3"/>
  <c r="A1438" i="3"/>
  <c r="B1438" i="3"/>
  <c r="C1438" i="3"/>
  <c r="A1439" i="3"/>
  <c r="B1439" i="3"/>
  <c r="C1439" i="3"/>
  <c r="A1440" i="3"/>
  <c r="B1440" i="3"/>
  <c r="C1440" i="3"/>
  <c r="A1441" i="3"/>
  <c r="B1441" i="3"/>
  <c r="C1441" i="3"/>
  <c r="A1442" i="3"/>
  <c r="B1442" i="3"/>
  <c r="C1442" i="3"/>
  <c r="A1443" i="3"/>
  <c r="B1443" i="3"/>
  <c r="C1443" i="3"/>
  <c r="A1444" i="3"/>
  <c r="B1444" i="3"/>
  <c r="C1444" i="3"/>
  <c r="A1445" i="3"/>
  <c r="B1445" i="3"/>
  <c r="C1445" i="3"/>
  <c r="A1446" i="3"/>
  <c r="B1446" i="3"/>
  <c r="C1446" i="3"/>
  <c r="A1447" i="3"/>
  <c r="B1447" i="3"/>
  <c r="C1447" i="3"/>
  <c r="A1448" i="3"/>
  <c r="B1448" i="3"/>
  <c r="C1448" i="3"/>
  <c r="A1449" i="3"/>
  <c r="B1449" i="3"/>
  <c r="C1449" i="3"/>
  <c r="A1450" i="3"/>
  <c r="B1450" i="3"/>
  <c r="C1450" i="3"/>
  <c r="A1451" i="3"/>
  <c r="B1451" i="3"/>
  <c r="C1451" i="3"/>
  <c r="A1452" i="3"/>
  <c r="B1452" i="3"/>
  <c r="C1452" i="3"/>
  <c r="A1453" i="3"/>
  <c r="B1453" i="3"/>
  <c r="C1453" i="3"/>
  <c r="A1454" i="3"/>
  <c r="B1454" i="3"/>
  <c r="C1454" i="3"/>
  <c r="A1455" i="3"/>
  <c r="B1455" i="3"/>
  <c r="C1455" i="3"/>
  <c r="A1456" i="3"/>
  <c r="B1456" i="3"/>
  <c r="C1456" i="3"/>
  <c r="A1457" i="3"/>
  <c r="B1457" i="3"/>
  <c r="C1457" i="3"/>
  <c r="A1458" i="3"/>
  <c r="B1458" i="3"/>
  <c r="C1458" i="3"/>
  <c r="A1459" i="3"/>
  <c r="B1459" i="3"/>
  <c r="C1459" i="3"/>
  <c r="A1460" i="3"/>
  <c r="B1460" i="3"/>
  <c r="C1460" i="3"/>
  <c r="A1461" i="3"/>
  <c r="B1461" i="3"/>
  <c r="C1461" i="3"/>
  <c r="A1462" i="3"/>
  <c r="B1462" i="3"/>
  <c r="C1462" i="3"/>
  <c r="A1463" i="3"/>
  <c r="B1463" i="3"/>
  <c r="C1463" i="3"/>
  <c r="A1464" i="3"/>
  <c r="B1464" i="3"/>
  <c r="C1464" i="3"/>
  <c r="A1465" i="3"/>
  <c r="B1465" i="3"/>
  <c r="C1465" i="3"/>
  <c r="A1466" i="3"/>
  <c r="B1466" i="3"/>
  <c r="C1466" i="3"/>
  <c r="A1467" i="3"/>
  <c r="B1467" i="3"/>
  <c r="C1467" i="3"/>
  <c r="A1468" i="3"/>
  <c r="B1468" i="3"/>
  <c r="C1468" i="3"/>
  <c r="A1469" i="3"/>
  <c r="B1469" i="3"/>
  <c r="C1469" i="3"/>
  <c r="A1470" i="3"/>
  <c r="B1470" i="3"/>
  <c r="C1470" i="3"/>
  <c r="A1471" i="3"/>
  <c r="B1471" i="3"/>
  <c r="C1471" i="3"/>
  <c r="A1472" i="3"/>
  <c r="B1472" i="3"/>
  <c r="C1472" i="3"/>
  <c r="A1473" i="3"/>
  <c r="B1473" i="3"/>
  <c r="C1473" i="3"/>
  <c r="A1474" i="3"/>
  <c r="B1474" i="3"/>
  <c r="C1474" i="3"/>
  <c r="A1475" i="3"/>
  <c r="B1475" i="3"/>
  <c r="C1475" i="3"/>
  <c r="A1476" i="3"/>
  <c r="B1476" i="3"/>
  <c r="C1476" i="3"/>
  <c r="A1477" i="3"/>
  <c r="B1477" i="3"/>
  <c r="C1477" i="3"/>
  <c r="A1478" i="3"/>
  <c r="B1478" i="3"/>
  <c r="C1478" i="3"/>
  <c r="A1479" i="3"/>
  <c r="B1479" i="3"/>
  <c r="C1479" i="3"/>
  <c r="A1480" i="3"/>
  <c r="B1480" i="3"/>
  <c r="C1480" i="3"/>
  <c r="A1481" i="3"/>
  <c r="B1481" i="3"/>
  <c r="C1481" i="3"/>
  <c r="A1482" i="3"/>
  <c r="B1482" i="3"/>
  <c r="C1482" i="3"/>
  <c r="A1483" i="3"/>
  <c r="B1483" i="3"/>
  <c r="C1483" i="3"/>
  <c r="A1484" i="3"/>
  <c r="B1484" i="3"/>
  <c r="C1484" i="3"/>
  <c r="A1485" i="3"/>
  <c r="B1485" i="3"/>
  <c r="C1485" i="3"/>
  <c r="A1486" i="3"/>
  <c r="B1486" i="3"/>
  <c r="C1486" i="3"/>
  <c r="A1487" i="3"/>
  <c r="B1487" i="3"/>
  <c r="C1487" i="3"/>
  <c r="A1488" i="3"/>
  <c r="B1488" i="3"/>
  <c r="C1488" i="3"/>
  <c r="A1489" i="3"/>
  <c r="B1489" i="3"/>
  <c r="C1489" i="3"/>
  <c r="A1490" i="3"/>
  <c r="B1490" i="3"/>
  <c r="C1490" i="3"/>
  <c r="A1491" i="3"/>
  <c r="B1491" i="3"/>
  <c r="C1491" i="3"/>
  <c r="A1492" i="3"/>
  <c r="B1492" i="3"/>
  <c r="C1492" i="3"/>
  <c r="A1493" i="3"/>
  <c r="B1493" i="3"/>
  <c r="C1493" i="3"/>
  <c r="A1494" i="3"/>
  <c r="B1494" i="3"/>
  <c r="C1494" i="3"/>
  <c r="A1495" i="3"/>
  <c r="B1495" i="3"/>
  <c r="C1495" i="3"/>
  <c r="A1496" i="3"/>
  <c r="B1496" i="3"/>
  <c r="C1496" i="3"/>
  <c r="A1497" i="3"/>
  <c r="B1497" i="3"/>
  <c r="C1497" i="3"/>
  <c r="A1498" i="3"/>
  <c r="B1498" i="3"/>
  <c r="C1498" i="3"/>
  <c r="A1499" i="3"/>
  <c r="B1499" i="3"/>
  <c r="C1499" i="3"/>
  <c r="A1500" i="3"/>
  <c r="B1500" i="3"/>
  <c r="C1500" i="3"/>
  <c r="A1501" i="3"/>
  <c r="B1501" i="3"/>
  <c r="C1501" i="3"/>
  <c r="A1502" i="3"/>
  <c r="B1502" i="3"/>
  <c r="C1502" i="3"/>
  <c r="A1503" i="3"/>
  <c r="B1503" i="3"/>
  <c r="C1503" i="3"/>
  <c r="A1504" i="3"/>
  <c r="B1504" i="3"/>
  <c r="C1504" i="3"/>
  <c r="A1505" i="3"/>
  <c r="B1505" i="3"/>
  <c r="C1505" i="3"/>
  <c r="A1506" i="3"/>
  <c r="B1506" i="3"/>
  <c r="C1506" i="3"/>
  <c r="A1507" i="3"/>
  <c r="B1507" i="3"/>
  <c r="C1507" i="3"/>
  <c r="A1508" i="3"/>
  <c r="B1508" i="3"/>
  <c r="C1508" i="3"/>
  <c r="A1509" i="3"/>
  <c r="B1509" i="3"/>
  <c r="C1509" i="3"/>
  <c r="A1510" i="3"/>
  <c r="B1510" i="3"/>
  <c r="C1510" i="3"/>
  <c r="A1511" i="3"/>
  <c r="B1511" i="3"/>
  <c r="C1511" i="3"/>
  <c r="A1512" i="3"/>
  <c r="B1512" i="3"/>
  <c r="C1512" i="3"/>
  <c r="A1513" i="3"/>
  <c r="B1513" i="3"/>
  <c r="C1513" i="3"/>
  <c r="A1514" i="3"/>
  <c r="B1514" i="3"/>
  <c r="C1514" i="3"/>
  <c r="A1515" i="3"/>
  <c r="B1515" i="3"/>
  <c r="C1515" i="3"/>
  <c r="A1516" i="3"/>
  <c r="B1516" i="3"/>
  <c r="C1516" i="3"/>
  <c r="A1517" i="3"/>
  <c r="B1517" i="3"/>
  <c r="C1517" i="3"/>
  <c r="A1518" i="3"/>
  <c r="B1518" i="3"/>
  <c r="C1518" i="3"/>
  <c r="A1519" i="3"/>
  <c r="B1519" i="3"/>
  <c r="C1519" i="3"/>
  <c r="A1520" i="3"/>
  <c r="B1520" i="3"/>
  <c r="C1520" i="3"/>
  <c r="A1521" i="3"/>
  <c r="B1521" i="3"/>
  <c r="C1521" i="3"/>
  <c r="A1522" i="3"/>
  <c r="B1522" i="3"/>
  <c r="C1522" i="3"/>
  <c r="A1523" i="3"/>
  <c r="B1523" i="3"/>
  <c r="C1523" i="3"/>
  <c r="A1524" i="3"/>
  <c r="B1524" i="3"/>
  <c r="C1524" i="3"/>
  <c r="A1525" i="3"/>
  <c r="B1525" i="3"/>
  <c r="C1525" i="3"/>
  <c r="A1526" i="3"/>
  <c r="B1526" i="3"/>
  <c r="C1526" i="3"/>
  <c r="A1527" i="3"/>
  <c r="B1527" i="3"/>
  <c r="C1527" i="3"/>
  <c r="A1528" i="3"/>
  <c r="B1528" i="3"/>
  <c r="C1528" i="3"/>
  <c r="A1529" i="3"/>
  <c r="B1529" i="3"/>
  <c r="C1529" i="3"/>
  <c r="A1530" i="3"/>
  <c r="B1530" i="3"/>
  <c r="C1530" i="3"/>
  <c r="A1531" i="3"/>
  <c r="B1531" i="3"/>
  <c r="C1531" i="3"/>
  <c r="A1532" i="3"/>
  <c r="B1532" i="3"/>
  <c r="C1532" i="3"/>
  <c r="A1533" i="3"/>
  <c r="B1533" i="3"/>
  <c r="C1533" i="3"/>
  <c r="A1534" i="3"/>
  <c r="B1534" i="3"/>
  <c r="C1534" i="3"/>
  <c r="A1535" i="3"/>
  <c r="B1535" i="3"/>
  <c r="C1535" i="3"/>
  <c r="A1536" i="3"/>
  <c r="B1536" i="3"/>
  <c r="C1536" i="3"/>
  <c r="A1537" i="3"/>
  <c r="B1537" i="3"/>
  <c r="C1537" i="3"/>
  <c r="A1538" i="3"/>
  <c r="B1538" i="3"/>
  <c r="C1538" i="3"/>
  <c r="A1539" i="3"/>
  <c r="B1539" i="3"/>
  <c r="C1539" i="3"/>
  <c r="A1540" i="3"/>
  <c r="B1540" i="3"/>
  <c r="C1540" i="3"/>
  <c r="A1541" i="3"/>
  <c r="B1541" i="3"/>
  <c r="C1541" i="3"/>
  <c r="A1542" i="3"/>
  <c r="B1542" i="3"/>
  <c r="C1542" i="3"/>
  <c r="A1543" i="3"/>
  <c r="B1543" i="3"/>
  <c r="C1543" i="3"/>
  <c r="A1544" i="3"/>
  <c r="B1544" i="3"/>
  <c r="C1544" i="3"/>
  <c r="A1545" i="3"/>
  <c r="B1545" i="3"/>
  <c r="C1545" i="3"/>
  <c r="A1546" i="3"/>
  <c r="B1546" i="3"/>
  <c r="C1546" i="3"/>
  <c r="A1547" i="3"/>
  <c r="B1547" i="3"/>
  <c r="C1547" i="3"/>
  <c r="A1548" i="3"/>
  <c r="B1548" i="3"/>
  <c r="C1548" i="3"/>
  <c r="A1549" i="3"/>
  <c r="B1549" i="3"/>
  <c r="C1549" i="3"/>
  <c r="A1550" i="3"/>
  <c r="B1550" i="3"/>
  <c r="C1550" i="3"/>
  <c r="A1551" i="3"/>
  <c r="B1551" i="3"/>
  <c r="C1551" i="3"/>
  <c r="A1552" i="3"/>
  <c r="B1552" i="3"/>
  <c r="C1552" i="3"/>
  <c r="A1553" i="3"/>
  <c r="B1553" i="3"/>
  <c r="C1553" i="3"/>
  <c r="A1554" i="3"/>
  <c r="B1554" i="3"/>
  <c r="C1554" i="3"/>
  <c r="A1555" i="3"/>
  <c r="B1555" i="3"/>
  <c r="C1555" i="3"/>
  <c r="A1556" i="3"/>
  <c r="B1556" i="3"/>
  <c r="C1556" i="3"/>
  <c r="A1557" i="3"/>
  <c r="B1557" i="3"/>
  <c r="C1557" i="3"/>
  <c r="A1558" i="3"/>
  <c r="B1558" i="3"/>
  <c r="C1558" i="3"/>
  <c r="A1559" i="3"/>
  <c r="B1559" i="3"/>
  <c r="C1559" i="3"/>
  <c r="A1560" i="3"/>
  <c r="B1560" i="3"/>
  <c r="C1560" i="3"/>
  <c r="A1561" i="3"/>
  <c r="B1561" i="3"/>
  <c r="C1561" i="3"/>
  <c r="A1562" i="3"/>
  <c r="B1562" i="3"/>
  <c r="C1562" i="3"/>
  <c r="A1563" i="3"/>
  <c r="B1563" i="3"/>
  <c r="C1563" i="3"/>
  <c r="A1564" i="3"/>
  <c r="B1564" i="3"/>
  <c r="C1564" i="3"/>
  <c r="A1565" i="3"/>
  <c r="B1565" i="3"/>
  <c r="C1565" i="3"/>
  <c r="A1566" i="3"/>
  <c r="B1566" i="3"/>
  <c r="C1566" i="3"/>
  <c r="A1567" i="3"/>
  <c r="B1567" i="3"/>
  <c r="C1567" i="3"/>
  <c r="A1568" i="3"/>
  <c r="B1568" i="3"/>
  <c r="C1568" i="3"/>
  <c r="A1569" i="3"/>
  <c r="B1569" i="3"/>
  <c r="C1569" i="3"/>
  <c r="A1570" i="3"/>
  <c r="B1570" i="3"/>
  <c r="C1570" i="3"/>
  <c r="A1571" i="3"/>
  <c r="B1571" i="3"/>
  <c r="C1571" i="3"/>
  <c r="A1572" i="3"/>
  <c r="B1572" i="3"/>
  <c r="C1572" i="3"/>
  <c r="A1573" i="3"/>
  <c r="B1573" i="3"/>
  <c r="C1573" i="3"/>
  <c r="A1574" i="3"/>
  <c r="B1574" i="3"/>
  <c r="C1574" i="3"/>
  <c r="A1575" i="3"/>
  <c r="B1575" i="3"/>
  <c r="C1575" i="3"/>
  <c r="A1576" i="3"/>
  <c r="B1576" i="3"/>
  <c r="C1576" i="3"/>
  <c r="A1577" i="3"/>
  <c r="B1577" i="3"/>
  <c r="C1577" i="3"/>
  <c r="A1578" i="3"/>
  <c r="B1578" i="3"/>
  <c r="C1578" i="3"/>
  <c r="A1579" i="3"/>
  <c r="B1579" i="3"/>
  <c r="C1579" i="3"/>
  <c r="A1580" i="3"/>
  <c r="B1580" i="3"/>
  <c r="C1580" i="3"/>
  <c r="A1581" i="3"/>
  <c r="B1581" i="3"/>
  <c r="C1581" i="3"/>
  <c r="A1582" i="3"/>
  <c r="B1582" i="3"/>
  <c r="C1582" i="3"/>
  <c r="A1583" i="3"/>
  <c r="B1583" i="3"/>
  <c r="C1583" i="3"/>
  <c r="A1584" i="3"/>
  <c r="B1584" i="3"/>
  <c r="C1584" i="3"/>
  <c r="A1585" i="3"/>
  <c r="B1585" i="3"/>
  <c r="C1585" i="3"/>
  <c r="A1586" i="3"/>
  <c r="B1586" i="3"/>
  <c r="C1586" i="3"/>
  <c r="A1587" i="3"/>
  <c r="B1587" i="3"/>
  <c r="C1587" i="3"/>
  <c r="A1588" i="3"/>
  <c r="B1588" i="3"/>
  <c r="C1588" i="3"/>
  <c r="A1589" i="3"/>
  <c r="B1589" i="3"/>
  <c r="C1589" i="3"/>
  <c r="A1590" i="3"/>
  <c r="B1590" i="3"/>
  <c r="C1590" i="3"/>
  <c r="A1591" i="3"/>
  <c r="B1591" i="3"/>
  <c r="C1591" i="3"/>
  <c r="A1592" i="3"/>
  <c r="B1592" i="3"/>
  <c r="C1592" i="3"/>
  <c r="A1593" i="3"/>
  <c r="B1593" i="3"/>
  <c r="C1593" i="3"/>
  <c r="A1594" i="3"/>
  <c r="B1594" i="3"/>
  <c r="C1594" i="3"/>
  <c r="A1595" i="3"/>
  <c r="B1595" i="3"/>
  <c r="C1595" i="3"/>
  <c r="A1596" i="3"/>
  <c r="B1596" i="3"/>
  <c r="C1596" i="3"/>
  <c r="A1597" i="3"/>
  <c r="B1597" i="3"/>
  <c r="C1597" i="3"/>
  <c r="A1598" i="3"/>
  <c r="B1598" i="3"/>
  <c r="C1598" i="3"/>
  <c r="A1599" i="3"/>
  <c r="B1599" i="3"/>
  <c r="C1599" i="3"/>
  <c r="A1600" i="3"/>
  <c r="B1600" i="3"/>
  <c r="C1600" i="3"/>
  <c r="A1601" i="3"/>
  <c r="B1601" i="3"/>
  <c r="C1601" i="3"/>
  <c r="A1602" i="3"/>
  <c r="B1602" i="3"/>
  <c r="C1602" i="3"/>
  <c r="A1603" i="3"/>
  <c r="B1603" i="3"/>
  <c r="C1603" i="3"/>
  <c r="A1604" i="3"/>
  <c r="B1604" i="3"/>
  <c r="C1604" i="3"/>
  <c r="A1605" i="3"/>
  <c r="B1605" i="3"/>
  <c r="C1605" i="3"/>
  <c r="A1606" i="3"/>
  <c r="B1606" i="3"/>
  <c r="C1606" i="3"/>
  <c r="A1607" i="3"/>
  <c r="B1607" i="3"/>
  <c r="C1607" i="3"/>
  <c r="A1608" i="3"/>
  <c r="B1608" i="3"/>
  <c r="C1608" i="3"/>
  <c r="A1609" i="3"/>
  <c r="B1609" i="3"/>
  <c r="C1609" i="3"/>
  <c r="A1610" i="3"/>
  <c r="B1610" i="3"/>
  <c r="C1610" i="3"/>
  <c r="A1611" i="3"/>
  <c r="B1611" i="3"/>
  <c r="C1611" i="3"/>
  <c r="A1612" i="3"/>
  <c r="B1612" i="3"/>
  <c r="C1612" i="3"/>
  <c r="A1613" i="3"/>
  <c r="B1613" i="3"/>
  <c r="C1613" i="3"/>
  <c r="A1614" i="3"/>
  <c r="B1614" i="3"/>
  <c r="C1614" i="3"/>
  <c r="A1615" i="3"/>
  <c r="B1615" i="3"/>
  <c r="C1615" i="3"/>
  <c r="A1616" i="3"/>
  <c r="B1616" i="3"/>
  <c r="C1616" i="3"/>
  <c r="A1617" i="3"/>
  <c r="B1617" i="3"/>
  <c r="C1617" i="3"/>
  <c r="A1618" i="3"/>
  <c r="B1618" i="3"/>
  <c r="C1618" i="3"/>
  <c r="A1619" i="3"/>
  <c r="B1619" i="3"/>
  <c r="C1619" i="3"/>
  <c r="A1620" i="3"/>
  <c r="B1620" i="3"/>
  <c r="C1620" i="3"/>
  <c r="A1621" i="3"/>
  <c r="B1621" i="3"/>
  <c r="C1621" i="3"/>
  <c r="A1622" i="3"/>
  <c r="B1622" i="3"/>
  <c r="C1622" i="3"/>
  <c r="A1623" i="3"/>
  <c r="B1623" i="3"/>
  <c r="C1623" i="3"/>
  <c r="A1624" i="3"/>
  <c r="B1624" i="3"/>
  <c r="C1624" i="3"/>
  <c r="A1625" i="3"/>
  <c r="B1625" i="3"/>
  <c r="C1625" i="3"/>
  <c r="A1626" i="3"/>
  <c r="B1626" i="3"/>
  <c r="C1626" i="3"/>
  <c r="A1627" i="3"/>
  <c r="B1627" i="3"/>
  <c r="C1627" i="3"/>
  <c r="A1628" i="3"/>
  <c r="B1628" i="3"/>
  <c r="C1628" i="3"/>
  <c r="A1629" i="3"/>
  <c r="B1629" i="3"/>
  <c r="C1629" i="3"/>
  <c r="A1630" i="3"/>
  <c r="B1630" i="3"/>
  <c r="C1630" i="3"/>
  <c r="A1631" i="3"/>
  <c r="B1631" i="3"/>
  <c r="C1631" i="3"/>
  <c r="A1632" i="3"/>
  <c r="B1632" i="3"/>
  <c r="C1632" i="3"/>
  <c r="A1633" i="3"/>
  <c r="B1633" i="3"/>
  <c r="C1633" i="3"/>
  <c r="A1634" i="3"/>
  <c r="B1634" i="3"/>
  <c r="C1634" i="3"/>
  <c r="A1635" i="3"/>
  <c r="B1635" i="3"/>
  <c r="C1635" i="3"/>
  <c r="A1636" i="3"/>
  <c r="B1636" i="3"/>
  <c r="C1636" i="3"/>
  <c r="A1637" i="3"/>
  <c r="B1637" i="3"/>
  <c r="C1637" i="3"/>
  <c r="A1638" i="3"/>
  <c r="B1638" i="3"/>
  <c r="C1638" i="3"/>
  <c r="A1639" i="3"/>
  <c r="B1639" i="3"/>
  <c r="C1639" i="3"/>
  <c r="A1640" i="3"/>
  <c r="B1640" i="3"/>
  <c r="C1640" i="3"/>
  <c r="A1641" i="3"/>
  <c r="B1641" i="3"/>
  <c r="C1641" i="3"/>
  <c r="A1642" i="3"/>
  <c r="B1642" i="3"/>
  <c r="C1642" i="3"/>
  <c r="A1643" i="3"/>
  <c r="B1643" i="3"/>
  <c r="C1643" i="3"/>
  <c r="A1644" i="3"/>
  <c r="B1644" i="3"/>
  <c r="C1644" i="3"/>
  <c r="A1645" i="3"/>
  <c r="B1645" i="3"/>
  <c r="C1645" i="3"/>
  <c r="A1646" i="3"/>
  <c r="B1646" i="3"/>
  <c r="C1646" i="3"/>
  <c r="A1647" i="3"/>
  <c r="B1647" i="3"/>
  <c r="C1647" i="3"/>
  <c r="A1648" i="3"/>
  <c r="B1648" i="3"/>
  <c r="C1648" i="3"/>
  <c r="A1649" i="3"/>
  <c r="B1649" i="3"/>
  <c r="C1649" i="3"/>
  <c r="A1650" i="3"/>
  <c r="B1650" i="3"/>
  <c r="C1650" i="3"/>
  <c r="A1651" i="3"/>
  <c r="B1651" i="3"/>
  <c r="C1651" i="3"/>
  <c r="A1652" i="3"/>
  <c r="B1652" i="3"/>
  <c r="C1652" i="3"/>
  <c r="A1653" i="3"/>
  <c r="B1653" i="3"/>
  <c r="C1653" i="3"/>
  <c r="A1654" i="3"/>
  <c r="B1654" i="3"/>
  <c r="C1654" i="3"/>
  <c r="A1655" i="3"/>
  <c r="B1655" i="3"/>
  <c r="C1655" i="3"/>
  <c r="A1656" i="3"/>
  <c r="B1656" i="3"/>
  <c r="C1656" i="3"/>
  <c r="A1657" i="3"/>
  <c r="B1657" i="3"/>
  <c r="C1657" i="3"/>
  <c r="A1658" i="3"/>
  <c r="B1658" i="3"/>
  <c r="C1658" i="3"/>
  <c r="A1659" i="3"/>
  <c r="B1659" i="3"/>
  <c r="C1659" i="3"/>
  <c r="A1660" i="3"/>
  <c r="B1660" i="3"/>
  <c r="C1660" i="3"/>
  <c r="A1661" i="3"/>
  <c r="B1661" i="3"/>
  <c r="C1661" i="3"/>
  <c r="A1662" i="3"/>
  <c r="B1662" i="3"/>
  <c r="C1662" i="3"/>
  <c r="A1663" i="3"/>
  <c r="B1663" i="3"/>
  <c r="C1663" i="3"/>
  <c r="A1664" i="3"/>
  <c r="B1664" i="3"/>
  <c r="C1664" i="3"/>
  <c r="A1665" i="3"/>
  <c r="B1665" i="3"/>
  <c r="C1665" i="3"/>
  <c r="A1666" i="3"/>
  <c r="B1666" i="3"/>
  <c r="C1666" i="3"/>
  <c r="A1667" i="3"/>
  <c r="B1667" i="3"/>
  <c r="C1667" i="3"/>
  <c r="A1668" i="3"/>
  <c r="B1668" i="3"/>
  <c r="C1668" i="3"/>
  <c r="A1669" i="3"/>
  <c r="B1669" i="3"/>
  <c r="C1669" i="3"/>
  <c r="A1670" i="3"/>
  <c r="B1670" i="3"/>
  <c r="C1670" i="3"/>
  <c r="A1671" i="3"/>
  <c r="B1671" i="3"/>
  <c r="C1671" i="3"/>
  <c r="A1672" i="3"/>
  <c r="B1672" i="3"/>
  <c r="C1672" i="3"/>
  <c r="A1673" i="3"/>
  <c r="B1673" i="3"/>
  <c r="C1673" i="3"/>
  <c r="A1674" i="3"/>
  <c r="B1674" i="3"/>
  <c r="C1674" i="3"/>
  <c r="A1675" i="3"/>
  <c r="B1675" i="3"/>
  <c r="C1675" i="3"/>
  <c r="A1676" i="3"/>
  <c r="B1676" i="3"/>
  <c r="C1676" i="3"/>
  <c r="A1677" i="3"/>
  <c r="B1677" i="3"/>
  <c r="C1677" i="3"/>
  <c r="A1678" i="3"/>
  <c r="B1678" i="3"/>
  <c r="C1678" i="3"/>
  <c r="A1679" i="3"/>
  <c r="B1679" i="3"/>
  <c r="C1679" i="3"/>
  <c r="A1680" i="3"/>
  <c r="B1680" i="3"/>
  <c r="C1680" i="3"/>
  <c r="A1681" i="3"/>
  <c r="B1681" i="3"/>
  <c r="C1681" i="3"/>
  <c r="A1682" i="3"/>
  <c r="B1682" i="3"/>
  <c r="C1682" i="3"/>
  <c r="A1683" i="3"/>
  <c r="B1683" i="3"/>
  <c r="C1683" i="3"/>
  <c r="A1684" i="3"/>
  <c r="B1684" i="3"/>
  <c r="C1684" i="3"/>
  <c r="A1685" i="3"/>
  <c r="B1685" i="3"/>
  <c r="C1685" i="3"/>
  <c r="A1686" i="3"/>
  <c r="B1686" i="3"/>
  <c r="C1686" i="3"/>
  <c r="A1687" i="3"/>
  <c r="B1687" i="3"/>
  <c r="C1687" i="3"/>
  <c r="A1688" i="3"/>
  <c r="B1688" i="3"/>
  <c r="C1688" i="3"/>
  <c r="A1689" i="3"/>
  <c r="B1689" i="3"/>
  <c r="C1689" i="3"/>
  <c r="A1690" i="3"/>
  <c r="B1690" i="3"/>
  <c r="C1690" i="3"/>
  <c r="A1691" i="3"/>
  <c r="B1691" i="3"/>
  <c r="C1691" i="3"/>
  <c r="A1692" i="3"/>
  <c r="B1692" i="3"/>
  <c r="C1692" i="3"/>
  <c r="A1693" i="3"/>
  <c r="B1693" i="3"/>
  <c r="C1693" i="3"/>
  <c r="A1694" i="3"/>
  <c r="B1694" i="3"/>
  <c r="C1694" i="3"/>
  <c r="A1695" i="3"/>
  <c r="B1695" i="3"/>
  <c r="C1695" i="3"/>
  <c r="A1696" i="3"/>
  <c r="B1696" i="3"/>
  <c r="C1696" i="3"/>
  <c r="A1697" i="3"/>
  <c r="B1697" i="3"/>
  <c r="C1697" i="3"/>
  <c r="A1698" i="3"/>
  <c r="B1698" i="3"/>
  <c r="C1698" i="3"/>
  <c r="A1699" i="3"/>
  <c r="B1699" i="3"/>
  <c r="C1699" i="3"/>
  <c r="A1700" i="3"/>
  <c r="B1700" i="3"/>
  <c r="C1700" i="3"/>
  <c r="A1701" i="3"/>
  <c r="B1701" i="3"/>
  <c r="C1701" i="3"/>
  <c r="A1702" i="3"/>
  <c r="B1702" i="3"/>
  <c r="C1702" i="3"/>
  <c r="A1703" i="3"/>
  <c r="B1703" i="3"/>
  <c r="C1703" i="3"/>
  <c r="A1704" i="3"/>
  <c r="B1704" i="3"/>
  <c r="C1704" i="3"/>
  <c r="A1705" i="3"/>
  <c r="B1705" i="3"/>
  <c r="C1705" i="3"/>
  <c r="A1706" i="3"/>
  <c r="B1706" i="3"/>
  <c r="C1706" i="3"/>
  <c r="A1707" i="3"/>
  <c r="B1707" i="3"/>
  <c r="C1707" i="3"/>
  <c r="A1708" i="3"/>
  <c r="B1708" i="3"/>
  <c r="C1708" i="3"/>
  <c r="A1709" i="3"/>
  <c r="B1709" i="3"/>
  <c r="C1709" i="3"/>
  <c r="A1710" i="3"/>
  <c r="B1710" i="3"/>
  <c r="C1710" i="3"/>
  <c r="A1711" i="3"/>
  <c r="B1711" i="3"/>
  <c r="C1711" i="3"/>
  <c r="A1712" i="3"/>
  <c r="B1712" i="3"/>
  <c r="C1712" i="3"/>
  <c r="A1713" i="3"/>
  <c r="B1713" i="3"/>
  <c r="C1713" i="3"/>
  <c r="A1714" i="3"/>
  <c r="B1714" i="3"/>
  <c r="C1714" i="3"/>
  <c r="A1715" i="3"/>
  <c r="B1715" i="3"/>
  <c r="C1715" i="3"/>
  <c r="A1716" i="3"/>
  <c r="B1716" i="3"/>
  <c r="C1716" i="3"/>
  <c r="A1717" i="3"/>
  <c r="B1717" i="3"/>
  <c r="C1717" i="3"/>
  <c r="A1718" i="3"/>
  <c r="B1718" i="3"/>
  <c r="C1718" i="3"/>
  <c r="A1719" i="3"/>
  <c r="B1719" i="3"/>
  <c r="C1719" i="3"/>
  <c r="A1720" i="3"/>
  <c r="B1720" i="3"/>
  <c r="C1720" i="3"/>
  <c r="A1721" i="3"/>
  <c r="B1721" i="3"/>
  <c r="C1721" i="3"/>
  <c r="A1722" i="3"/>
  <c r="B1722" i="3"/>
  <c r="C1722" i="3"/>
  <c r="A1723" i="3"/>
  <c r="B1723" i="3"/>
  <c r="C1723" i="3"/>
  <c r="A1724" i="3"/>
  <c r="B1724" i="3"/>
  <c r="C1724" i="3"/>
  <c r="A1725" i="3"/>
  <c r="B1725" i="3"/>
  <c r="C1725" i="3"/>
  <c r="A1726" i="3"/>
  <c r="B1726" i="3"/>
  <c r="C1726" i="3"/>
  <c r="A1727" i="3"/>
  <c r="B1727" i="3"/>
  <c r="C1727" i="3"/>
  <c r="A1728" i="3"/>
  <c r="B1728" i="3"/>
  <c r="C1728" i="3"/>
  <c r="A1729" i="3"/>
  <c r="B1729" i="3"/>
  <c r="C1729" i="3"/>
  <c r="A1730" i="3"/>
  <c r="B1730" i="3"/>
  <c r="C1730" i="3"/>
  <c r="A1731" i="3"/>
  <c r="B1731" i="3"/>
  <c r="C1731" i="3"/>
  <c r="A1732" i="3"/>
  <c r="B1732" i="3"/>
  <c r="C1732" i="3"/>
  <c r="A1733" i="3"/>
  <c r="B1733" i="3"/>
  <c r="C1733" i="3"/>
  <c r="A1734" i="3"/>
  <c r="B1734" i="3"/>
  <c r="C1734" i="3"/>
  <c r="A1735" i="3"/>
  <c r="B1735" i="3"/>
  <c r="C1735" i="3"/>
  <c r="A1736" i="3"/>
  <c r="B1736" i="3"/>
  <c r="C1736" i="3"/>
  <c r="A1737" i="3"/>
  <c r="B1737" i="3"/>
  <c r="C1737" i="3"/>
  <c r="A1738" i="3"/>
  <c r="B1738" i="3"/>
  <c r="C1738" i="3"/>
  <c r="A1739" i="3"/>
  <c r="B1739" i="3"/>
  <c r="C1739" i="3"/>
  <c r="A1740" i="3"/>
  <c r="B1740" i="3"/>
  <c r="C1740" i="3"/>
  <c r="A1741" i="3"/>
  <c r="B1741" i="3"/>
  <c r="C1741" i="3"/>
  <c r="A1742" i="3"/>
  <c r="B1742" i="3"/>
  <c r="C1742" i="3"/>
  <c r="A1743" i="3"/>
  <c r="B1743" i="3"/>
  <c r="C1743" i="3"/>
  <c r="A1744" i="3"/>
  <c r="B1744" i="3"/>
  <c r="C1744" i="3"/>
  <c r="A1745" i="3"/>
  <c r="B1745" i="3"/>
  <c r="C1745" i="3"/>
  <c r="A1746" i="3"/>
  <c r="B1746" i="3"/>
  <c r="C1746" i="3"/>
  <c r="A1747" i="3"/>
  <c r="B1747" i="3"/>
  <c r="C1747" i="3"/>
  <c r="A1748" i="3"/>
  <c r="B1748" i="3"/>
  <c r="C1748" i="3"/>
  <c r="A1749" i="3"/>
  <c r="B1749" i="3"/>
  <c r="C1749" i="3"/>
  <c r="A1750" i="3"/>
  <c r="B1750" i="3"/>
  <c r="C1750" i="3"/>
  <c r="A1751" i="3"/>
  <c r="B1751" i="3"/>
  <c r="C1751" i="3"/>
  <c r="A1752" i="3"/>
  <c r="B1752" i="3"/>
  <c r="C1752" i="3"/>
  <c r="A1753" i="3"/>
  <c r="B1753" i="3"/>
  <c r="C1753" i="3"/>
  <c r="A1754" i="3"/>
  <c r="B1754" i="3"/>
  <c r="C1754" i="3"/>
  <c r="A1755" i="3"/>
  <c r="B1755" i="3"/>
  <c r="C1755" i="3"/>
  <c r="A1756" i="3"/>
  <c r="B1756" i="3"/>
  <c r="C1756" i="3"/>
  <c r="A1757" i="3"/>
  <c r="B1757" i="3"/>
  <c r="C1757" i="3"/>
  <c r="A1758" i="3"/>
  <c r="B1758" i="3"/>
  <c r="C1758" i="3"/>
  <c r="A1759" i="3"/>
  <c r="B1759" i="3"/>
  <c r="C1759" i="3"/>
  <c r="A1760" i="3"/>
  <c r="B1760" i="3"/>
  <c r="C1760" i="3"/>
  <c r="A1761" i="3"/>
  <c r="B1761" i="3"/>
  <c r="C1761" i="3"/>
  <c r="A1762" i="3"/>
  <c r="B1762" i="3"/>
  <c r="C1762" i="3"/>
  <c r="A1763" i="3"/>
  <c r="B1763" i="3"/>
  <c r="C1763" i="3"/>
  <c r="A1764" i="3"/>
  <c r="B1764" i="3"/>
  <c r="C1764" i="3"/>
  <c r="A1765" i="3"/>
  <c r="B1765" i="3"/>
  <c r="C1765" i="3"/>
  <c r="A1766" i="3"/>
  <c r="B1766" i="3"/>
  <c r="C1766" i="3"/>
  <c r="A1767" i="3"/>
  <c r="B1767" i="3"/>
  <c r="C1767" i="3"/>
  <c r="A1768" i="3"/>
  <c r="B1768" i="3"/>
  <c r="C1768" i="3"/>
  <c r="A1769" i="3"/>
  <c r="B1769" i="3"/>
  <c r="C1769" i="3"/>
  <c r="A1770" i="3"/>
  <c r="B1770" i="3"/>
  <c r="C1770" i="3"/>
  <c r="A1771" i="3"/>
  <c r="B1771" i="3"/>
  <c r="C1771" i="3"/>
  <c r="A1772" i="3"/>
  <c r="B1772" i="3"/>
  <c r="C1772" i="3"/>
  <c r="A1773" i="3"/>
  <c r="B1773" i="3"/>
  <c r="C1773" i="3"/>
  <c r="A1774" i="3"/>
  <c r="B1774" i="3"/>
  <c r="C1774" i="3"/>
  <c r="A1775" i="3"/>
  <c r="B1775" i="3"/>
  <c r="C1775" i="3"/>
  <c r="A1776" i="3"/>
  <c r="B1776" i="3"/>
  <c r="C1776" i="3"/>
  <c r="A1777" i="3"/>
  <c r="B1777" i="3"/>
  <c r="C1777" i="3"/>
  <c r="A1778" i="3"/>
  <c r="B1778" i="3"/>
  <c r="C1778" i="3"/>
  <c r="A1779" i="3"/>
  <c r="B1779" i="3"/>
  <c r="C1779" i="3"/>
  <c r="A1780" i="3"/>
  <c r="B1780" i="3"/>
  <c r="C1780" i="3"/>
  <c r="A1781" i="3"/>
  <c r="B1781" i="3"/>
  <c r="C1781" i="3"/>
  <c r="A1782" i="3"/>
  <c r="B1782" i="3"/>
  <c r="C1782" i="3"/>
  <c r="A1783" i="3"/>
  <c r="B1783" i="3"/>
  <c r="C1783" i="3"/>
  <c r="A1784" i="3"/>
  <c r="B1784" i="3"/>
  <c r="C1784" i="3"/>
  <c r="A1785" i="3"/>
  <c r="B1785" i="3"/>
  <c r="C1785" i="3"/>
  <c r="A1786" i="3"/>
  <c r="B1786" i="3"/>
  <c r="C1786" i="3"/>
  <c r="A1787" i="3"/>
  <c r="B1787" i="3"/>
  <c r="C1787" i="3"/>
  <c r="A1788" i="3"/>
  <c r="B1788" i="3"/>
  <c r="C1788" i="3"/>
  <c r="A1789" i="3"/>
  <c r="B1789" i="3"/>
  <c r="C1789" i="3"/>
  <c r="A1790" i="3"/>
  <c r="B1790" i="3"/>
  <c r="C1790" i="3"/>
  <c r="A1791" i="3"/>
  <c r="B1791" i="3"/>
  <c r="C1791" i="3"/>
  <c r="A1792" i="3"/>
  <c r="B1792" i="3"/>
  <c r="C1792" i="3"/>
  <c r="A1793" i="3"/>
  <c r="B1793" i="3"/>
  <c r="C1793" i="3"/>
  <c r="A1794" i="3"/>
  <c r="B1794" i="3"/>
  <c r="C1794" i="3"/>
  <c r="A1795" i="3"/>
  <c r="B1795" i="3"/>
  <c r="C1795" i="3"/>
  <c r="A1796" i="3"/>
  <c r="B1796" i="3"/>
  <c r="C1796" i="3"/>
  <c r="A1797" i="3"/>
  <c r="B1797" i="3"/>
  <c r="C1797" i="3"/>
  <c r="A1798" i="3"/>
  <c r="B1798" i="3"/>
  <c r="C1798" i="3"/>
  <c r="A1799" i="3"/>
  <c r="B1799" i="3"/>
  <c r="C1799" i="3"/>
  <c r="A1800" i="3"/>
  <c r="B1800" i="3"/>
  <c r="C1800" i="3"/>
  <c r="A1801" i="3"/>
  <c r="B1801" i="3"/>
  <c r="C1801" i="3"/>
  <c r="A1802" i="3"/>
  <c r="B1802" i="3"/>
  <c r="C1802" i="3"/>
  <c r="A1803" i="3"/>
  <c r="B1803" i="3"/>
  <c r="C1803" i="3"/>
  <c r="A1804" i="3"/>
  <c r="B1804" i="3"/>
  <c r="C1804" i="3"/>
  <c r="A1805" i="3"/>
  <c r="B1805" i="3"/>
  <c r="C1805" i="3"/>
  <c r="A1806" i="3"/>
  <c r="B1806" i="3"/>
  <c r="C1806" i="3"/>
  <c r="A1807" i="3"/>
  <c r="B1807" i="3"/>
  <c r="C1807" i="3"/>
  <c r="A1808" i="3"/>
  <c r="B1808" i="3"/>
  <c r="C1808" i="3"/>
  <c r="A1809" i="3"/>
  <c r="B1809" i="3"/>
  <c r="C1809" i="3"/>
  <c r="A1810" i="3"/>
  <c r="B1810" i="3"/>
  <c r="C1810" i="3"/>
  <c r="A1811" i="3"/>
  <c r="B1811" i="3"/>
  <c r="C1811" i="3"/>
  <c r="A1812" i="3"/>
  <c r="B1812" i="3"/>
  <c r="C1812" i="3"/>
  <c r="A1813" i="3"/>
  <c r="B1813" i="3"/>
  <c r="C1813" i="3"/>
  <c r="A1814" i="3"/>
  <c r="B1814" i="3"/>
  <c r="C1814" i="3"/>
  <c r="A1815" i="3"/>
  <c r="B1815" i="3"/>
  <c r="C1815" i="3"/>
  <c r="A1816" i="3"/>
  <c r="B1816" i="3"/>
  <c r="C1816" i="3"/>
  <c r="A1817" i="3"/>
  <c r="B1817" i="3"/>
  <c r="C1817" i="3"/>
  <c r="A1818" i="3"/>
  <c r="B1818" i="3"/>
  <c r="C1818" i="3"/>
  <c r="A1819" i="3"/>
  <c r="B1819" i="3"/>
  <c r="C1819" i="3"/>
  <c r="A1820" i="3"/>
  <c r="B1820" i="3"/>
  <c r="C1820" i="3"/>
  <c r="A1821" i="3"/>
  <c r="B1821" i="3"/>
  <c r="C1821" i="3"/>
  <c r="A1822" i="3"/>
  <c r="B1822" i="3"/>
  <c r="C1822" i="3"/>
  <c r="A1823" i="3"/>
  <c r="B1823" i="3"/>
  <c r="C1823" i="3"/>
  <c r="A1824" i="3"/>
  <c r="B1824" i="3"/>
  <c r="C1824" i="3"/>
  <c r="A1825" i="3"/>
  <c r="B1825" i="3"/>
  <c r="C1825" i="3"/>
  <c r="A1826" i="3"/>
  <c r="B1826" i="3"/>
  <c r="C1826" i="3"/>
  <c r="A1827" i="3"/>
  <c r="B1827" i="3"/>
  <c r="C1827" i="3"/>
  <c r="A1828" i="3"/>
  <c r="B1828" i="3"/>
  <c r="C1828" i="3"/>
  <c r="A1829" i="3"/>
  <c r="B1829" i="3"/>
  <c r="C1829" i="3"/>
  <c r="A1830" i="3"/>
  <c r="B1830" i="3"/>
  <c r="C1830" i="3"/>
  <c r="A1831" i="3"/>
  <c r="B1831" i="3"/>
  <c r="C1831" i="3"/>
  <c r="A1832" i="3"/>
  <c r="B1832" i="3"/>
  <c r="C1832" i="3"/>
  <c r="A1833" i="3"/>
  <c r="B1833" i="3"/>
  <c r="C1833" i="3"/>
  <c r="A1834" i="3"/>
  <c r="B1834" i="3"/>
  <c r="C1834" i="3"/>
  <c r="A1835" i="3"/>
  <c r="B1835" i="3"/>
  <c r="C1835" i="3"/>
  <c r="A1836" i="3"/>
  <c r="B1836" i="3"/>
  <c r="C1836" i="3"/>
  <c r="A1837" i="3"/>
  <c r="B1837" i="3"/>
  <c r="C1837" i="3"/>
  <c r="A1838" i="3"/>
  <c r="B1838" i="3"/>
  <c r="C1838" i="3"/>
  <c r="A1839" i="3"/>
  <c r="B1839" i="3"/>
  <c r="C1839" i="3"/>
  <c r="A1840" i="3"/>
  <c r="B1840" i="3"/>
  <c r="C1840" i="3"/>
  <c r="A1841" i="3"/>
  <c r="B1841" i="3"/>
  <c r="C1841" i="3"/>
  <c r="A1842" i="3"/>
  <c r="B1842" i="3"/>
  <c r="C1842" i="3"/>
  <c r="A1843" i="3"/>
  <c r="B1843" i="3"/>
  <c r="C1843" i="3"/>
  <c r="A1844" i="3"/>
  <c r="B1844" i="3"/>
  <c r="C1844" i="3"/>
  <c r="A1845" i="3"/>
  <c r="B1845" i="3"/>
  <c r="C1845" i="3"/>
  <c r="A1846" i="3"/>
  <c r="B1846" i="3"/>
  <c r="C1846" i="3"/>
  <c r="A1847" i="3"/>
  <c r="B1847" i="3"/>
  <c r="C1847" i="3"/>
  <c r="A1848" i="3"/>
  <c r="B1848" i="3"/>
  <c r="C1848" i="3"/>
  <c r="A1849" i="3"/>
  <c r="B1849" i="3"/>
  <c r="C1849" i="3"/>
  <c r="A1850" i="3"/>
  <c r="B1850" i="3"/>
  <c r="C1850" i="3"/>
  <c r="A1851" i="3"/>
  <c r="B1851" i="3"/>
  <c r="C1851" i="3"/>
  <c r="A1852" i="3"/>
  <c r="B1852" i="3"/>
  <c r="C1852" i="3"/>
  <c r="A1853" i="3"/>
  <c r="B1853" i="3"/>
  <c r="C1853" i="3"/>
  <c r="A1854" i="3"/>
  <c r="B1854" i="3"/>
  <c r="C1854" i="3"/>
  <c r="A1855" i="3"/>
  <c r="B1855" i="3"/>
  <c r="C1855" i="3"/>
  <c r="A1856" i="3"/>
  <c r="B1856" i="3"/>
  <c r="C1856" i="3"/>
  <c r="A1857" i="3"/>
  <c r="B1857" i="3"/>
  <c r="C1857" i="3"/>
  <c r="A1858" i="3"/>
  <c r="B1858" i="3"/>
  <c r="C1858" i="3"/>
  <c r="A1859" i="3"/>
  <c r="B1859" i="3"/>
  <c r="C1859" i="3"/>
  <c r="A1860" i="3"/>
  <c r="B1860" i="3"/>
  <c r="C1860" i="3"/>
  <c r="A1861" i="3"/>
  <c r="B1861" i="3"/>
  <c r="C1861" i="3"/>
  <c r="A1862" i="3"/>
  <c r="B1862" i="3"/>
  <c r="C1862" i="3"/>
  <c r="A1863" i="3"/>
  <c r="B1863" i="3"/>
  <c r="C1863" i="3"/>
  <c r="A1864" i="3"/>
  <c r="B1864" i="3"/>
  <c r="C1864" i="3"/>
  <c r="A1865" i="3"/>
  <c r="B1865" i="3"/>
  <c r="C1865" i="3"/>
  <c r="A1866" i="3"/>
  <c r="B1866" i="3"/>
  <c r="C1866" i="3"/>
  <c r="A1867" i="3"/>
  <c r="B1867" i="3"/>
  <c r="C1867" i="3"/>
  <c r="A1868" i="3"/>
  <c r="B1868" i="3"/>
  <c r="C1868" i="3"/>
  <c r="A1869" i="3"/>
  <c r="B1869" i="3"/>
  <c r="C1869" i="3"/>
  <c r="A1870" i="3"/>
  <c r="B1870" i="3"/>
  <c r="C1870" i="3"/>
  <c r="A1871" i="3"/>
  <c r="B1871" i="3"/>
  <c r="C1871" i="3"/>
  <c r="A1872" i="3"/>
  <c r="B1872" i="3"/>
  <c r="C1872" i="3"/>
  <c r="A1873" i="3"/>
  <c r="B1873" i="3"/>
  <c r="C1873" i="3"/>
  <c r="A1874" i="3"/>
  <c r="B1874" i="3"/>
  <c r="C1874" i="3"/>
  <c r="A1875" i="3"/>
  <c r="B1875" i="3"/>
  <c r="C1875" i="3"/>
  <c r="A1876" i="3"/>
  <c r="B1876" i="3"/>
  <c r="C1876" i="3"/>
  <c r="A1877" i="3"/>
  <c r="B1877" i="3"/>
  <c r="C1877" i="3"/>
  <c r="A1878" i="3"/>
  <c r="B1878" i="3"/>
  <c r="C1878" i="3"/>
  <c r="A1879" i="3"/>
  <c r="B1879" i="3"/>
  <c r="C1879" i="3"/>
  <c r="A1880" i="3"/>
  <c r="B1880" i="3"/>
  <c r="C1880" i="3"/>
  <c r="A1881" i="3"/>
  <c r="B1881" i="3"/>
  <c r="C1881" i="3"/>
  <c r="A1882" i="3"/>
  <c r="B1882" i="3"/>
  <c r="C1882" i="3"/>
  <c r="A1883" i="3"/>
  <c r="B1883" i="3"/>
  <c r="C1883" i="3"/>
  <c r="A1884" i="3"/>
  <c r="B1884" i="3"/>
  <c r="C1884" i="3"/>
  <c r="A1885" i="3"/>
  <c r="B1885" i="3"/>
  <c r="C1885" i="3"/>
  <c r="A1886" i="3"/>
  <c r="B1886" i="3"/>
  <c r="C1886" i="3"/>
  <c r="A1887" i="3"/>
  <c r="B1887" i="3"/>
  <c r="C1887" i="3"/>
  <c r="A1888" i="3"/>
  <c r="B1888" i="3"/>
  <c r="C1888" i="3"/>
  <c r="A1889" i="3"/>
  <c r="B1889" i="3"/>
  <c r="C1889" i="3"/>
  <c r="A1890" i="3"/>
  <c r="B1890" i="3"/>
  <c r="C1890" i="3"/>
  <c r="A1891" i="3"/>
  <c r="B1891" i="3"/>
  <c r="C1891" i="3"/>
  <c r="A1892" i="3"/>
  <c r="B1892" i="3"/>
  <c r="C1892" i="3"/>
  <c r="A1893" i="3"/>
  <c r="B1893" i="3"/>
  <c r="C1893" i="3"/>
  <c r="A1894" i="3"/>
  <c r="B1894" i="3"/>
  <c r="C1894" i="3"/>
  <c r="A1895" i="3"/>
  <c r="B1895" i="3"/>
  <c r="C1895" i="3"/>
  <c r="A1896" i="3"/>
  <c r="B1896" i="3"/>
  <c r="C1896" i="3"/>
  <c r="A1897" i="3"/>
  <c r="B1897" i="3"/>
  <c r="C1897" i="3"/>
  <c r="A1898" i="3"/>
  <c r="B1898" i="3"/>
  <c r="C1898" i="3"/>
  <c r="A1899" i="3"/>
  <c r="B1899" i="3"/>
  <c r="C1899" i="3"/>
  <c r="A1900" i="3"/>
  <c r="B1900" i="3"/>
  <c r="C1900" i="3"/>
  <c r="A1901" i="3"/>
  <c r="B1901" i="3"/>
  <c r="C1901" i="3"/>
  <c r="A1902" i="3"/>
  <c r="B1902" i="3"/>
  <c r="C1902" i="3"/>
  <c r="A1903" i="3"/>
  <c r="B1903" i="3"/>
  <c r="C1903" i="3"/>
  <c r="A1904" i="3"/>
  <c r="B1904" i="3"/>
  <c r="C1904" i="3"/>
  <c r="A1905" i="3"/>
  <c r="B1905" i="3"/>
  <c r="C1905" i="3"/>
  <c r="A1906" i="3"/>
  <c r="B1906" i="3"/>
  <c r="C1906" i="3"/>
  <c r="A1907" i="3"/>
  <c r="B1907" i="3"/>
  <c r="C1907" i="3"/>
  <c r="A1908" i="3"/>
  <c r="B1908" i="3"/>
  <c r="C1908" i="3"/>
  <c r="A1909" i="3"/>
  <c r="B1909" i="3"/>
  <c r="C1909" i="3"/>
  <c r="A1910" i="3"/>
  <c r="B1910" i="3"/>
  <c r="C1910" i="3"/>
  <c r="A1911" i="3"/>
  <c r="B1911" i="3"/>
  <c r="C1911" i="3"/>
  <c r="A1912" i="3"/>
  <c r="B1912" i="3"/>
  <c r="C1912" i="3"/>
  <c r="A1913" i="3"/>
  <c r="B1913" i="3"/>
  <c r="C1913" i="3"/>
  <c r="A1914" i="3"/>
  <c r="B1914" i="3"/>
  <c r="C1914" i="3"/>
  <c r="A1915" i="3"/>
  <c r="B1915" i="3"/>
  <c r="C1915" i="3"/>
  <c r="A1916" i="3"/>
  <c r="B1916" i="3"/>
  <c r="C1916" i="3"/>
  <c r="A1917" i="3"/>
  <c r="B1917" i="3"/>
  <c r="C1917" i="3"/>
  <c r="A1918" i="3"/>
  <c r="B1918" i="3"/>
  <c r="C1918" i="3"/>
  <c r="A1919" i="3"/>
  <c r="B1919" i="3"/>
  <c r="C1919" i="3"/>
  <c r="A1920" i="3"/>
  <c r="B1920" i="3"/>
  <c r="C1920" i="3"/>
  <c r="A1921" i="3"/>
  <c r="B1921" i="3"/>
  <c r="C1921" i="3"/>
  <c r="A1922" i="3"/>
  <c r="B1922" i="3"/>
  <c r="C1922" i="3"/>
  <c r="A1923" i="3"/>
  <c r="B1923" i="3"/>
  <c r="C1923" i="3"/>
  <c r="A1924" i="3"/>
  <c r="B1924" i="3"/>
  <c r="C1924" i="3"/>
  <c r="A1925" i="3"/>
  <c r="B1925" i="3"/>
  <c r="C1925" i="3"/>
  <c r="A1926" i="3"/>
  <c r="B1926" i="3"/>
  <c r="C1926" i="3"/>
  <c r="A1927" i="3"/>
  <c r="B1927" i="3"/>
  <c r="C1927" i="3"/>
  <c r="A1928" i="3"/>
  <c r="B1928" i="3"/>
  <c r="C1928" i="3"/>
  <c r="A1929" i="3"/>
  <c r="B1929" i="3"/>
  <c r="C1929" i="3"/>
  <c r="A1930" i="3"/>
  <c r="B1930" i="3"/>
  <c r="C1930" i="3"/>
  <c r="A1931" i="3"/>
  <c r="B1931" i="3"/>
  <c r="C1931" i="3"/>
  <c r="A1932" i="3"/>
  <c r="B1932" i="3"/>
  <c r="C1932" i="3"/>
  <c r="A1933" i="3"/>
  <c r="B1933" i="3"/>
  <c r="C1933" i="3"/>
  <c r="A1934" i="3"/>
  <c r="B1934" i="3"/>
  <c r="C1934" i="3"/>
  <c r="A1935" i="3"/>
  <c r="B1935" i="3"/>
  <c r="C1935" i="3"/>
  <c r="A1936" i="3"/>
  <c r="B1936" i="3"/>
  <c r="C1936" i="3"/>
  <c r="A1937" i="3"/>
  <c r="B1937" i="3"/>
  <c r="C1937" i="3"/>
  <c r="A1938" i="3"/>
  <c r="B1938" i="3"/>
  <c r="C1938" i="3"/>
  <c r="A1939" i="3"/>
  <c r="B1939" i="3"/>
  <c r="C1939" i="3"/>
  <c r="A1940" i="3"/>
  <c r="B1940" i="3"/>
  <c r="C1940" i="3"/>
  <c r="A1941" i="3"/>
  <c r="B1941" i="3"/>
  <c r="C1941" i="3"/>
  <c r="A1942" i="3"/>
  <c r="B1942" i="3"/>
  <c r="C1942" i="3"/>
  <c r="A1943" i="3"/>
  <c r="B1943" i="3"/>
  <c r="C1943" i="3"/>
  <c r="A1944" i="3"/>
  <c r="B1944" i="3"/>
  <c r="C1944" i="3"/>
  <c r="A1945" i="3"/>
  <c r="B1945" i="3"/>
  <c r="C1945" i="3"/>
  <c r="A1946" i="3"/>
  <c r="B1946" i="3"/>
  <c r="C1946" i="3"/>
  <c r="A1947" i="3"/>
  <c r="B1947" i="3"/>
  <c r="C1947" i="3"/>
  <c r="A1948" i="3"/>
  <c r="B1948" i="3"/>
  <c r="C1948" i="3"/>
  <c r="A1949" i="3"/>
  <c r="B1949" i="3"/>
  <c r="C1949" i="3"/>
  <c r="A1950" i="3"/>
  <c r="B1950" i="3"/>
  <c r="C1950" i="3"/>
  <c r="A1951" i="3"/>
  <c r="B1951" i="3"/>
  <c r="C1951" i="3"/>
  <c r="A1952" i="3"/>
  <c r="B1952" i="3"/>
  <c r="C1952" i="3"/>
  <c r="A1953" i="3"/>
  <c r="B1953" i="3"/>
  <c r="C1953" i="3"/>
  <c r="A1954" i="3"/>
  <c r="B1954" i="3"/>
  <c r="C1954" i="3"/>
  <c r="A1955" i="3"/>
  <c r="B1955" i="3"/>
  <c r="C1955" i="3"/>
  <c r="A1956" i="3"/>
  <c r="B1956" i="3"/>
  <c r="C1956" i="3"/>
  <c r="A1957" i="3"/>
  <c r="B1957" i="3"/>
  <c r="C1957" i="3"/>
  <c r="A1958" i="3"/>
  <c r="B1958" i="3"/>
  <c r="C1958" i="3"/>
  <c r="A1959" i="3"/>
  <c r="B1959" i="3"/>
  <c r="C1959" i="3"/>
  <c r="A1960" i="3"/>
  <c r="B1960" i="3"/>
  <c r="C1960" i="3"/>
  <c r="A1961" i="3"/>
  <c r="B1961" i="3"/>
  <c r="C1961" i="3"/>
  <c r="A1962" i="3"/>
  <c r="B1962" i="3"/>
  <c r="C1962" i="3"/>
  <c r="A1963" i="3"/>
  <c r="B1963" i="3"/>
  <c r="C1963" i="3"/>
  <c r="A1964" i="3"/>
  <c r="B1964" i="3"/>
  <c r="C1964" i="3"/>
  <c r="A1965" i="3"/>
  <c r="B1965" i="3"/>
  <c r="C1965" i="3"/>
  <c r="A1966" i="3"/>
  <c r="B1966" i="3"/>
  <c r="C1966" i="3"/>
  <c r="A1967" i="3"/>
  <c r="B1967" i="3"/>
  <c r="C1967" i="3"/>
  <c r="A1968" i="3"/>
  <c r="B1968" i="3"/>
  <c r="C1968" i="3"/>
  <c r="A1969" i="3"/>
  <c r="B1969" i="3"/>
  <c r="C1969" i="3"/>
  <c r="A1970" i="3"/>
  <c r="B1970" i="3"/>
  <c r="C1970" i="3"/>
  <c r="A1971" i="3"/>
  <c r="B1971" i="3"/>
  <c r="C1971" i="3"/>
  <c r="A1972" i="3"/>
  <c r="B1972" i="3"/>
  <c r="C1972" i="3"/>
  <c r="A1973" i="3"/>
  <c r="B1973" i="3"/>
  <c r="C1973" i="3"/>
  <c r="A1974" i="3"/>
  <c r="B1974" i="3"/>
  <c r="C1974" i="3"/>
  <c r="A1975" i="3"/>
  <c r="B1975" i="3"/>
  <c r="C1975" i="3"/>
  <c r="A1976" i="3"/>
  <c r="B1976" i="3"/>
  <c r="C1976" i="3"/>
  <c r="A1977" i="3"/>
  <c r="B1977" i="3"/>
  <c r="C1977" i="3"/>
  <c r="A1978" i="3"/>
  <c r="B1978" i="3"/>
  <c r="C1978" i="3"/>
  <c r="A1979" i="3"/>
  <c r="B1979" i="3"/>
  <c r="C1979" i="3"/>
  <c r="A1980" i="3"/>
  <c r="B1980" i="3"/>
  <c r="C1980" i="3"/>
  <c r="A1981" i="3"/>
  <c r="B1981" i="3"/>
  <c r="C1981" i="3"/>
  <c r="A1982" i="3"/>
  <c r="B1982" i="3"/>
  <c r="C1982" i="3"/>
  <c r="A1983" i="3"/>
  <c r="B1983" i="3"/>
  <c r="C1983" i="3"/>
  <c r="A1984" i="3"/>
  <c r="B1984" i="3"/>
  <c r="C1984" i="3"/>
  <c r="A1985" i="3"/>
  <c r="B1985" i="3"/>
  <c r="C1985" i="3"/>
  <c r="A1986" i="3"/>
  <c r="B1986" i="3"/>
  <c r="C1986" i="3"/>
  <c r="A1987" i="3"/>
  <c r="B1987" i="3"/>
  <c r="C1987" i="3"/>
  <c r="A1988" i="3"/>
  <c r="B1988" i="3"/>
  <c r="C1988" i="3"/>
  <c r="A1989" i="3"/>
  <c r="B1989" i="3"/>
  <c r="C1989" i="3"/>
  <c r="A1990" i="3"/>
  <c r="B1990" i="3"/>
  <c r="C1990" i="3"/>
  <c r="A1991" i="3"/>
  <c r="B1991" i="3"/>
  <c r="C1991" i="3"/>
  <c r="A1992" i="3"/>
  <c r="B1992" i="3"/>
  <c r="C1992" i="3"/>
  <c r="A1993" i="3"/>
  <c r="B1993" i="3"/>
  <c r="C1993" i="3"/>
  <c r="A1994" i="3"/>
  <c r="B1994" i="3"/>
  <c r="C1994" i="3"/>
  <c r="A1995" i="3"/>
  <c r="B1995" i="3"/>
  <c r="C1995" i="3"/>
  <c r="A1996" i="3"/>
  <c r="B1996" i="3"/>
  <c r="C1996" i="3"/>
  <c r="A1997" i="3"/>
  <c r="B1997" i="3"/>
  <c r="C1997" i="3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3F555-9D14-4844-B171-D0C063105689}" name="claims_raw" type="6" refreshedVersion="8" background="1" saveData="1">
    <textPr codePage="10000" sourceFile="/Users/poojasrivastava/Downloads/claims_raw.csv">
      <textFields>
        <textField/>
      </textFields>
    </textPr>
  </connection>
</connections>
</file>

<file path=xl/sharedStrings.xml><?xml version="1.0" encoding="utf-8"?>
<sst xmlns="http://schemas.openxmlformats.org/spreadsheetml/2006/main" count="14352" uniqueCount="2447">
  <si>
    <t>claim_id</t>
  </si>
  <si>
    <t>patient_id</t>
  </si>
  <si>
    <t>provider_id</t>
  </si>
  <si>
    <t>claim_date</t>
  </si>
  <si>
    <t>service_type</t>
  </si>
  <si>
    <t>diagnosis_code</t>
  </si>
  <si>
    <t>diagnosis_desc</t>
  </si>
  <si>
    <t>care_hours</t>
  </si>
  <si>
    <t>hourly_rate</t>
  </si>
  <si>
    <t>billed_amount</t>
  </si>
  <si>
    <t>state</t>
  </si>
  <si>
    <t>is_fraud</t>
  </si>
  <si>
    <t>fraud_type</t>
  </si>
  <si>
    <t>CLM00001</t>
  </si>
  <si>
    <t>PAT0204</t>
  </si>
  <si>
    <t>PRV0059</t>
  </si>
  <si>
    <t>Respite Care</t>
  </si>
  <si>
    <t>M54.5</t>
  </si>
  <si>
    <t>Low back pain</t>
  </si>
  <si>
    <t>TX</t>
  </si>
  <si>
    <t>CLM00002</t>
  </si>
  <si>
    <t>PAT0193</t>
  </si>
  <si>
    <t>PRV0004</t>
  </si>
  <si>
    <t>Skilled Nursing</t>
  </si>
  <si>
    <t>G30.9</t>
  </si>
  <si>
    <t>Alzheimer's disease</t>
  </si>
  <si>
    <t>FL</t>
  </si>
  <si>
    <t>CLM00003</t>
  </si>
  <si>
    <t>PAT0164</t>
  </si>
  <si>
    <t>PRV0041</t>
  </si>
  <si>
    <t>M79.3</t>
  </si>
  <si>
    <t>Panniculitis</t>
  </si>
  <si>
    <t>NY</t>
  </si>
  <si>
    <t>CLM00004</t>
  </si>
  <si>
    <t>PAT0287</t>
  </si>
  <si>
    <t>PRV0043</t>
  </si>
  <si>
    <t>MD</t>
  </si>
  <si>
    <t>CLM00005</t>
  </si>
  <si>
    <t>PAT0228</t>
  </si>
  <si>
    <t>PRV0005</t>
  </si>
  <si>
    <t>phantom_round_amount</t>
  </si>
  <si>
    <t>CLM00006</t>
  </si>
  <si>
    <t>PAT0200</t>
  </si>
  <si>
    <t>PRV0014</t>
  </si>
  <si>
    <t>Personal Care</t>
  </si>
  <si>
    <t>F03.90</t>
  </si>
  <si>
    <t>Unspecified dementia</t>
  </si>
  <si>
    <t>CLM00007</t>
  </si>
  <si>
    <t>PAT0053</t>
  </si>
  <si>
    <t>PRV0053</t>
  </si>
  <si>
    <t>I69.354</t>
  </si>
  <si>
    <t>Hemiplegia following cerebral infarction</t>
  </si>
  <si>
    <t>CLM00008</t>
  </si>
  <si>
    <t>PAT0040</t>
  </si>
  <si>
    <t>G35</t>
  </si>
  <si>
    <t>Multiple sclerosis</t>
  </si>
  <si>
    <t>GA</t>
  </si>
  <si>
    <t>CLM00009</t>
  </si>
  <si>
    <t>PAT0031</t>
  </si>
  <si>
    <t>PRV0002</t>
  </si>
  <si>
    <t>Occupational Therapy</t>
  </si>
  <si>
    <t>I63.9</t>
  </si>
  <si>
    <t>Cerebral infarction</t>
  </si>
  <si>
    <t>CLM00010</t>
  </si>
  <si>
    <t>PAT0144</t>
  </si>
  <si>
    <t>PRV0011</t>
  </si>
  <si>
    <t>CLM00011</t>
  </si>
  <si>
    <t>PAT0034</t>
  </si>
  <si>
    <t>PRV0023</t>
  </si>
  <si>
    <t>CLM00012</t>
  </si>
  <si>
    <t>PAT0198</t>
  </si>
  <si>
    <t>PRV0040</t>
  </si>
  <si>
    <t>CLM00013</t>
  </si>
  <si>
    <t>PAT0181</t>
  </si>
  <si>
    <t>CLM00014</t>
  </si>
  <si>
    <t>PAT0081</t>
  </si>
  <si>
    <t>CLM00015</t>
  </si>
  <si>
    <t>PAT0199</t>
  </si>
  <si>
    <t>Physical Therapy</t>
  </si>
  <si>
    <t>inflated_hours</t>
  </si>
  <si>
    <t>CLM00016</t>
  </si>
  <si>
    <t>PAT0092</t>
  </si>
  <si>
    <t>VA</t>
  </si>
  <si>
    <t>CLM00017</t>
  </si>
  <si>
    <t>PAT0260</t>
  </si>
  <si>
    <t>PRV0018</t>
  </si>
  <si>
    <t>CLM00018</t>
  </si>
  <si>
    <t>PAT0253</t>
  </si>
  <si>
    <t>PRV0056</t>
  </si>
  <si>
    <t>Homemaker Services</t>
  </si>
  <si>
    <t>G20</t>
  </si>
  <si>
    <t>Parkinson's disease</t>
  </si>
  <si>
    <t>OH</t>
  </si>
  <si>
    <t>CLM00019</t>
  </si>
  <si>
    <t>PAT0120</t>
  </si>
  <si>
    <t>PRV0003</t>
  </si>
  <si>
    <t>PA</t>
  </si>
  <si>
    <t>CLM00020</t>
  </si>
  <si>
    <t>PAT0213</t>
  </si>
  <si>
    <t>deceased_patient_billing</t>
  </si>
  <si>
    <t>CLM00021</t>
  </si>
  <si>
    <t>PAT0133</t>
  </si>
  <si>
    <t>duplicate_claim</t>
  </si>
  <si>
    <t>CLM00022</t>
  </si>
  <si>
    <t>PAT0129</t>
  </si>
  <si>
    <t>NC</t>
  </si>
  <si>
    <t>CLM00023</t>
  </si>
  <si>
    <t>PAT0148</t>
  </si>
  <si>
    <t>CLM00024</t>
  </si>
  <si>
    <t>PAT0179</t>
  </si>
  <si>
    <t>PRV0007</t>
  </si>
  <si>
    <t>CLM00025</t>
  </si>
  <si>
    <t>PAT0061</t>
  </si>
  <si>
    <t>DC</t>
  </si>
  <si>
    <t>CLM00026</t>
  </si>
  <si>
    <t>PAT0143</t>
  </si>
  <si>
    <t>PRV0022</t>
  </si>
  <si>
    <t>CLM00027</t>
  </si>
  <si>
    <t>PAT0284</t>
  </si>
  <si>
    <t>PRV0029</t>
  </si>
  <si>
    <t>CLM00028</t>
  </si>
  <si>
    <t>PAT0145</t>
  </si>
  <si>
    <t>PRV0050</t>
  </si>
  <si>
    <t>CLM00029</t>
  </si>
  <si>
    <t>PRV0031</t>
  </si>
  <si>
    <t>CLM00030</t>
  </si>
  <si>
    <t>PAT0169</t>
  </si>
  <si>
    <t>PRV0051</t>
  </si>
  <si>
    <t>CLM00031</t>
  </si>
  <si>
    <t>PAT0227</t>
  </si>
  <si>
    <t>PRV0047</t>
  </si>
  <si>
    <t>CLM00032</t>
  </si>
  <si>
    <t>PAT0224</t>
  </si>
  <si>
    <t>PRV0009</t>
  </si>
  <si>
    <t>CLM00033</t>
  </si>
  <si>
    <t>PAT0002</t>
  </si>
  <si>
    <t>CLM00034</t>
  </si>
  <si>
    <t>PAT0050</t>
  </si>
  <si>
    <t>PRV0006</t>
  </si>
  <si>
    <t>CLM00035</t>
  </si>
  <si>
    <t>PAT0168</t>
  </si>
  <si>
    <t>CLM00036</t>
  </si>
  <si>
    <t>PAT0072</t>
  </si>
  <si>
    <t>CLM00037</t>
  </si>
  <si>
    <t>PAT0261</t>
  </si>
  <si>
    <t>PRV0030</t>
  </si>
  <si>
    <t>CLM00038</t>
  </si>
  <si>
    <t>PAT0206</t>
  </si>
  <si>
    <t>PRV0025</t>
  </si>
  <si>
    <t>CLM00039</t>
  </si>
  <si>
    <t>PAT0108</t>
  </si>
  <si>
    <t>CLM00040</t>
  </si>
  <si>
    <t>PAT0236</t>
  </si>
  <si>
    <t>PRV0037</t>
  </si>
  <si>
    <t>CLM00041</t>
  </si>
  <si>
    <t>PAT0197</t>
  </si>
  <si>
    <t>PRV0020</t>
  </si>
  <si>
    <t>CLM00042</t>
  </si>
  <si>
    <t>PAT0004</t>
  </si>
  <si>
    <t>PRV0049</t>
  </si>
  <si>
    <t>CLM00043</t>
  </si>
  <si>
    <t>PRV0044</t>
  </si>
  <si>
    <t>CLM00044</t>
  </si>
  <si>
    <t>PAT0054</t>
  </si>
  <si>
    <t>CLM00045</t>
  </si>
  <si>
    <t>PAT0173</t>
  </si>
  <si>
    <t>PRV0028</t>
  </si>
  <si>
    <t>CLM00046</t>
  </si>
  <si>
    <t>PAT0005</t>
  </si>
  <si>
    <t>CLM00047</t>
  </si>
  <si>
    <t>CLM00048</t>
  </si>
  <si>
    <t>PAT0011</t>
  </si>
  <si>
    <t>PRV0042</t>
  </si>
  <si>
    <t>CLM00049</t>
  </si>
  <si>
    <t>PAT0223</t>
  </si>
  <si>
    <t>PRV0017</t>
  </si>
  <si>
    <t>CLM00050</t>
  </si>
  <si>
    <t>PAT0209</t>
  </si>
  <si>
    <t>PRV0046</t>
  </si>
  <si>
    <t>CLM00051</t>
  </si>
  <si>
    <t>PAT0140</t>
  </si>
  <si>
    <t>CLM00052</t>
  </si>
  <si>
    <t>PAT0163</t>
  </si>
  <si>
    <t>PRV0048</t>
  </si>
  <si>
    <t>CLM00053</t>
  </si>
  <si>
    <t>PAT0132</t>
  </si>
  <si>
    <t>PRV0027</t>
  </si>
  <si>
    <t>CLM00054</t>
  </si>
  <si>
    <t>PAT0249</t>
  </si>
  <si>
    <t>PRV0035</t>
  </si>
  <si>
    <t>CLM00055</t>
  </si>
  <si>
    <t>PRV0057</t>
  </si>
  <si>
    <t>CLM00056</t>
  </si>
  <si>
    <t>PAT0238</t>
  </si>
  <si>
    <t>PRV0052</t>
  </si>
  <si>
    <t>CLM00057</t>
  </si>
  <si>
    <t>PRV0013</t>
  </si>
  <si>
    <t>CLM00058</t>
  </si>
  <si>
    <t>PAT0091</t>
  </si>
  <si>
    <t>CLM00059</t>
  </si>
  <si>
    <t>CLM00060</t>
  </si>
  <si>
    <t>CLM00061</t>
  </si>
  <si>
    <t>PAT0022</t>
  </si>
  <si>
    <t>CLM00062</t>
  </si>
  <si>
    <t>PAT0136</t>
  </si>
  <si>
    <t>CLM00063</t>
  </si>
  <si>
    <t>PAT0151</t>
  </si>
  <si>
    <t>PRV0021</t>
  </si>
  <si>
    <t>CLM00064</t>
  </si>
  <si>
    <t>CLM00065</t>
  </si>
  <si>
    <t>PAT0115</t>
  </si>
  <si>
    <t>PRV0038</t>
  </si>
  <si>
    <t>CLM00066</t>
  </si>
  <si>
    <t>CLM00067</t>
  </si>
  <si>
    <t>PAT0048</t>
  </si>
  <si>
    <t>CLM00068</t>
  </si>
  <si>
    <t>PAT0139</t>
  </si>
  <si>
    <t>CLM00069</t>
  </si>
  <si>
    <t>PAT0266</t>
  </si>
  <si>
    <t>PRV0045</t>
  </si>
  <si>
    <t>CLM00070</t>
  </si>
  <si>
    <t>PAT0203</t>
  </si>
  <si>
    <t>CLM00071</t>
  </si>
  <si>
    <t>PAT0172</t>
  </si>
  <si>
    <t>CLM00072</t>
  </si>
  <si>
    <t>PAT0282</t>
  </si>
  <si>
    <t>CLM00073</t>
  </si>
  <si>
    <t>PAT0270</t>
  </si>
  <si>
    <t>CLM00074</t>
  </si>
  <si>
    <t>PAT0142</t>
  </si>
  <si>
    <t>CLM00075</t>
  </si>
  <si>
    <t>PAT0025</t>
  </si>
  <si>
    <t>CLM00076</t>
  </si>
  <si>
    <t>PAT0218</t>
  </si>
  <si>
    <t>CLM00077</t>
  </si>
  <si>
    <t>CLM00078</t>
  </si>
  <si>
    <t>PAT0045</t>
  </si>
  <si>
    <t>CLM00079</t>
  </si>
  <si>
    <t>PAT0162</t>
  </si>
  <si>
    <t>CLM00080</t>
  </si>
  <si>
    <t>CLM00081</t>
  </si>
  <si>
    <t>PAT0187</t>
  </si>
  <si>
    <t>CLM00082</t>
  </si>
  <si>
    <t>PAT0185</t>
  </si>
  <si>
    <t>CLM00083</t>
  </si>
  <si>
    <t>PAT0068</t>
  </si>
  <si>
    <t>CLM00084</t>
  </si>
  <si>
    <t>PAT0038</t>
  </si>
  <si>
    <t>CLM00085</t>
  </si>
  <si>
    <t>CLM00086</t>
  </si>
  <si>
    <t>PAT0032</t>
  </si>
  <si>
    <t>CLM00087</t>
  </si>
  <si>
    <t>PAT0222</t>
  </si>
  <si>
    <t>CLM00088</t>
  </si>
  <si>
    <t>CLM00089</t>
  </si>
  <si>
    <t>PAT0154</t>
  </si>
  <si>
    <t>PRV0034</t>
  </si>
  <si>
    <t>CLM00090</t>
  </si>
  <si>
    <t>PAT0267</t>
  </si>
  <si>
    <t>CLM00091</t>
  </si>
  <si>
    <t>CLM00092</t>
  </si>
  <si>
    <t>PAT0080</t>
  </si>
  <si>
    <t>CLM00093</t>
  </si>
  <si>
    <t>PAT0196</t>
  </si>
  <si>
    <t>CLM00094</t>
  </si>
  <si>
    <t>PAT0010</t>
  </si>
  <si>
    <t>PRV0033</t>
  </si>
  <si>
    <t>CLM00095</t>
  </si>
  <si>
    <t>PRV0024</t>
  </si>
  <si>
    <t>CLM00096</t>
  </si>
  <si>
    <t>PAT0147</t>
  </si>
  <si>
    <t>CLM00097</t>
  </si>
  <si>
    <t>CLM00098</t>
  </si>
  <si>
    <t>CLM00099</t>
  </si>
  <si>
    <t>PRV0039</t>
  </si>
  <si>
    <t>CLM00100</t>
  </si>
  <si>
    <t>PAT0188</t>
  </si>
  <si>
    <t>CLM00101</t>
  </si>
  <si>
    <t>PAT0230</t>
  </si>
  <si>
    <t>CLM00102</t>
  </si>
  <si>
    <t>PRV0001</t>
  </si>
  <si>
    <t>CLM00103</t>
  </si>
  <si>
    <t>CLM00104</t>
  </si>
  <si>
    <t>CLM00105</t>
  </si>
  <si>
    <t>PAT0234</t>
  </si>
  <si>
    <t>CLM00106</t>
  </si>
  <si>
    <t>PAT0160</t>
  </si>
  <si>
    <t>CLM00107</t>
  </si>
  <si>
    <t>PAT0074</t>
  </si>
  <si>
    <t>CLM00108</t>
  </si>
  <si>
    <t>PAT0177</t>
  </si>
  <si>
    <t>CLM00109</t>
  </si>
  <si>
    <t>PAT0102</t>
  </si>
  <si>
    <t>PRV0016</t>
  </si>
  <si>
    <t>CLM00110</t>
  </si>
  <si>
    <t>PRV0008</t>
  </si>
  <si>
    <t>CLM00111</t>
  </si>
  <si>
    <t>CLM00112</t>
  </si>
  <si>
    <t>PAT0110</t>
  </si>
  <si>
    <t>CLM00113</t>
  </si>
  <si>
    <t>PAT0109</t>
  </si>
  <si>
    <t>CLM00114</t>
  </si>
  <si>
    <t>PAT0233</t>
  </si>
  <si>
    <t>CLM00115</t>
  </si>
  <si>
    <t>PAT0059</t>
  </si>
  <si>
    <t>CLM00116</t>
  </si>
  <si>
    <t>PAT0093</t>
  </si>
  <si>
    <t>CLM00117</t>
  </si>
  <si>
    <t>CLM00118</t>
  </si>
  <si>
    <t>PAT0099</t>
  </si>
  <si>
    <t>CLM00119</t>
  </si>
  <si>
    <t>PAT0088</t>
  </si>
  <si>
    <t>CLM00120</t>
  </si>
  <si>
    <t>PAT0087</t>
  </si>
  <si>
    <t>CLM00121</t>
  </si>
  <si>
    <t>PAT0012</t>
  </si>
  <si>
    <t>CLM00122</t>
  </si>
  <si>
    <t>PAT0127</t>
  </si>
  <si>
    <t>CLM00123</t>
  </si>
  <si>
    <t>CLM00124</t>
  </si>
  <si>
    <t>PAT0027</t>
  </si>
  <si>
    <t>CLM00125</t>
  </si>
  <si>
    <t>PAT0237</t>
  </si>
  <si>
    <t>PRV0010</t>
  </si>
  <si>
    <t>CLM00126</t>
  </si>
  <si>
    <t>PAT0105</t>
  </si>
  <si>
    <t>CLM00127</t>
  </si>
  <si>
    <t>PAT0125</t>
  </si>
  <si>
    <t>CLM00128</t>
  </si>
  <si>
    <t>PAT0221</t>
  </si>
  <si>
    <t>CLM00129</t>
  </si>
  <si>
    <t>PAT0268</t>
  </si>
  <si>
    <t>PRV0032</t>
  </si>
  <si>
    <t>CLM00130</t>
  </si>
  <si>
    <t>PAT0182</t>
  </si>
  <si>
    <t>CLM00131</t>
  </si>
  <si>
    <t>PAT0124</t>
  </si>
  <si>
    <t>CLM00132</t>
  </si>
  <si>
    <t>PAT0128</t>
  </si>
  <si>
    <t>CLM00133</t>
  </si>
  <si>
    <t>PAT0018</t>
  </si>
  <si>
    <t>CLM00134</t>
  </si>
  <si>
    <t>PAT0244</t>
  </si>
  <si>
    <t>PRV0058</t>
  </si>
  <si>
    <t>CLM00135</t>
  </si>
  <si>
    <t>PAT0135</t>
  </si>
  <si>
    <t>CLM00136</t>
  </si>
  <si>
    <t>PAT0116</t>
  </si>
  <si>
    <t>CLM00137</t>
  </si>
  <si>
    <t>PAT0217</t>
  </si>
  <si>
    <t>PRV0060</t>
  </si>
  <si>
    <t>CLM00138</t>
  </si>
  <si>
    <t>PAT0159</t>
  </si>
  <si>
    <t>PRV0012</t>
  </si>
  <si>
    <t>CLM00139</t>
  </si>
  <si>
    <t>CLM00140</t>
  </si>
  <si>
    <t>PAT0262</t>
  </si>
  <si>
    <t>CLM00141</t>
  </si>
  <si>
    <t>PAT0020</t>
  </si>
  <si>
    <t>CLM00142</t>
  </si>
  <si>
    <t>CLM00143</t>
  </si>
  <si>
    <t>PAT0247</t>
  </si>
  <si>
    <t>CLM00144</t>
  </si>
  <si>
    <t>CLM00145</t>
  </si>
  <si>
    <t>PAT0019</t>
  </si>
  <si>
    <t>PRV0019</t>
  </si>
  <si>
    <t>CLM00146</t>
  </si>
  <si>
    <t>PAT0241</t>
  </si>
  <si>
    <t>CLM00147</t>
  </si>
  <si>
    <t>PAT0226</t>
  </si>
  <si>
    <t>PRV0015</t>
  </si>
  <si>
    <t>CLM00148</t>
  </si>
  <si>
    <t>PAT0064</t>
  </si>
  <si>
    <t>CLM00149</t>
  </si>
  <si>
    <t>PAT0190</t>
  </si>
  <si>
    <t>CLM00150</t>
  </si>
  <si>
    <t>PAT0265</t>
  </si>
  <si>
    <t>CLM00151</t>
  </si>
  <si>
    <t>PAT0155</t>
  </si>
  <si>
    <t>CLM00152</t>
  </si>
  <si>
    <t>PRV0026</t>
  </si>
  <si>
    <t>CLM00153</t>
  </si>
  <si>
    <t>CLM00154</t>
  </si>
  <si>
    <t>CLM00155</t>
  </si>
  <si>
    <t>PAT0083</t>
  </si>
  <si>
    <t>CLM00156</t>
  </si>
  <si>
    <t>PAT0208</t>
  </si>
  <si>
    <t>CLM00157</t>
  </si>
  <si>
    <t>PAT0276</t>
  </si>
  <si>
    <t>CLM00158</t>
  </si>
  <si>
    <t>PAT0295</t>
  </si>
  <si>
    <t>PRV0036</t>
  </si>
  <si>
    <t>CLM00159</t>
  </si>
  <si>
    <t>CLM00160</t>
  </si>
  <si>
    <t>PAT0017</t>
  </si>
  <si>
    <t>CLM00161</t>
  </si>
  <si>
    <t>PAT0026</t>
  </si>
  <si>
    <t>CLM00162</t>
  </si>
  <si>
    <t>PAT0070</t>
  </si>
  <si>
    <t>CLM00163</t>
  </si>
  <si>
    <t>CLM00164</t>
  </si>
  <si>
    <t>CLM00165</t>
  </si>
  <si>
    <t>PAT0300</t>
  </si>
  <si>
    <t>CLM00166</t>
  </si>
  <si>
    <t>PAT0089</t>
  </si>
  <si>
    <t>CLM00167</t>
  </si>
  <si>
    <t>PAT0210</t>
  </si>
  <si>
    <t>CLM00168</t>
  </si>
  <si>
    <t>PAT0157</t>
  </si>
  <si>
    <t>CLM00169</t>
  </si>
  <si>
    <t>PAT0296</t>
  </si>
  <si>
    <t>CLM00170</t>
  </si>
  <si>
    <t>CLM00171</t>
  </si>
  <si>
    <t>CLM00172</t>
  </si>
  <si>
    <t>PAT0071</t>
  </si>
  <si>
    <t>CLM00173</t>
  </si>
  <si>
    <t>CLM00174</t>
  </si>
  <si>
    <t>PAT0239</t>
  </si>
  <si>
    <t>CLM00175</t>
  </si>
  <si>
    <t>PAT0250</t>
  </si>
  <si>
    <t>CLM00176</t>
  </si>
  <si>
    <t>CLM00177</t>
  </si>
  <si>
    <t>CLM00178</t>
  </si>
  <si>
    <t>CLM00179</t>
  </si>
  <si>
    <t>PAT0028</t>
  </si>
  <si>
    <t>CLM00180</t>
  </si>
  <si>
    <t>CLM00181</t>
  </si>
  <si>
    <t>CLM00182</t>
  </si>
  <si>
    <t>CLM00183</t>
  </si>
  <si>
    <t>PAT0180</t>
  </si>
  <si>
    <t>CLM00184</t>
  </si>
  <si>
    <t>CLM00185</t>
  </si>
  <si>
    <t>CLM00186</t>
  </si>
  <si>
    <t>CLM00187</t>
  </si>
  <si>
    <t>PAT0256</t>
  </si>
  <si>
    <t>CLM00188</t>
  </si>
  <si>
    <t>CLM00189</t>
  </si>
  <si>
    <t>PAT0060</t>
  </si>
  <si>
    <t>CLM00190</t>
  </si>
  <si>
    <t>CLM00191</t>
  </si>
  <si>
    <t>CLM00192</t>
  </si>
  <si>
    <t>CLM00193</t>
  </si>
  <si>
    <t>PAT0100</t>
  </si>
  <si>
    <t>CLM00194</t>
  </si>
  <si>
    <t>CLM00195</t>
  </si>
  <si>
    <t>CLM00196</t>
  </si>
  <si>
    <t>CLM00197</t>
  </si>
  <si>
    <t>PAT0258</t>
  </si>
  <si>
    <t>CLM00198</t>
  </si>
  <si>
    <t>PAT0044</t>
  </si>
  <si>
    <t>PRV0054</t>
  </si>
  <si>
    <t>CLM00199</t>
  </si>
  <si>
    <t>PAT0122</t>
  </si>
  <si>
    <t>CLM00200</t>
  </si>
  <si>
    <t>PAT0191</t>
  </si>
  <si>
    <t>CLM00201</t>
  </si>
  <si>
    <t>PAT0201</t>
  </si>
  <si>
    <t>CLM00202</t>
  </si>
  <si>
    <t>PAT0049</t>
  </si>
  <si>
    <t>CLM00203</t>
  </si>
  <si>
    <t>PAT0131</t>
  </si>
  <si>
    <t>CLM00204</t>
  </si>
  <si>
    <t>PAT0007</t>
  </si>
  <si>
    <t>CLM00205</t>
  </si>
  <si>
    <t>PAT0174</t>
  </si>
  <si>
    <t>CLM00206</t>
  </si>
  <si>
    <t>PAT0290</t>
  </si>
  <si>
    <t>CLM00207</t>
  </si>
  <si>
    <t>PAT0158</t>
  </si>
  <si>
    <t>CLM00208</t>
  </si>
  <si>
    <t>PAT0248</t>
  </si>
  <si>
    <t>CLM00209</t>
  </si>
  <si>
    <t>PAT0183</t>
  </si>
  <si>
    <t>CLM00210</t>
  </si>
  <si>
    <t>CLM00211</t>
  </si>
  <si>
    <t>CLM00212</t>
  </si>
  <si>
    <t>PAT0171</t>
  </si>
  <si>
    <t>CLM00213</t>
  </si>
  <si>
    <t>CLM00214</t>
  </si>
  <si>
    <t>CLM00215</t>
  </si>
  <si>
    <t>CLM00216</t>
  </si>
  <si>
    <t>CLM00217</t>
  </si>
  <si>
    <t>PAT0259</t>
  </si>
  <si>
    <t>CLM00218</t>
  </si>
  <si>
    <t>PAT0189</t>
  </si>
  <si>
    <t>CLM00219</t>
  </si>
  <si>
    <t>PAT0243</t>
  </si>
  <si>
    <t>CLM00220</t>
  </si>
  <si>
    <t>PAT0039</t>
  </si>
  <si>
    <t>CLM00221</t>
  </si>
  <si>
    <t>PAT0003</t>
  </si>
  <si>
    <t>CLM00222</t>
  </si>
  <si>
    <t>CLM00223</t>
  </si>
  <si>
    <t>PAT0085</t>
  </si>
  <si>
    <t>CLM00224</t>
  </si>
  <si>
    <t>CLM00225</t>
  </si>
  <si>
    <t>CLM00226</t>
  </si>
  <si>
    <t>PAT0299</t>
  </si>
  <si>
    <t>CLM00227</t>
  </si>
  <si>
    <t>PRV0055</t>
  </si>
  <si>
    <t>CLM00228</t>
  </si>
  <si>
    <t>CLM00229</t>
  </si>
  <si>
    <t>PAT0016</t>
  </si>
  <si>
    <t>CLM00230</t>
  </si>
  <si>
    <t>PAT0232</t>
  </si>
  <si>
    <t>CLM00231</t>
  </si>
  <si>
    <t>CLM00232</t>
  </si>
  <si>
    <t>CLM00233</t>
  </si>
  <si>
    <t>CLM00234</t>
  </si>
  <si>
    <t>CLM00235</t>
  </si>
  <si>
    <t>CLM00236</t>
  </si>
  <si>
    <t>CLM00237</t>
  </si>
  <si>
    <t>CLM00238</t>
  </si>
  <si>
    <t>CLM00239</t>
  </si>
  <si>
    <t>CLM00240</t>
  </si>
  <si>
    <t>PAT0090</t>
  </si>
  <si>
    <t>CLM00241</t>
  </si>
  <si>
    <t>PAT0293</t>
  </si>
  <si>
    <t>CLM00242</t>
  </si>
  <si>
    <t>PAT0285</t>
  </si>
  <si>
    <t>CLM00243</t>
  </si>
  <si>
    <t>PAT0225</t>
  </si>
  <si>
    <t>CLM00244</t>
  </si>
  <si>
    <t>PAT0082</t>
  </si>
  <si>
    <t>CLM00245</t>
  </si>
  <si>
    <t>PAT0251</t>
  </si>
  <si>
    <t>CLM00246</t>
  </si>
  <si>
    <t>PAT0240</t>
  </si>
  <si>
    <t>CLM00247</t>
  </si>
  <si>
    <t>PAT0095</t>
  </si>
  <si>
    <t>CLM00248</t>
  </si>
  <si>
    <t>PAT0067</t>
  </si>
  <si>
    <t>CLM00249</t>
  </si>
  <si>
    <t>CLM00250</t>
  </si>
  <si>
    <t>PAT0013</t>
  </si>
  <si>
    <t>CLM00251</t>
  </si>
  <si>
    <t>PAT0078</t>
  </si>
  <si>
    <t>CLM00252</t>
  </si>
  <si>
    <t>CLM00253</t>
  </si>
  <si>
    <t>PAT0014</t>
  </si>
  <si>
    <t>CLM00254</t>
  </si>
  <si>
    <t>CLM00255</t>
  </si>
  <si>
    <t>CLM00256</t>
  </si>
  <si>
    <t>PAT0112</t>
  </si>
  <si>
    <t>CLM00257</t>
  </si>
  <si>
    <t>CLM00258</t>
  </si>
  <si>
    <t>PAT0036</t>
  </si>
  <si>
    <t>CLM00259</t>
  </si>
  <si>
    <t>CLM00260</t>
  </si>
  <si>
    <t>PAT0211</t>
  </si>
  <si>
    <t>CLM00261</t>
  </si>
  <si>
    <t>CLM00262</t>
  </si>
  <si>
    <t>CLM00263</t>
  </si>
  <si>
    <t>CLM00264</t>
  </si>
  <si>
    <t>CLM00265</t>
  </si>
  <si>
    <t>CLM00266</t>
  </si>
  <si>
    <t>PAT0055</t>
  </si>
  <si>
    <t>CLM00267</t>
  </si>
  <si>
    <t>PAT0195</t>
  </si>
  <si>
    <t>CLM00268</t>
  </si>
  <si>
    <t>CLM00269</t>
  </si>
  <si>
    <t>PAT0123</t>
  </si>
  <si>
    <t>CLM00270</t>
  </si>
  <si>
    <t>PAT0280</t>
  </si>
  <si>
    <t>CLM00271</t>
  </si>
  <si>
    <t>CLM00272</t>
  </si>
  <si>
    <t>CLM00273</t>
  </si>
  <si>
    <t>CLM00274</t>
  </si>
  <si>
    <t>CLM00275</t>
  </si>
  <si>
    <t>CLM00276</t>
  </si>
  <si>
    <t>CLM00277</t>
  </si>
  <si>
    <t>CLM00278</t>
  </si>
  <si>
    <t>CLM00279</t>
  </si>
  <si>
    <t>PAT0062</t>
  </si>
  <si>
    <t>CLM00280</t>
  </si>
  <si>
    <t>CLM00281</t>
  </si>
  <si>
    <t>CLM00282</t>
  </si>
  <si>
    <t>CLM00283</t>
  </si>
  <si>
    <t>CLM00284</t>
  </si>
  <si>
    <t>CLM00285</t>
  </si>
  <si>
    <t>PAT0126</t>
  </si>
  <si>
    <t>CLM00286</t>
  </si>
  <si>
    <t>PAT0023</t>
  </si>
  <si>
    <t>CLM00287</t>
  </si>
  <si>
    <t>CLM00288</t>
  </si>
  <si>
    <t>CLM00289</t>
  </si>
  <si>
    <t>PAT0167</t>
  </si>
  <si>
    <t>CLM00290</t>
  </si>
  <si>
    <t>PAT0274</t>
  </si>
  <si>
    <t>CLM00291</t>
  </si>
  <si>
    <t>CLM00292</t>
  </si>
  <si>
    <t>CLM00293</t>
  </si>
  <si>
    <t>CLM00294</t>
  </si>
  <si>
    <t>PAT0263</t>
  </si>
  <si>
    <t>CLM00295</t>
  </si>
  <si>
    <t>PAT0138</t>
  </si>
  <si>
    <t>CLM00296</t>
  </si>
  <si>
    <t>CLM00297</t>
  </si>
  <si>
    <t>PAT0056</t>
  </si>
  <si>
    <t>CLM00298</t>
  </si>
  <si>
    <t>CLM00299</t>
  </si>
  <si>
    <t>CLM00300</t>
  </si>
  <si>
    <t>PAT0289</t>
  </si>
  <si>
    <t>CLM00301</t>
  </si>
  <si>
    <t>CLM00302</t>
  </si>
  <si>
    <t>PAT0096</t>
  </si>
  <si>
    <t>CLM00303</t>
  </si>
  <si>
    <t>CLM00304</t>
  </si>
  <si>
    <t>CLM00305</t>
  </si>
  <si>
    <t>CLM00306</t>
  </si>
  <si>
    <t>PAT0246</t>
  </si>
  <si>
    <t>CLM00307</t>
  </si>
  <si>
    <t>CLM00308</t>
  </si>
  <si>
    <t>PAT0035</t>
  </si>
  <si>
    <t>CLM00309</t>
  </si>
  <si>
    <t>CLM00310</t>
  </si>
  <si>
    <t>CLM00311</t>
  </si>
  <si>
    <t>PAT0037</t>
  </si>
  <si>
    <t>CLM00312</t>
  </si>
  <si>
    <t>CLM00313</t>
  </si>
  <si>
    <t>CLM00314</t>
  </si>
  <si>
    <t>CLM00315</t>
  </si>
  <si>
    <t>CLM00316</t>
  </si>
  <si>
    <t>CLM00317</t>
  </si>
  <si>
    <t>PAT0178</t>
  </si>
  <si>
    <t>CLM00318</t>
  </si>
  <si>
    <t>CLM00319</t>
  </si>
  <si>
    <t>CLM00320</t>
  </si>
  <si>
    <t>CLM00321</t>
  </si>
  <si>
    <t>CLM00322</t>
  </si>
  <si>
    <t>PAT0252</t>
  </si>
  <si>
    <t>CLM00323</t>
  </si>
  <si>
    <t>CLM00324</t>
  </si>
  <si>
    <t>PAT0231</t>
  </si>
  <si>
    <t>CLM00325</t>
  </si>
  <si>
    <t>PAT0202</t>
  </si>
  <si>
    <t>CLM00326</t>
  </si>
  <si>
    <t>CLM00327</t>
  </si>
  <si>
    <t>CLM00328</t>
  </si>
  <si>
    <t>CLM00329</t>
  </si>
  <si>
    <t>PAT0278</t>
  </si>
  <si>
    <t>CLM00330</t>
  </si>
  <si>
    <t>PAT0292</t>
  </si>
  <si>
    <t>CLM00331</t>
  </si>
  <si>
    <t>CLM00332</t>
  </si>
  <si>
    <t>CLM00333</t>
  </si>
  <si>
    <t>PAT0086</t>
  </si>
  <si>
    <t>CLM00334</t>
  </si>
  <si>
    <t>CLM00335</t>
  </si>
  <si>
    <t>PAT0235</t>
  </si>
  <si>
    <t>CLM00336</t>
  </si>
  <si>
    <t>CLM00337</t>
  </si>
  <si>
    <t>PAT0009</t>
  </si>
  <si>
    <t>CLM00338</t>
  </si>
  <si>
    <t>CLM00339</t>
  </si>
  <si>
    <t>CLM00340</t>
  </si>
  <si>
    <t>PAT0146</t>
  </si>
  <si>
    <t>CLM00341</t>
  </si>
  <si>
    <t>CLM00342</t>
  </si>
  <si>
    <t>PAT0094</t>
  </si>
  <si>
    <t>CLM00343</t>
  </si>
  <si>
    <t>CLM00344</t>
  </si>
  <si>
    <t>CLM00345</t>
  </si>
  <si>
    <t>CLM00346</t>
  </si>
  <si>
    <t>PAT0134</t>
  </si>
  <si>
    <t>CLM00347</t>
  </si>
  <si>
    <t>PAT0029</t>
  </si>
  <si>
    <t>CLM00348</t>
  </si>
  <si>
    <t>CLM00349</t>
  </si>
  <si>
    <t>PAT0113</t>
  </si>
  <si>
    <t>CLM00350</t>
  </si>
  <si>
    <t>CLM00351</t>
  </si>
  <si>
    <t>PAT0006</t>
  </si>
  <si>
    <t>CLM00352</t>
  </si>
  <si>
    <t>PAT0076</t>
  </si>
  <si>
    <t>CLM00353</t>
  </si>
  <si>
    <t>CLM00354</t>
  </si>
  <si>
    <t>CLM00355</t>
  </si>
  <si>
    <t>CLM00356</t>
  </si>
  <si>
    <t>CLM00357</t>
  </si>
  <si>
    <t>CLM00358</t>
  </si>
  <si>
    <t>CLM00359</t>
  </si>
  <si>
    <t>CLM00360</t>
  </si>
  <si>
    <t>PAT0069</t>
  </si>
  <si>
    <t>CLM00361</t>
  </si>
  <si>
    <t>PAT0152</t>
  </si>
  <si>
    <t>CLM00362</t>
  </si>
  <si>
    <t>CLM00363</t>
  </si>
  <si>
    <t>CLM00364</t>
  </si>
  <si>
    <t>CLM00365</t>
  </si>
  <si>
    <t>PAT0075</t>
  </si>
  <si>
    <t>CLM00366</t>
  </si>
  <si>
    <t>CLM00367</t>
  </si>
  <si>
    <t>CLM00368</t>
  </si>
  <si>
    <t>CLM00369</t>
  </si>
  <si>
    <t>PAT0277</t>
  </si>
  <si>
    <t>CLM00370</t>
  </si>
  <si>
    <t>CLM00371</t>
  </si>
  <si>
    <t>CLM00372</t>
  </si>
  <si>
    <t>CLM00373</t>
  </si>
  <si>
    <t>CLM00374</t>
  </si>
  <si>
    <t>PAT0275</t>
  </si>
  <si>
    <t>CLM00375</t>
  </si>
  <si>
    <t>PAT0051</t>
  </si>
  <si>
    <t>CLM00376</t>
  </si>
  <si>
    <t>CLM00377</t>
  </si>
  <si>
    <t>CLM00378</t>
  </si>
  <si>
    <t>CLM00379</t>
  </si>
  <si>
    <t>CLM00380</t>
  </si>
  <si>
    <t>PAT0008</t>
  </si>
  <si>
    <t>CLM00381</t>
  </si>
  <si>
    <t>PAT0084</t>
  </si>
  <si>
    <t>CLM00382</t>
  </si>
  <si>
    <t>PAT0288</t>
  </si>
  <si>
    <t>CLM00383</t>
  </si>
  <si>
    <t>CLM00384</t>
  </si>
  <si>
    <t>CLM00385</t>
  </si>
  <si>
    <t>CLM00386</t>
  </si>
  <si>
    <t>CLM00387</t>
  </si>
  <si>
    <t>CLM00388</t>
  </si>
  <si>
    <t>CLM00389</t>
  </si>
  <si>
    <t>PAT0021</t>
  </si>
  <si>
    <t>CLM00390</t>
  </si>
  <si>
    <t>CLM00391</t>
  </si>
  <si>
    <t>PAT0111</t>
  </si>
  <si>
    <t>CLM00392</t>
  </si>
  <si>
    <t>CLM00393</t>
  </si>
  <si>
    <t>CLM00394</t>
  </si>
  <si>
    <t>PAT0150</t>
  </si>
  <si>
    <t>CLM00395</t>
  </si>
  <si>
    <t>CLM00396</t>
  </si>
  <si>
    <t>CLM00397</t>
  </si>
  <si>
    <t>CLM00398</t>
  </si>
  <si>
    <t>CLM00399</t>
  </si>
  <si>
    <t>CLM00400</t>
  </si>
  <si>
    <t>CLM00401</t>
  </si>
  <si>
    <t>PAT0043</t>
  </si>
  <si>
    <t>CLM00402</t>
  </si>
  <si>
    <t>PAT0119</t>
  </si>
  <si>
    <t>CLM00403</t>
  </si>
  <si>
    <t>CLM00404</t>
  </si>
  <si>
    <t>CLM00405</t>
  </si>
  <si>
    <t>CLM00406</t>
  </si>
  <si>
    <t>CLM00407</t>
  </si>
  <si>
    <t>CLM00408</t>
  </si>
  <si>
    <t>CLM00409</t>
  </si>
  <si>
    <t>CLM00410</t>
  </si>
  <si>
    <t>CLM00411</t>
  </si>
  <si>
    <t>CLM00412</t>
  </si>
  <si>
    <t>CLM00413</t>
  </si>
  <si>
    <t>PAT0264</t>
  </si>
  <si>
    <t>CLM00414</t>
  </si>
  <si>
    <t>CLM00415</t>
  </si>
  <si>
    <t>PAT0186</t>
  </si>
  <si>
    <t>CLM00416</t>
  </si>
  <si>
    <t>CLM00417</t>
  </si>
  <si>
    <t>CLM00418</t>
  </si>
  <si>
    <t>CLM00419</t>
  </si>
  <si>
    <t>CLM00420</t>
  </si>
  <si>
    <t>CLM00421</t>
  </si>
  <si>
    <t>CLM00422</t>
  </si>
  <si>
    <t>CLM00423</t>
  </si>
  <si>
    <t>CLM00424</t>
  </si>
  <si>
    <t>CLM00425</t>
  </si>
  <si>
    <t>CLM00426</t>
  </si>
  <si>
    <t>CLM00427</t>
  </si>
  <si>
    <t>CLM00428</t>
  </si>
  <si>
    <t>CLM00429</t>
  </si>
  <si>
    <t>CLM00430</t>
  </si>
  <si>
    <t>CLM00431</t>
  </si>
  <si>
    <t>PAT0101</t>
  </si>
  <si>
    <t>CLM00432</t>
  </si>
  <si>
    <t>CLM00433</t>
  </si>
  <si>
    <t>CLM00434</t>
  </si>
  <si>
    <t>CLM00435</t>
  </si>
  <si>
    <t>CLM00436</t>
  </si>
  <si>
    <t>CLM00437</t>
  </si>
  <si>
    <t>CLM00438</t>
  </si>
  <si>
    <t>CLM00439</t>
  </si>
  <si>
    <t>CLM00440</t>
  </si>
  <si>
    <t>CLM00441</t>
  </si>
  <si>
    <t>CLM00442</t>
  </si>
  <si>
    <t>CLM00443</t>
  </si>
  <si>
    <t>PAT0216</t>
  </si>
  <si>
    <t>CLM00444</t>
  </si>
  <si>
    <t>CLM00445</t>
  </si>
  <si>
    <t>CLM00446</t>
  </si>
  <si>
    <t>CLM00447</t>
  </si>
  <si>
    <t>CLM00448</t>
  </si>
  <si>
    <t>CLM00449</t>
  </si>
  <si>
    <t>CLM00450</t>
  </si>
  <si>
    <t>CLM00451</t>
  </si>
  <si>
    <t>PAT0272</t>
  </si>
  <si>
    <t>CLM00452</t>
  </si>
  <si>
    <t>CLM00453</t>
  </si>
  <si>
    <t>CLM00454</t>
  </si>
  <si>
    <t>PAT0176</t>
  </si>
  <si>
    <t>CLM00455</t>
  </si>
  <si>
    <t>CLM00456</t>
  </si>
  <si>
    <t>CLM00457</t>
  </si>
  <si>
    <t>PAT0046</t>
  </si>
  <si>
    <t>CLM00458</t>
  </si>
  <si>
    <t>PAT0205</t>
  </si>
  <si>
    <t>CLM00459</t>
  </si>
  <si>
    <t>CLM00460</t>
  </si>
  <si>
    <t>CLM00461</t>
  </si>
  <si>
    <t>CLM00462</t>
  </si>
  <si>
    <t>CLM00463</t>
  </si>
  <si>
    <t>CLM00464</t>
  </si>
  <si>
    <t>CLM00465</t>
  </si>
  <si>
    <t>CLM00466</t>
  </si>
  <si>
    <t>CLM00467</t>
  </si>
  <si>
    <t>CLM00468</t>
  </si>
  <si>
    <t>CLM00469</t>
  </si>
  <si>
    <t>PAT0271</t>
  </si>
  <si>
    <t>CLM00470</t>
  </si>
  <si>
    <t>CLM00471</t>
  </si>
  <si>
    <t>CLM00472</t>
  </si>
  <si>
    <t>CLM00473</t>
  </si>
  <si>
    <t>PAT0103</t>
  </si>
  <si>
    <t>CLM00474</t>
  </si>
  <si>
    <t>CLM00475</t>
  </si>
  <si>
    <t>CLM00476</t>
  </si>
  <si>
    <t>PAT0079</t>
  </si>
  <si>
    <t>CLM00477</t>
  </si>
  <si>
    <t>CLM00478</t>
  </si>
  <si>
    <t>CLM00479</t>
  </si>
  <si>
    <t>CLM00480</t>
  </si>
  <si>
    <t>CLM00481</t>
  </si>
  <si>
    <t>CLM00482</t>
  </si>
  <si>
    <t>CLM00483</t>
  </si>
  <si>
    <t>CLM00484</t>
  </si>
  <si>
    <t>CLM00485</t>
  </si>
  <si>
    <t>CLM00486</t>
  </si>
  <si>
    <t>CLM00487</t>
  </si>
  <si>
    <t>PAT0207</t>
  </si>
  <si>
    <t>CLM00488</t>
  </si>
  <si>
    <t>CLM00489</t>
  </si>
  <si>
    <t>CLM00490</t>
  </si>
  <si>
    <t>CLM00491</t>
  </si>
  <si>
    <t>CLM00492</t>
  </si>
  <si>
    <t>CLM00493</t>
  </si>
  <si>
    <t>PAT0121</t>
  </si>
  <si>
    <t>CLM00494</t>
  </si>
  <si>
    <t>CLM00495</t>
  </si>
  <si>
    <t>CLM00496</t>
  </si>
  <si>
    <t>CLM00497</t>
  </si>
  <si>
    <t>PAT0047</t>
  </si>
  <si>
    <t>CLM00498</t>
  </si>
  <si>
    <t>CLM00499</t>
  </si>
  <si>
    <t>CLM00500</t>
  </si>
  <si>
    <t>CLM00501</t>
  </si>
  <si>
    <t>CLM00502</t>
  </si>
  <si>
    <t>CLM00503</t>
  </si>
  <si>
    <t>CLM00504</t>
  </si>
  <si>
    <t>PAT0212</t>
  </si>
  <si>
    <t>CLM00505</t>
  </si>
  <si>
    <t>CLM00506</t>
  </si>
  <si>
    <t>CLM00507</t>
  </si>
  <si>
    <t>CLM00508</t>
  </si>
  <si>
    <t>CLM00509</t>
  </si>
  <si>
    <t>CLM00510</t>
  </si>
  <si>
    <t>CLM00511</t>
  </si>
  <si>
    <t>PAT0015</t>
  </si>
  <si>
    <t>CLM00512</t>
  </si>
  <si>
    <t>CLM00513</t>
  </si>
  <si>
    <t>CLM00514</t>
  </si>
  <si>
    <t>CLM00515</t>
  </si>
  <si>
    <t>CLM00516</t>
  </si>
  <si>
    <t>CLM00517</t>
  </si>
  <si>
    <t>CLM00518</t>
  </si>
  <si>
    <t>CLM00519</t>
  </si>
  <si>
    <t>CLM00520</t>
  </si>
  <si>
    <t>CLM00521</t>
  </si>
  <si>
    <t>CLM00522</t>
  </si>
  <si>
    <t>CLM00523</t>
  </si>
  <si>
    <t>CLM00524</t>
  </si>
  <si>
    <t>CLM00525</t>
  </si>
  <si>
    <t>CLM00526</t>
  </si>
  <si>
    <t>CLM00527</t>
  </si>
  <si>
    <t>CLM00528</t>
  </si>
  <si>
    <t>CLM00529</t>
  </si>
  <si>
    <t>CLM00530</t>
  </si>
  <si>
    <t>CLM00531</t>
  </si>
  <si>
    <t>PAT0194</t>
  </si>
  <si>
    <t>CLM00532</t>
  </si>
  <si>
    <t>CLM00533</t>
  </si>
  <si>
    <t>CLM00534</t>
  </si>
  <si>
    <t>CLM00535</t>
  </si>
  <si>
    <t>CLM00536</t>
  </si>
  <si>
    <t>CLM00537</t>
  </si>
  <si>
    <t>CLM00538</t>
  </si>
  <si>
    <t>CLM00539</t>
  </si>
  <si>
    <t>CLM00540</t>
  </si>
  <si>
    <t>CLM00541</t>
  </si>
  <si>
    <t>PAT0057</t>
  </si>
  <si>
    <t>CLM00542</t>
  </si>
  <si>
    <t>PAT0141</t>
  </si>
  <si>
    <t>CLM00543</t>
  </si>
  <si>
    <t>PAT0291</t>
  </si>
  <si>
    <t>CLM00544</t>
  </si>
  <si>
    <t>CLM00545</t>
  </si>
  <si>
    <t>CLM00546</t>
  </si>
  <si>
    <t>CLM00547</t>
  </si>
  <si>
    <t>CLM00548</t>
  </si>
  <si>
    <t>CLM00549</t>
  </si>
  <si>
    <t>CLM00550</t>
  </si>
  <si>
    <t>CLM00551</t>
  </si>
  <si>
    <t>CLM00552</t>
  </si>
  <si>
    <t>CLM00553</t>
  </si>
  <si>
    <t>CLM00554</t>
  </si>
  <si>
    <t>CLM00555</t>
  </si>
  <si>
    <t>PAT0118</t>
  </si>
  <si>
    <t>CLM00556</t>
  </si>
  <si>
    <t>CLM00557</t>
  </si>
  <si>
    <t>CLM00558</t>
  </si>
  <si>
    <t>CLM00559</t>
  </si>
  <si>
    <t>CLM00560</t>
  </si>
  <si>
    <t>PAT0156</t>
  </si>
  <si>
    <t>CLM00561</t>
  </si>
  <si>
    <t>CLM00562</t>
  </si>
  <si>
    <t>CLM00563</t>
  </si>
  <si>
    <t>CLM00564</t>
  </si>
  <si>
    <t>CLM00565</t>
  </si>
  <si>
    <t>CLM00566</t>
  </si>
  <si>
    <t>PAT0117</t>
  </si>
  <si>
    <t>CLM00567</t>
  </si>
  <si>
    <t>CLM00568</t>
  </si>
  <si>
    <t>CLM00569</t>
  </si>
  <si>
    <t>CLM00570</t>
  </si>
  <si>
    <t>CLM00571</t>
  </si>
  <si>
    <t>PAT0033</t>
  </si>
  <si>
    <t>CLM00572</t>
  </si>
  <si>
    <t>CLM00573</t>
  </si>
  <si>
    <t>CLM00574</t>
  </si>
  <si>
    <t>CLM00575</t>
  </si>
  <si>
    <t>CLM00576</t>
  </si>
  <si>
    <t>CLM00577</t>
  </si>
  <si>
    <t>CLM00578</t>
  </si>
  <si>
    <t>PAT0286</t>
  </si>
  <si>
    <t>CLM00579</t>
  </si>
  <si>
    <t>PAT0273</t>
  </si>
  <si>
    <t>CLM00580</t>
  </si>
  <si>
    <t>CLM00581</t>
  </si>
  <si>
    <t>PAT0255</t>
  </si>
  <si>
    <t>CLM00582</t>
  </si>
  <si>
    <t>CLM00583</t>
  </si>
  <si>
    <t>CLM00584</t>
  </si>
  <si>
    <t>CLM00585</t>
  </si>
  <si>
    <t>CLM00586</t>
  </si>
  <si>
    <t>CLM00587</t>
  </si>
  <si>
    <t>CLM00588</t>
  </si>
  <si>
    <t>CLM00589</t>
  </si>
  <si>
    <t>CLM00590</t>
  </si>
  <si>
    <t>CLM00591</t>
  </si>
  <si>
    <t>CLM00592</t>
  </si>
  <si>
    <t>CLM00593</t>
  </si>
  <si>
    <t>CLM00594</t>
  </si>
  <si>
    <t>CLM00595</t>
  </si>
  <si>
    <t>CLM00596</t>
  </si>
  <si>
    <t>PAT0107</t>
  </si>
  <si>
    <t>CLM00597</t>
  </si>
  <si>
    <t>CLM00598</t>
  </si>
  <si>
    <t>CLM00599</t>
  </si>
  <si>
    <t>CLM00600</t>
  </si>
  <si>
    <t>CLM00601</t>
  </si>
  <si>
    <t>CLM00602</t>
  </si>
  <si>
    <t>CLM00603</t>
  </si>
  <si>
    <t>CLM00604</t>
  </si>
  <si>
    <t>CLM00605</t>
  </si>
  <si>
    <t>PAT0052</t>
  </si>
  <si>
    <t>CLM00606</t>
  </si>
  <si>
    <t>CLM00607</t>
  </si>
  <si>
    <t>CLM00608</t>
  </si>
  <si>
    <t>CLM00609</t>
  </si>
  <si>
    <t>PAT0298</t>
  </si>
  <si>
    <t>CLM00610</t>
  </si>
  <si>
    <t>CLM00611</t>
  </si>
  <si>
    <t>CLM00612</t>
  </si>
  <si>
    <t>CLM00613</t>
  </si>
  <si>
    <t>PAT0245</t>
  </si>
  <si>
    <t>CLM00614</t>
  </si>
  <si>
    <t>CLM00615</t>
  </si>
  <si>
    <t>CLM00616</t>
  </si>
  <si>
    <t>CLM00617</t>
  </si>
  <si>
    <t>CLM00618</t>
  </si>
  <si>
    <t>CLM00619</t>
  </si>
  <si>
    <t>PAT0283</t>
  </si>
  <si>
    <t>CLM00620</t>
  </si>
  <si>
    <t>PAT0066</t>
  </si>
  <si>
    <t>CLM00621</t>
  </si>
  <si>
    <t>PAT0269</t>
  </si>
  <si>
    <t>CLM00622</t>
  </si>
  <si>
    <t>CLM00623</t>
  </si>
  <si>
    <t>CLM00624</t>
  </si>
  <si>
    <t>CLM00625</t>
  </si>
  <si>
    <t>CLM00626</t>
  </si>
  <si>
    <t>CLM00627</t>
  </si>
  <si>
    <t>CLM00628</t>
  </si>
  <si>
    <t>CLM00629</t>
  </si>
  <si>
    <t>CLM00630</t>
  </si>
  <si>
    <t>CLM00631</t>
  </si>
  <si>
    <t>CLM00632</t>
  </si>
  <si>
    <t>CLM00633</t>
  </si>
  <si>
    <t>CLM00634</t>
  </si>
  <si>
    <t>CLM00635</t>
  </si>
  <si>
    <t>CLM00636</t>
  </si>
  <si>
    <t>CLM00637</t>
  </si>
  <si>
    <t>PAT0001</t>
  </si>
  <si>
    <t>CLM00638</t>
  </si>
  <si>
    <t>CLM00639</t>
  </si>
  <si>
    <t>CLM00640</t>
  </si>
  <si>
    <t>CLM00641</t>
  </si>
  <si>
    <t>CLM00642</t>
  </si>
  <si>
    <t>CLM00643</t>
  </si>
  <si>
    <t>CLM00644</t>
  </si>
  <si>
    <t>CLM00645</t>
  </si>
  <si>
    <t>CLM00646</t>
  </si>
  <si>
    <t>CLM00647</t>
  </si>
  <si>
    <t>CLM00648</t>
  </si>
  <si>
    <t>CLM00649</t>
  </si>
  <si>
    <t>CLM00650</t>
  </si>
  <si>
    <t>CLM00651</t>
  </si>
  <si>
    <t>CLM00652</t>
  </si>
  <si>
    <t>PAT0214</t>
  </si>
  <si>
    <t>CLM00653</t>
  </si>
  <si>
    <t>CLM00654</t>
  </si>
  <si>
    <t>CLM00655</t>
  </si>
  <si>
    <t>PAT0215</t>
  </si>
  <si>
    <t>CLM00656</t>
  </si>
  <si>
    <t>CLM00657</t>
  </si>
  <si>
    <t>CLM00658</t>
  </si>
  <si>
    <t>CLM00659</t>
  </si>
  <si>
    <t>CLM00660</t>
  </si>
  <si>
    <t>CLM00661</t>
  </si>
  <si>
    <t>CLM00662</t>
  </si>
  <si>
    <t>CLM00663</t>
  </si>
  <si>
    <t>CLM00664</t>
  </si>
  <si>
    <t>CLM00665</t>
  </si>
  <si>
    <t>CLM00666</t>
  </si>
  <si>
    <t>CLM00667</t>
  </si>
  <si>
    <t>CLM00668</t>
  </si>
  <si>
    <t>CLM00669</t>
  </si>
  <si>
    <t>CLM00670</t>
  </si>
  <si>
    <t>CLM00671</t>
  </si>
  <si>
    <t>CLM00672</t>
  </si>
  <si>
    <t>CLM00673</t>
  </si>
  <si>
    <t>CLM00674</t>
  </si>
  <si>
    <t>CLM00675</t>
  </si>
  <si>
    <t>CLM00676</t>
  </si>
  <si>
    <t>CLM00677</t>
  </si>
  <si>
    <t>PAT0098</t>
  </si>
  <si>
    <t>CLM00678</t>
  </si>
  <si>
    <t>CLM00679</t>
  </si>
  <si>
    <t>CLM00680</t>
  </si>
  <si>
    <t>CLM00681</t>
  </si>
  <si>
    <t>CLM00682</t>
  </si>
  <si>
    <t>CLM00683</t>
  </si>
  <si>
    <t>PAT0065</t>
  </si>
  <si>
    <t>CLM00684</t>
  </si>
  <si>
    <t>CLM00685</t>
  </si>
  <si>
    <t>CLM00686</t>
  </si>
  <si>
    <t>CLM00687</t>
  </si>
  <si>
    <t>CLM00688</t>
  </si>
  <si>
    <t>CLM00689</t>
  </si>
  <si>
    <t>CLM00690</t>
  </si>
  <si>
    <t>CLM00691</t>
  </si>
  <si>
    <t>CLM00692</t>
  </si>
  <si>
    <t>CLM00693</t>
  </si>
  <si>
    <t>CLM00694</t>
  </si>
  <si>
    <t>CLM00695</t>
  </si>
  <si>
    <t>CLM00696</t>
  </si>
  <si>
    <t>CLM00697</t>
  </si>
  <si>
    <t>CLM00698</t>
  </si>
  <si>
    <t>CLM00699</t>
  </si>
  <si>
    <t>PAT0024</t>
  </si>
  <si>
    <t>CLM00700</t>
  </si>
  <si>
    <t>CLM00701</t>
  </si>
  <si>
    <t>CLM00702</t>
  </si>
  <si>
    <t>CLM00703</t>
  </si>
  <si>
    <t>CLM00704</t>
  </si>
  <si>
    <t>CLM00705</t>
  </si>
  <si>
    <t>CLM00706</t>
  </si>
  <si>
    <t>CLM00707</t>
  </si>
  <si>
    <t>CLM00708</t>
  </si>
  <si>
    <t>CLM00709</t>
  </si>
  <si>
    <t>CLM00710</t>
  </si>
  <si>
    <t>CLM00711</t>
  </si>
  <si>
    <t>CLM00712</t>
  </si>
  <si>
    <t>CLM00713</t>
  </si>
  <si>
    <t>CLM00714</t>
  </si>
  <si>
    <t>CLM00715</t>
  </si>
  <si>
    <t>CLM00716</t>
  </si>
  <si>
    <t>PAT0229</t>
  </si>
  <si>
    <t>CLM00717</t>
  </si>
  <si>
    <t>CLM00718</t>
  </si>
  <si>
    <t>PAT0165</t>
  </si>
  <si>
    <t>CLM00719</t>
  </si>
  <si>
    <t>CLM00720</t>
  </si>
  <si>
    <t>CLM00721</t>
  </si>
  <si>
    <t>CLM00722</t>
  </si>
  <si>
    <t>CLM00723</t>
  </si>
  <si>
    <t>CLM00724</t>
  </si>
  <si>
    <t>CLM00725</t>
  </si>
  <si>
    <t>CLM00726</t>
  </si>
  <si>
    <t>PAT0041</t>
  </si>
  <si>
    <t>CLM00727</t>
  </si>
  <si>
    <t>CLM00728</t>
  </si>
  <si>
    <t>CLM00729</t>
  </si>
  <si>
    <t>CLM00730</t>
  </si>
  <si>
    <t>CLM00731</t>
  </si>
  <si>
    <t>PAT0114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</si>
  <si>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</si>
  <si>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</si>
  <si>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</si>
  <si>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</si>
  <si>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</si>
  <si>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</si>
  <si>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</si>
  <si>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</si>
  <si>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PAT0242</t>
  </si>
  <si>
    <t>CLM00740</t>
  </si>
  <si>
    <t>CLM00741</t>
  </si>
  <si>
    <t>CLM00742</t>
  </si>
  <si>
    <t>PAT0161</t>
  </si>
  <si>
    <t>CLM00743</t>
  </si>
  <si>
    <t>CLM00744</t>
  </si>
  <si>
    <t>CLM00745</t>
  </si>
  <si>
    <t>CLM00746</t>
  </si>
  <si>
    <t>CLM00747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</si>
  <si>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</si>
  <si>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</si>
  <si>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</si>
  <si>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</si>
  <si>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</si>
  <si>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</si>
  <si>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</si>
  <si>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</si>
  <si>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</si>
  <si>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</si>
  <si>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</si>
  <si>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CLM00759</t>
  </si>
  <si>
    <t>PAT0175</t>
  </si>
  <si>
    <t>CLM00760</t>
  </si>
  <si>
    <t>PAT0184</t>
  </si>
  <si>
    <t>CLM00761</t>
  </si>
  <si>
    <t>PAT0063</t>
  </si>
  <si>
    <t>CLM00762</t>
  </si>
  <si>
    <t>CLM00763</t>
  </si>
  <si>
    <t>CLM00764</t>
  </si>
  <si>
    <t>CLM00765</t>
  </si>
  <si>
    <t>CLM00766</t>
  </si>
  <si>
    <t>CLM00767</t>
  </si>
  <si>
    <t>CLM00768</t>
  </si>
  <si>
    <t>CLM00769</t>
  </si>
  <si>
    <t>CLM00770</t>
  </si>
  <si>
    <t>CLM00771</t>
  </si>
  <si>
    <t>CLM00772</t>
  </si>
  <si>
    <t>CLM00773</t>
  </si>
  <si>
    <t>CLM00774</t>
  </si>
  <si>
    <t>CLM00775</t>
  </si>
  <si>
    <t>CLM00776</t>
  </si>
  <si>
    <t>CLM00777</t>
  </si>
  <si>
    <t>CLM00778</t>
  </si>
  <si>
    <t>CLM00779</t>
  </si>
  <si>
    <t>CLM00780</t>
  </si>
  <si>
    <t>CLM00781</t>
  </si>
  <si>
    <t>PAT0220</t>
  </si>
  <si>
    <t>CLM00782</t>
  </si>
  <si>
    <t>CLM00783</t>
  </si>
  <si>
    <t>CLM00784</t>
  </si>
  <si>
    <t>CLM00785</t>
  </si>
  <si>
    <t>CLM00786</t>
  </si>
  <si>
    <t>CLM00787</t>
  </si>
  <si>
    <t>CLM00788</t>
  </si>
  <si>
    <t>CLM00789</t>
  </si>
  <si>
    <t>CLM00790</t>
  </si>
  <si>
    <t>CLM00791</t>
  </si>
  <si>
    <t>CLM00792</t>
  </si>
  <si>
    <t>PAT0077</t>
  </si>
  <si>
    <t>CLM00793</t>
  </si>
  <si>
    <t>PAT0254</t>
  </si>
  <si>
    <t>CLM00794</t>
  </si>
  <si>
    <t>CLM00795</t>
  </si>
  <si>
    <t>CLM00796</t>
  </si>
  <si>
    <t>CLM00797</t>
  </si>
  <si>
    <t>CLM00798</t>
  </si>
  <si>
    <t>CLM00799</t>
  </si>
  <si>
    <t>CLM00800</t>
  </si>
  <si>
    <t>CLM00801</t>
  </si>
  <si>
    <t>CLM00802</t>
  </si>
  <si>
    <t>CLM00803</t>
  </si>
  <si>
    <t>CLM00804</t>
  </si>
  <si>
    <t>CLM00805</t>
  </si>
  <si>
    <t>CLM00806</t>
  </si>
  <si>
    <t>CLM00807</t>
  </si>
  <si>
    <t>CLM00808</t>
  </si>
  <si>
    <t>CLM00809</t>
  </si>
  <si>
    <t>PAT0149</t>
  </si>
  <si>
    <t>CLM00810</t>
  </si>
  <si>
    <t>CLM00811</t>
  </si>
  <si>
    <t>CLM00812</t>
  </si>
  <si>
    <t>CLM00813</t>
  </si>
  <si>
    <t>CLM00814</t>
  </si>
  <si>
    <t>CLM00815</t>
  </si>
  <si>
    <t>CLM00816</t>
  </si>
  <si>
    <t>CLM00817</t>
  </si>
  <si>
    <t>CLM00818</t>
  </si>
  <si>
    <t>CLM00819</t>
  </si>
  <si>
    <t>CLM00820</t>
  </si>
  <si>
    <t>PAT0058</t>
  </si>
  <si>
    <t>CLM00821</t>
  </si>
  <si>
    <t>CLM00822</t>
  </si>
  <si>
    <t>CLM00823</t>
  </si>
  <si>
    <t>CLM00824</t>
  </si>
  <si>
    <t>CLM00825</t>
  </si>
  <si>
    <t>CLM00826</t>
  </si>
  <si>
    <t>PAT0257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</si>
  <si>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</si>
  <si>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</si>
  <si>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</si>
  <si>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</si>
  <si>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</si>
  <si>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</si>
  <si>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</si>
  <si>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</si>
  <si>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CLM00835</t>
  </si>
  <si>
    <t>CLM00836</t>
  </si>
  <si>
    <t>CLM00837</t>
  </si>
  <si>
    <t>CLM00838</t>
  </si>
  <si>
    <t>CLM00839</t>
  </si>
  <si>
    <t>CLM00840</t>
  </si>
  <si>
    <t>CLM00841</t>
  </si>
  <si>
    <t>CLM00842</t>
  </si>
  <si>
    <t>CLM00843</t>
  </si>
  <si>
    <t>CLM00844</t>
  </si>
  <si>
    <t>CLM00845</t>
  </si>
  <si>
    <t>PAT0073</t>
  </si>
  <si>
    <t>CLM00846</t>
  </si>
  <si>
    <t>CLM00847</t>
  </si>
  <si>
    <t>CLM00848</t>
  </si>
  <si>
    <t>CLM00849</t>
  </si>
  <si>
    <t>CLM00850</t>
  </si>
  <si>
    <t>CLM00851</t>
  </si>
  <si>
    <t>CLM00852</t>
  </si>
  <si>
    <t>CLM00853</t>
  </si>
  <si>
    <t>CLM00854</t>
  </si>
  <si>
    <t>CLM00855</t>
  </si>
  <si>
    <t>CLM00856</t>
  </si>
  <si>
    <t>CLM00857</t>
  </si>
  <si>
    <t>CLM00858</t>
  </si>
  <si>
    <t>CLM00859</t>
  </si>
  <si>
    <t>CLM00860</t>
  </si>
  <si>
    <t>CLM00861</t>
  </si>
  <si>
    <t>CLM00862</t>
  </si>
  <si>
    <t>CLM00863</t>
  </si>
  <si>
    <t>CLM00864</t>
  </si>
  <si>
    <t>CLM00865</t>
  </si>
  <si>
    <t>CLM00866</t>
  </si>
  <si>
    <t>CLM00867</t>
  </si>
  <si>
    <t>CLM00868</t>
  </si>
  <si>
    <t>PAT0279</t>
  </si>
  <si>
    <t>CLM00869</t>
  </si>
  <si>
    <t>CLM00870</t>
  </si>
  <si>
    <t>CLM00871</t>
  </si>
  <si>
    <t>CLM00872</t>
  </si>
  <si>
    <t>CLM00873</t>
  </si>
  <si>
    <t>CLM00874</t>
  </si>
  <si>
    <t>CLM00875</t>
  </si>
  <si>
    <t>CLM00876</t>
  </si>
  <si>
    <t>CLM00877</t>
  </si>
  <si>
    <t>CLM00878</t>
  </si>
  <si>
    <t>CLM00879</t>
  </si>
  <si>
    <t>CLM00880</t>
  </si>
  <si>
    <t>CLM00881</t>
  </si>
  <si>
    <t>CLM00882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</si>
  <si>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</si>
  <si>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</si>
  <si>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</si>
  <si>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</si>
  <si>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</si>
  <si>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</si>
  <si>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</si>
  <si>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</si>
  <si>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</si>
  <si>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</si>
  <si>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</si>
  <si>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CLM00894</t>
  </si>
  <si>
    <t>CLM00895</t>
  </si>
  <si>
    <t>CLM00896</t>
  </si>
  <si>
    <t>CLM00897</t>
  </si>
  <si>
    <t>CLM00898</t>
  </si>
  <si>
    <t>CLM00899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</si>
  <si>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</si>
  <si>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</si>
  <si>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</si>
  <si>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</si>
  <si>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</si>
  <si>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</si>
  <si>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</si>
  <si>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</si>
  <si>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</si>
  <si>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</si>
  <si>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CLM00910</t>
  </si>
  <si>
    <t>CLM00911</t>
  </si>
  <si>
    <t>CLM00912</t>
  </si>
  <si>
    <t>CLM00913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</si>
  <si>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</si>
  <si>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</si>
  <si>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</si>
  <si>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</si>
  <si>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</si>
  <si>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</si>
  <si>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</si>
  <si>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</si>
  <si>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</si>
  <si>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CLM00923</t>
  </si>
  <si>
    <t>CLM00924</t>
  </si>
  <si>
    <t>CLM00925</t>
  </si>
  <si>
    <t>CLM00926</t>
  </si>
  <si>
    <t>CLM00927</t>
  </si>
  <si>
    <t>CLM00928</t>
  </si>
  <si>
    <t>CLM00929</t>
  </si>
  <si>
    <t>CLM00930</t>
  </si>
  <si>
    <t>CLM00931</t>
  </si>
  <si>
    <t>CLM00932</t>
  </si>
  <si>
    <t>CLM00933</t>
  </si>
  <si>
    <t>CLM00934</t>
  </si>
  <si>
    <t>CLM00935</t>
  </si>
  <si>
    <t>CLM00936</t>
  </si>
  <si>
    <t>CLM00937</t>
  </si>
  <si>
    <t>CLM00938</t>
  </si>
  <si>
    <t>CLM00939</t>
  </si>
  <si>
    <t>CLM00940</t>
  </si>
  <si>
    <t>CLM00941</t>
  </si>
  <si>
    <t>CLM00942</t>
  </si>
  <si>
    <t>CLM00943</t>
  </si>
  <si>
    <t>CLM00944</t>
  </si>
  <si>
    <t>CLM00945</t>
  </si>
  <si>
    <t>CLM00946</t>
  </si>
  <si>
    <t>CLM00947</t>
  </si>
  <si>
    <t>CLM00948</t>
  </si>
  <si>
    <t>CLM00949</t>
  </si>
  <si>
    <t>CLM00950</t>
  </si>
  <si>
    <t>CLM00951</t>
  </si>
  <si>
    <t>CLM00952</t>
  </si>
  <si>
    <t>CLM00953</t>
  </si>
  <si>
    <t>CLM00954</t>
  </si>
  <si>
    <t>CLM00955</t>
  </si>
  <si>
    <t>CLM00956</t>
  </si>
  <si>
    <t>CLM00957</t>
  </si>
  <si>
    <t>CLM00958</t>
  </si>
  <si>
    <t>CLM00959</t>
  </si>
  <si>
    <t>CLM00960</t>
  </si>
  <si>
    <t>CLM00961</t>
  </si>
  <si>
    <t>CLM00962</t>
  </si>
  <si>
    <t>CLM00963</t>
  </si>
  <si>
    <t>CLM00964</t>
  </si>
  <si>
    <t>CLM00965</t>
  </si>
  <si>
    <t>PAT0281</t>
  </si>
  <si>
    <t>CLM00966</t>
  </si>
  <si>
    <t>CLM00967</t>
  </si>
  <si>
    <t>CLM00968</t>
  </si>
  <si>
    <t>CLM00969</t>
  </si>
  <si>
    <t>CLM00970</t>
  </si>
  <si>
    <t>CLM00971</t>
  </si>
  <si>
    <t>CLM00972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</si>
  <si>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</si>
  <si>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</si>
  <si>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</si>
  <si>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</si>
  <si>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</si>
  <si>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</si>
  <si>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</si>
  <si>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</si>
  <si>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CLM00981</t>
  </si>
  <si>
    <t>CLM00982</t>
  </si>
  <si>
    <t>CLM00983</t>
  </si>
  <si>
    <t>CLM00984</t>
  </si>
  <si>
    <t>CLM00985</t>
  </si>
  <si>
    <t>CLM00986</t>
  </si>
  <si>
    <t>CLM00987</t>
  </si>
  <si>
    <t>CLM00988</t>
  </si>
  <si>
    <t>CLM00989</t>
  </si>
  <si>
    <t>CLM00990</t>
  </si>
  <si>
    <t>CLM00991</t>
  </si>
  <si>
    <t>CLM00992</t>
  </si>
  <si>
    <t>PAT0219</t>
  </si>
  <si>
    <t>CLM00993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</si>
  <si>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</si>
  <si>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</si>
  <si>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</si>
  <si>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</si>
  <si>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</si>
  <si>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</si>
  <si>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</si>
  <si>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</si>
  <si>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</si>
  <si>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PAT0170</t>
  </si>
  <si>
    <t>CLM01003</t>
  </si>
  <si>
    <t>CLM01004</t>
  </si>
  <si>
    <t>CLM01005</t>
  </si>
  <si>
    <t>CLM01006</t>
  </si>
  <si>
    <t>CLM01007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</si>
  <si>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</si>
  <si>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</si>
  <si>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</si>
  <si>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</si>
  <si>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</si>
  <si>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</si>
  <si>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</si>
  <si>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</si>
  <si>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</si>
  <si>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PAT0030</t>
  </si>
  <si>
    <t>CLM01017</t>
  </si>
  <si>
    <t>CLM01018</t>
  </si>
  <si>
    <t>CLM01019</t>
  </si>
  <si>
    <t>CLM01020</t>
  </si>
  <si>
    <t>CLM01021</t>
  </si>
  <si>
    <t>CLM01022</t>
  </si>
  <si>
    <t>CLM01023</t>
  </si>
  <si>
    <t>CLM01024</t>
  </si>
  <si>
    <t>CLM01025</t>
  </si>
  <si>
    <t>CLM01026</t>
  </si>
  <si>
    <t>CLM01027</t>
  </si>
  <si>
    <t>CLM01028</t>
  </si>
  <si>
    <t>CLM01029</t>
  </si>
  <si>
    <t>CLM01030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</si>
  <si>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</si>
  <si>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</si>
  <si>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</si>
  <si>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</si>
  <si>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</si>
  <si>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</si>
  <si>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</si>
  <si>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</si>
  <si>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CLM01039</t>
  </si>
  <si>
    <t>CLM01040</t>
  </si>
  <si>
    <t>CLM01041</t>
  </si>
  <si>
    <t>CLM01042</t>
  </si>
  <si>
    <t>CLM01043</t>
  </si>
  <si>
    <t>CLM01044</t>
  </si>
  <si>
    <t>CLM01045</t>
  </si>
  <si>
    <t>CLM01046</t>
  </si>
  <si>
    <t>CLM01047</t>
  </si>
  <si>
    <t>CLM01048</t>
  </si>
  <si>
    <t>CLM01049</t>
  </si>
  <si>
    <t>CLM01050</t>
  </si>
  <si>
    <t>CLM01051</t>
  </si>
  <si>
    <t>CLM01052</t>
  </si>
  <si>
    <t>CLM01053</t>
  </si>
  <si>
    <t>CLM01054</t>
  </si>
  <si>
    <t>CLM01055</t>
  </si>
  <si>
    <t>CLM01056</t>
  </si>
  <si>
    <t>PAT0137</t>
  </si>
  <si>
    <t>CLM01057</t>
  </si>
  <si>
    <t>CLM01058</t>
  </si>
  <si>
    <t>CLM01059</t>
  </si>
  <si>
    <t>CLM01060</t>
  </si>
  <si>
    <t>CLM01061</t>
  </si>
  <si>
    <t>CLM01062</t>
  </si>
  <si>
    <t>PAT0166</t>
  </si>
  <si>
    <t>CLM01063</t>
  </si>
  <si>
    <t>CLM01064</t>
  </si>
  <si>
    <t>CLM01065</t>
  </si>
  <si>
    <t>CLM01066</t>
  </si>
  <si>
    <t>CLM01067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</si>
  <si>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</si>
  <si>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</si>
  <si>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</si>
  <si>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</si>
  <si>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</si>
  <si>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</si>
  <si>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</si>
  <si>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</si>
  <si>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CLM01076</t>
  </si>
  <si>
    <t>CLM01077</t>
  </si>
  <si>
    <t>CLM01078</t>
  </si>
  <si>
    <t>CLM01079</t>
  </si>
  <si>
    <t>CLM01080</t>
  </si>
  <si>
    <t>CLM01081</t>
  </si>
  <si>
    <t>CLM01082</t>
  </si>
  <si>
    <t>CLM01083</t>
  </si>
  <si>
    <t>PAT0042</t>
  </si>
  <si>
    <t>CLM01084</t>
  </si>
  <si>
    <t>PAT0106</t>
  </si>
  <si>
    <t>CLM01085</t>
  </si>
  <si>
    <t>CLM01086</t>
  </si>
  <si>
    <t>CLM01087</t>
  </si>
  <si>
    <t>CLM01088</t>
  </si>
  <si>
    <t>CLM01089</t>
  </si>
  <si>
    <t>CLM01090</t>
  </si>
  <si>
    <t>CLM01091</t>
  </si>
  <si>
    <t>CLM01092</t>
  </si>
  <si>
    <t>CLM01093</t>
  </si>
  <si>
    <t>CLM01094</t>
  </si>
  <si>
    <t>CLM01095</t>
  </si>
  <si>
    <t>CLM01096</t>
  </si>
  <si>
    <t>CLM01097</t>
  </si>
  <si>
    <t>CLM01098</t>
  </si>
  <si>
    <t>CLM01099</t>
  </si>
  <si>
    <t>CLM01100</t>
  </si>
  <si>
    <t>CLM01101</t>
  </si>
  <si>
    <t>CLM01102</t>
  </si>
  <si>
    <t>CLM01103</t>
  </si>
  <si>
    <t>CLM01104</t>
  </si>
  <si>
    <t>CLM01105</t>
  </si>
  <si>
    <t>CLM01106</t>
  </si>
  <si>
    <t>CLM01107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</si>
  <si>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</si>
  <si>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</si>
  <si>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</si>
  <si>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</si>
  <si>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</si>
  <si>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</si>
  <si>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</si>
  <si>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</si>
  <si>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</si>
  <si>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</si>
  <si>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</si>
  <si>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</si>
  <si>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</si>
  <si>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CLM01121</t>
  </si>
  <si>
    <t>CLM01122</t>
  </si>
  <si>
    <t>CLM01123</t>
  </si>
  <si>
    <t>CLM01124</t>
  </si>
  <si>
    <t>CLM01125</t>
  </si>
  <si>
    <t>CLM01126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</si>
  <si>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</si>
  <si>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</si>
  <si>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</si>
  <si>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</si>
  <si>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</si>
  <si>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</si>
  <si>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</si>
  <si>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</si>
  <si>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</si>
  <si>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</si>
  <si>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</si>
  <si>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</si>
  <si>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</si>
  <si>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CLM01140</t>
  </si>
  <si>
    <t>CLM01141</t>
  </si>
  <si>
    <t>CLM01142</t>
  </si>
  <si>
    <t>CLM01143</t>
  </si>
  <si>
    <t>CLM01144</t>
  </si>
  <si>
    <t>CLM01145</t>
  </si>
  <si>
    <t>CLM01146</t>
  </si>
  <si>
    <t>CLM01147</t>
  </si>
  <si>
    <t>CLM01148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</si>
  <si>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</si>
  <si>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</si>
  <si>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</si>
  <si>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</si>
  <si>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</si>
  <si>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</si>
  <si>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</si>
  <si>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</si>
  <si>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</si>
  <si>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</si>
  <si>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</si>
  <si>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</si>
  <si>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</si>
  <si>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</si>
  <si>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</si>
  <si>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</si>
  <si>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</si>
  <si>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</si>
  <si>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</si>
  <si>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CLM01168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</si>
  <si>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</si>
  <si>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</si>
  <si>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</si>
  <si>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</si>
  <si>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</si>
  <si>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</si>
  <si>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</si>
  <si>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</si>
  <si>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</si>
  <si>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</si>
  <si>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</si>
  <si>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</si>
  <si>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</si>
  <si>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CLM01182</t>
  </si>
  <si>
    <t>CLM01183</t>
  </si>
  <si>
    <t>CLM01184</t>
  </si>
  <si>
    <t>CLM01185</t>
  </si>
  <si>
    <t>CLM01186</t>
  </si>
  <si>
    <t>CLM01187</t>
  </si>
  <si>
    <t>CLM01188</t>
  </si>
  <si>
    <t>CLM01189</t>
  </si>
  <si>
    <t>CLM01190</t>
  </si>
  <si>
    <t>PAT0104</t>
  </si>
  <si>
    <t>CLM01191</t>
  </si>
  <si>
    <t>CLM01192</t>
  </si>
  <si>
    <t>CLM01193</t>
  </si>
  <si>
    <t>CLM01194</t>
  </si>
  <si>
    <t>CLM01195</t>
  </si>
  <si>
    <t>CLM01196</t>
  </si>
  <si>
    <t>CLM01197</t>
  </si>
  <si>
    <t>CLM01198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</si>
  <si>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</si>
  <si>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</si>
  <si>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</si>
  <si>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</si>
  <si>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</si>
  <si>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</si>
  <si>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</si>
  <si>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</si>
  <si>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</si>
  <si>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</si>
  <si>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</si>
  <si>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</si>
  <si>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</si>
  <si>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</si>
  <si>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</si>
  <si>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</si>
  <si>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</si>
  <si>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</si>
  <si>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</si>
  <si>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</si>
  <si>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</si>
  <si>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CLM01220</t>
  </si>
  <si>
    <t>CLM01221</t>
  </si>
  <si>
    <t>CLM01222</t>
  </si>
  <si>
    <t>CLM01223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</si>
  <si>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</si>
  <si>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</si>
  <si>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</si>
  <si>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</si>
  <si>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</si>
  <si>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</si>
  <si>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</si>
  <si>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</si>
  <si>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</si>
  <si>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</si>
  <si>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</si>
  <si>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</si>
  <si>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PAT0097</t>
  </si>
  <si>
    <t>CLM01236</t>
  </si>
  <si>
    <t>CLM01237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</si>
  <si>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</si>
  <si>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</si>
  <si>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</si>
  <si>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</si>
  <si>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</si>
  <si>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</si>
  <si>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</si>
  <si>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</si>
  <si>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</si>
  <si>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</si>
  <si>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</si>
  <si>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</si>
  <si>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CLM01250</t>
  </si>
  <si>
    <t>CLM01251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</si>
  <si>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</si>
  <si>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</si>
  <si>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</si>
  <si>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</si>
  <si>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</si>
  <si>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</si>
  <si>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</si>
  <si>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</si>
  <si>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</si>
  <si>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</si>
  <si>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</si>
  <si>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</si>
  <si>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</si>
  <si>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</si>
  <si>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</si>
  <si>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</si>
  <si>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</si>
  <si>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</si>
  <si>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</si>
  <si>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</si>
  <si>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CLM01272</t>
  </si>
  <si>
    <t>CLM01273</t>
  </si>
  <si>
    <t>CLM01274</t>
  </si>
  <si>
    <t>CLM01275</t>
  </si>
  <si>
    <t>CLM01276</t>
  </si>
  <si>
    <t>CLM01277</t>
  </si>
  <si>
    <t>CLM01278</t>
  </si>
  <si>
    <t>CLM01279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</si>
  <si>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</si>
  <si>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</si>
  <si>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</si>
  <si>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</si>
  <si>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</si>
  <si>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</si>
  <si>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</si>
  <si>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</si>
  <si>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</si>
  <si>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</si>
  <si>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</si>
  <si>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</si>
  <si>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</si>
  <si>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</si>
  <si>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</si>
  <si>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</si>
  <si>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</si>
  <si>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</si>
  <si>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</si>
  <si>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</si>
  <si>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</si>
  <si>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</si>
  <si>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</si>
  <si>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</si>
  <si>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</si>
  <si>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</si>
  <si>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</si>
  <si>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</si>
  <si>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</si>
  <si>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</si>
  <si>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</si>
  <si>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</si>
  <si>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</si>
  <si>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</si>
  <si>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</si>
  <si>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</si>
  <si>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</si>
  <si>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</si>
  <si>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</si>
  <si>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</si>
  <si>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</si>
  <si>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CLM01321</t>
  </si>
  <si>
    <t>CLM01322</t>
  </si>
  <si>
    <t>CLM01323</t>
  </si>
  <si>
    <t>CLM01324</t>
  </si>
  <si>
    <t>CLM01325</t>
  </si>
  <si>
    <t>CLM01326</t>
  </si>
  <si>
    <t>CLM01327</t>
  </si>
  <si>
    <t>CLM01328</t>
  </si>
  <si>
    <t>CLM01329</t>
  </si>
  <si>
    <t>CLM01330</t>
  </si>
  <si>
    <t>CLM01331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</si>
  <si>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</si>
  <si>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</si>
  <si>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</si>
  <si>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</si>
  <si>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</si>
  <si>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</si>
  <si>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</si>
  <si>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</si>
  <si>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</si>
  <si>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</si>
  <si>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</si>
  <si>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</si>
  <si>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</si>
  <si>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</si>
  <si>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</si>
  <si>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</si>
  <si>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</si>
  <si>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</si>
  <si>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</si>
  <si>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</si>
  <si>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</si>
  <si>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CLM01353</t>
  </si>
  <si>
    <t>CLM01354</t>
  </si>
  <si>
    <t>CLM01355</t>
  </si>
  <si>
    <t>CLM01356</t>
  </si>
  <si>
    <t>CLM01357</t>
  </si>
  <si>
    <t>CLM01358</t>
  </si>
  <si>
    <t>CLM01359</t>
  </si>
  <si>
    <t>CLM01360</t>
  </si>
  <si>
    <t>CLM01361</t>
  </si>
  <si>
    <t>CLM01362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</si>
  <si>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</si>
  <si>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</si>
  <si>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</si>
  <si>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</si>
  <si>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</si>
  <si>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</si>
  <si>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</si>
  <si>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</si>
  <si>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</si>
  <si>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</si>
  <si>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</si>
  <si>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</si>
  <si>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</si>
  <si>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</si>
  <si>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</si>
  <si>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</si>
  <si>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</si>
  <si>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CLM01380</t>
  </si>
  <si>
    <t>CLM01381</t>
  </si>
  <si>
    <t>CLM01382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</si>
  <si>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</si>
  <si>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</si>
  <si>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</si>
  <si>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</si>
  <si>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</si>
  <si>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</si>
  <si>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</si>
  <si>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</si>
  <si>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</si>
  <si>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</si>
  <si>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</si>
  <si>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</si>
  <si>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</si>
  <si>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</si>
  <si>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</si>
  <si>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</si>
  <si>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</si>
  <si>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</si>
  <si>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</si>
  <si>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</si>
  <si>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</si>
  <si>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</si>
  <si>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</si>
  <si>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</si>
  <si>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</si>
  <si>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</si>
  <si>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</si>
  <si>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</si>
  <si>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</si>
  <si>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</si>
  <si>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</si>
  <si>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</si>
  <si>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</si>
  <si>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</si>
  <si>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</si>
  <si>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</si>
  <si>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</si>
  <si>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</si>
  <si>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</si>
  <si>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</si>
  <si>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</si>
  <si>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</si>
  <si>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</si>
  <si>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</si>
  <si>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</si>
  <si>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</si>
  <si>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</si>
  <si>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</si>
  <si>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</si>
  <si>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</si>
  <si>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</si>
  <si>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</si>
  <si>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</si>
  <si>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</si>
  <si>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</si>
  <si>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</si>
  <si>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</si>
  <si>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</si>
  <si>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</si>
  <si>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</si>
  <si>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</si>
  <si>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</si>
  <si>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</si>
  <si>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</si>
  <si>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</si>
  <si>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</si>
  <si>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CLM01449</t>
  </si>
  <si>
    <t>CLM01450</t>
  </si>
  <si>
    <t>CLM01451</t>
  </si>
  <si>
    <t>PAT0297</t>
  </si>
  <si>
    <t>CLM01452</t>
  </si>
  <si>
    <t>CLM01453</t>
  </si>
  <si>
    <t>CLM01454</t>
  </si>
  <si>
    <t>CLM01455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</si>
  <si>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</si>
  <si>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</si>
  <si>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</si>
  <si>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</si>
  <si>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</si>
  <si>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</si>
  <si>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</si>
  <si>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</si>
  <si>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</si>
  <si>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PAT0192</t>
  </si>
  <si>
    <t>CLM01465</t>
  </si>
  <si>
    <t>CLM01466</t>
  </si>
  <si>
    <t>CLM01467</t>
  </si>
  <si>
    <t>CLM01468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</si>
  <si>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</si>
  <si>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</si>
  <si>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</si>
  <si>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</si>
  <si>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</si>
  <si>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</si>
  <si>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</si>
  <si>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</si>
  <si>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CLM01477</t>
  </si>
  <si>
    <t>CLM01478</t>
  </si>
  <si>
    <t>CLM01479</t>
  </si>
  <si>
    <t>CLM01480</t>
  </si>
  <si>
    <t>CLM01481</t>
  </si>
  <si>
    <t>CLM01482</t>
  </si>
  <si>
    <t>CLM01483</t>
  </si>
  <si>
    <t>CLM01484</t>
  </si>
  <si>
    <t>CLM01485</t>
  </si>
  <si>
    <t>CLM01486</t>
  </si>
  <si>
    <t>CLM01487</t>
  </si>
  <si>
    <t>CLM01488</t>
  </si>
  <si>
    <t>CLM01489</t>
  </si>
  <si>
    <t>CLM01490</t>
  </si>
  <si>
    <t>CLM01491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</si>
  <si>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</si>
  <si>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</si>
  <si>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</si>
  <si>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</si>
  <si>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</si>
  <si>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</si>
  <si>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</si>
  <si>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</si>
  <si>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</si>
  <si>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</si>
  <si>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</si>
  <si>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</si>
  <si>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</si>
  <si>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</si>
  <si>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</si>
  <si>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</si>
  <si>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</si>
  <si>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</si>
  <si>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</si>
  <si>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</si>
  <si>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</si>
  <si>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</si>
  <si>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</si>
  <si>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</si>
  <si>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</si>
  <si>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</si>
  <si>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</si>
  <si>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</si>
  <si>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</si>
  <si>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</si>
  <si>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CLM01522</t>
  </si>
  <si>
    <t>CLM01523</t>
  </si>
  <si>
    <t>CLM01524</t>
  </si>
  <si>
    <t>CLM01525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</si>
  <si>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</si>
  <si>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</si>
  <si>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</si>
  <si>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</si>
  <si>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</si>
  <si>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</si>
  <si>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</si>
  <si>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</si>
  <si>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</si>
  <si>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</si>
  <si>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</si>
  <si>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</si>
  <si>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</si>
  <si>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</si>
  <si>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</si>
  <si>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</si>
  <si>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</si>
  <si>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</si>
  <si>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</si>
  <si>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</si>
  <si>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</si>
  <si>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</si>
  <si>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CLM01548</t>
  </si>
  <si>
    <t>PAT0130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</si>
  <si>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</si>
  <si>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</si>
  <si>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</si>
  <si>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</si>
  <si>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</si>
  <si>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</si>
  <si>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</si>
  <si>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</si>
  <si>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</si>
  <si>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CLM01558</t>
  </si>
  <si>
    <t>CLM01559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</si>
  <si>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</si>
  <si>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</si>
  <si>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</si>
  <si>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</si>
  <si>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</si>
  <si>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</si>
  <si>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</si>
  <si>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</si>
  <si>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CLM01568</t>
  </si>
  <si>
    <t>CLM01569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</si>
  <si>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</si>
  <si>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</si>
  <si>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</si>
  <si>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</si>
  <si>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</si>
  <si>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</si>
  <si>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</si>
  <si>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</si>
  <si>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</si>
  <si>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</si>
  <si>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</si>
  <si>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</si>
  <si>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</si>
  <si>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</si>
  <si>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</si>
  <si>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</si>
  <si>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</si>
  <si>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</si>
  <si>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</si>
  <si>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</si>
  <si>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</si>
  <si>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</si>
  <si>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</si>
  <si>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</si>
  <si>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</si>
  <si>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</si>
  <si>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CLM01596</t>
  </si>
  <si>
    <t>CLM01597</t>
  </si>
  <si>
    <t>CLM01598</t>
  </si>
  <si>
    <t>CLM01599</t>
  </si>
  <si>
    <t>CLM01600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</si>
  <si>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</si>
  <si>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</si>
  <si>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</si>
  <si>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</si>
  <si>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</si>
  <si>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</si>
  <si>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</si>
  <si>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</si>
  <si>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CLM01609</t>
  </si>
  <si>
    <t>CLM01610</t>
  </si>
  <si>
    <t>CLM01611</t>
  </si>
  <si>
    <t>CLM01612</t>
  </si>
  <si>
    <t>CLM01613</t>
  </si>
  <si>
    <t>CLM01614</t>
  </si>
  <si>
    <t>CLM01615</t>
  </si>
  <si>
    <t>CLM01616</t>
  </si>
  <si>
    <t>CLM01617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</si>
  <si>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</si>
  <si>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</si>
  <si>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</si>
  <si>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</si>
  <si>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</si>
  <si>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</si>
  <si>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</si>
  <si>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</si>
  <si>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</si>
  <si>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</si>
  <si>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</si>
  <si>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</si>
  <si>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</si>
  <si>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</si>
  <si>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</si>
  <si>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</si>
  <si>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</si>
  <si>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</si>
  <si>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</si>
  <si>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</si>
  <si>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</si>
  <si>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</si>
  <si>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</si>
  <si>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</si>
  <si>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</si>
  <si>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</si>
  <si>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</si>
  <si>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</si>
  <si>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</si>
  <si>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</si>
  <si>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</si>
  <si>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</si>
  <si>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</si>
  <si>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</si>
  <si>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</si>
  <si>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</si>
  <si>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</si>
  <si>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</si>
  <si>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</si>
  <si>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</si>
  <si>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</si>
  <si>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</si>
  <si>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</si>
  <si>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</si>
  <si>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</si>
  <si>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</si>
  <si>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</si>
  <si>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</si>
  <si>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</si>
  <si>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</si>
  <si>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</si>
  <si>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</si>
  <si>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</si>
  <si>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CLM01671</t>
  </si>
  <si>
    <t>CLM01672</t>
  </si>
  <si>
    <t>CLM01673</t>
  </si>
  <si>
    <t>CLM01674</t>
  </si>
  <si>
    <t>CLM01675</t>
  </si>
  <si>
    <t>CLM01676</t>
  </si>
  <si>
    <t>CLM01677</t>
  </si>
  <si>
    <t>CLM01678</t>
  </si>
  <si>
    <t>CLM01679</t>
  </si>
  <si>
    <t>CLM01680</t>
  </si>
  <si>
    <t>CLM01681</t>
  </si>
  <si>
    <t>CLM01682</t>
  </si>
  <si>
    <t>CLM01683</t>
  </si>
  <si>
    <t>CLM01684</t>
  </si>
  <si>
    <t>CLM01685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</si>
  <si>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</si>
  <si>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</si>
  <si>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</si>
  <si>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</si>
  <si>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</si>
  <si>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</si>
  <si>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</si>
  <si>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</si>
  <si>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</si>
  <si>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</si>
  <si>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</si>
  <si>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</si>
  <si>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</si>
  <si>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</si>
  <si>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</si>
  <si>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</si>
  <si>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</si>
  <si>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</si>
  <si>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</si>
  <si>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</si>
  <si>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</si>
  <si>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</si>
  <si>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</si>
  <si>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</si>
  <si>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</si>
  <si>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</si>
  <si>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</si>
  <si>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</si>
  <si>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</si>
  <si>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</si>
  <si>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</si>
  <si>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CLM01717</t>
  </si>
  <si>
    <t>CLM01718</t>
  </si>
  <si>
    <t>CLM01719</t>
  </si>
  <si>
    <t>PAT0153</t>
  </si>
  <si>
    <t>CLM01720</t>
  </si>
  <si>
    <t>CLM01721</t>
  </si>
  <si>
    <t>CLM01722</t>
  </si>
  <si>
    <t>CLM01723</t>
  </si>
  <si>
    <t>CLM01724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</si>
  <si>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</si>
  <si>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</si>
  <si>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</si>
  <si>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</si>
  <si>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</si>
  <si>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</si>
  <si>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</si>
  <si>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</si>
  <si>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</si>
  <si>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</si>
  <si>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</si>
  <si>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</si>
  <si>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</si>
  <si>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</si>
  <si>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</si>
  <si>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</si>
  <si>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</si>
  <si>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</si>
  <si>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</si>
  <si>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</si>
  <si>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</si>
  <si>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</si>
  <si>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</si>
  <si>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</si>
  <si>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</si>
  <si>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</si>
  <si>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</si>
  <si>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</si>
  <si>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</si>
  <si>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</si>
  <si>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</si>
  <si>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</si>
  <si>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</si>
  <si>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</si>
  <si>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</si>
  <si>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</si>
  <si>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</si>
  <si>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</si>
  <si>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</si>
  <si>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</si>
  <si>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</si>
  <si>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</si>
  <si>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</si>
  <si>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</si>
  <si>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</si>
  <si>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</si>
  <si>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</si>
  <si>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</si>
  <si>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</si>
  <si>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</si>
  <si>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</si>
  <si>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</si>
  <si>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</si>
  <si>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</si>
  <si>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</si>
  <si>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</si>
  <si>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</si>
  <si>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</si>
  <si>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</si>
  <si>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</si>
  <si>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</si>
  <si>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</si>
  <si>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</si>
  <si>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</si>
  <si>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</si>
  <si>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</si>
  <si>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</si>
  <si>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</si>
  <si>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CLM01793</t>
  </si>
  <si>
    <t>CLM01794</t>
  </si>
  <si>
    <t>CLM01795</t>
  </si>
  <si>
    <t>CLM01796</t>
  </si>
  <si>
    <t>CLM01797</t>
  </si>
  <si>
    <t>CLM01798</t>
  </si>
  <si>
    <t>CLM01799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</si>
  <si>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</si>
  <si>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</si>
  <si>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</si>
  <si>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</si>
  <si>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</si>
  <si>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</si>
  <si>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</si>
  <si>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</si>
  <si>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</si>
  <si>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</si>
  <si>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</si>
  <si>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</si>
  <si>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</si>
  <si>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CLM01813</t>
  </si>
  <si>
    <t>CLM01814</t>
  </si>
  <si>
    <t>CLM01815</t>
  </si>
  <si>
    <t>CLM01816</t>
  </si>
  <si>
    <t>CLM01817</t>
  </si>
  <si>
    <t>CLM01818</t>
  </si>
  <si>
    <t>CLM01819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</si>
  <si>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</si>
  <si>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</si>
  <si>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</si>
  <si>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</si>
  <si>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</si>
  <si>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</si>
  <si>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</si>
  <si>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</si>
  <si>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</si>
  <si>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</si>
  <si>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</si>
  <si>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</si>
  <si>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</si>
  <si>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</si>
  <si>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</si>
  <si>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CLM01835</t>
  </si>
  <si>
    <t>CLM01836</t>
  </si>
  <si>
    <t>CLM01837</t>
  </si>
  <si>
    <t>CLM01838</t>
  </si>
  <si>
    <t>CLM01839</t>
  </si>
  <si>
    <t>CLM01840</t>
  </si>
  <si>
    <t>CLM01841</t>
  </si>
  <si>
    <t>CLM01842</t>
  </si>
  <si>
    <t>CLM01843</t>
  </si>
  <si>
    <t>CLM01844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</si>
  <si>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</si>
  <si>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</si>
  <si>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</si>
  <si>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</si>
  <si>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</si>
  <si>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</si>
  <si>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</si>
  <si>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</si>
  <si>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</si>
  <si>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</si>
  <si>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</si>
  <si>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</si>
  <si>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</si>
  <si>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</si>
  <si>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</si>
  <si>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</si>
  <si>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</si>
  <si>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</si>
  <si>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</si>
  <si>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</si>
  <si>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</si>
  <si>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</si>
  <si>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</si>
  <si>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</si>
  <si>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</si>
  <si>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</si>
  <si>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</si>
  <si>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</si>
  <si>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</si>
  <si>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</si>
  <si>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</si>
  <si>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</si>
  <si>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</si>
  <si>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</si>
  <si>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</si>
  <si>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</si>
  <si>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</si>
  <si>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</si>
  <si>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</si>
  <si>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</si>
  <si>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</si>
  <si>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</si>
  <si>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</si>
  <si>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</si>
  <si>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</si>
  <si>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</si>
  <si>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</si>
  <si>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</si>
  <si>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</si>
  <si>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</si>
  <si>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</si>
  <si>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</si>
  <si>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</si>
  <si>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</si>
  <si>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</si>
  <si>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</si>
  <si>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</si>
  <si>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</si>
  <si>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</si>
  <si>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CLM01904</t>
  </si>
  <si>
    <t>CLM01905</t>
  </si>
  <si>
    <t>CLM01906</t>
  </si>
  <si>
    <t>CLM01907</t>
  </si>
  <si>
    <t>CLM01908</t>
  </si>
  <si>
    <t>CLM01909</t>
  </si>
  <si>
    <t>CLM01910</t>
  </si>
  <si>
    <t>CLM01911</t>
  </si>
  <si>
    <t>CLM01912</t>
  </si>
  <si>
    <t>CLM01913</t>
  </si>
  <si>
    <t>CLM01914</t>
  </si>
  <si>
    <t>CLM01915</t>
  </si>
  <si>
    <t>CLM01916</t>
  </si>
  <si>
    <t>CLM01917</t>
  </si>
  <si>
    <t>CLM01918</t>
  </si>
  <si>
    <t>CLM01919</t>
  </si>
  <si>
    <t>CLM01920</t>
  </si>
  <si>
    <t>CLM01921</t>
  </si>
  <si>
    <t>CLM01922</t>
  </si>
  <si>
    <t>CLM01923</t>
  </si>
  <si>
    <t>CLM01924</t>
  </si>
  <si>
    <t>CLM01925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</si>
  <si>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</si>
  <si>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</si>
  <si>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</si>
  <si>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</si>
  <si>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</si>
  <si>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</si>
  <si>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</si>
  <si>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</si>
  <si>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</si>
  <si>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</si>
  <si>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</si>
  <si>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</si>
  <si>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</si>
  <si>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</si>
  <si>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</si>
  <si>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CLM01941</t>
  </si>
  <si>
    <t>CLM01942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</si>
  <si>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</si>
  <si>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</si>
  <si>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</si>
  <si>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</si>
  <si>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</si>
  <si>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</si>
  <si>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</si>
  <si>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</si>
  <si>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</si>
  <si>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PAT0294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</si>
  <si>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</si>
  <si>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</si>
  <si>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</si>
  <si>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</si>
  <si>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</si>
  <si>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</si>
  <si>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</si>
  <si>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</si>
  <si>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</si>
  <si>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</si>
  <si>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</si>
  <si>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</si>
  <si>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</si>
  <si>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</si>
  <si>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</si>
  <si>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</si>
  <si>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</si>
  <si>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</si>
  <si>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</si>
  <si>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</si>
  <si>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</si>
  <si>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</si>
  <si>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</si>
  <si>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</si>
  <si>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</si>
  <si>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</si>
  <si>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</si>
  <si>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</si>
  <si>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</si>
  <si>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</si>
  <si>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</si>
  <si>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</si>
  <si>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</si>
  <si>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</si>
  <si>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</si>
  <si>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</si>
  <si>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</si>
  <si>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</si>
  <si>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</si>
  <si>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</si>
  <si>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</si>
  <si>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</si>
  <si>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</si>
  <si>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</si>
  <si>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</si>
  <si>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</si>
  <si>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</si>
  <si>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</si>
  <si>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</si>
  <si>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Rule</t>
  </si>
  <si>
    <t>Fraud Type</t>
  </si>
  <si>
    <t>Condition</t>
  </si>
  <si>
    <t>Points</t>
  </si>
  <si>
    <t>R1</t>
  </si>
  <si>
    <t>Inflated Hours</t>
  </si>
  <si>
    <t>care_hours &gt; 16</t>
  </si>
  <si>
    <t>R2</t>
  </si>
  <si>
    <t>Round Amount</t>
  </si>
  <si>
    <t>billed_amount divisible by 250</t>
  </si>
  <si>
    <t>R3</t>
  </si>
  <si>
    <t>Duplicate Claim</t>
  </si>
  <si>
    <t>same patient + provider + amount</t>
  </si>
  <si>
    <t>R4</t>
  </si>
  <si>
    <t>Deceased Patient</t>
  </si>
  <si>
    <t>claim_date &gt; death_date</t>
  </si>
  <si>
    <t>Risk Tiers</t>
  </si>
  <si>
    <t>0-30</t>
  </si>
  <si>
    <t>31-60</t>
  </si>
  <si>
    <t>61-100</t>
  </si>
  <si>
    <t>Low Risk</t>
  </si>
  <si>
    <t>Medium Risk</t>
  </si>
  <si>
    <t>High Risk</t>
  </si>
  <si>
    <t>Claim ID</t>
  </si>
  <si>
    <t>Patient ID</t>
  </si>
  <si>
    <t>Provider ID</t>
  </si>
  <si>
    <t>Claim Date</t>
  </si>
  <si>
    <t>Care Hours</t>
  </si>
  <si>
    <t>Billed Amount</t>
  </si>
  <si>
    <t>Is Fraud</t>
  </si>
  <si>
    <t>Risk Score</t>
  </si>
  <si>
    <t>Risk Tier</t>
  </si>
  <si>
    <t>LTC Insurance Fraud Analytics — Executive Summary</t>
  </si>
  <si>
    <t>Total Claims</t>
  </si>
  <si>
    <t>Total $ At Risk</t>
  </si>
  <si>
    <t>Fraud Rate</t>
  </si>
  <si>
    <t>Providers Flagged</t>
  </si>
  <si>
    <t>Total Fraud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</si>
</sst>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2"/>
      </patternFill>
    </fill>
  </fills>
  <borders count="4">
    <border>
      <left/>
      <right/>
      <top/>
      <bottom/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/>
      <diagonal/>
    </border>
    <border>
      <left style="thick">
        <color theme="1" tint="0.14996795556505021"/>
      </left>
      <right style="thick">
        <color theme="1" tint="0.14996795556505021"/>
      </right>
      <top/>
      <bottom/>
      <diagonal/>
    </border>
    <border>
      <left style="thick">
        <color theme="1" tint="0.14996795556505021"/>
      </left>
      <right style="thick">
        <color theme="1" tint="0.14996795556505021"/>
      </right>
      <top/>
      <bottom style="thick">
        <color theme="1" tint="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9" fontId="0" fillId="0" borderId="0" xfId="2" applyFont="1"/>
    <xf numFmtId="44" fontId="0" fillId="0" borderId="0" xfId="1" applyFont="1"/>
    <xf numFmtId="0" fontId="6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aims_raw" connectionId="1" xr16:uid="{D2223A3E-4E10-BC48-AD62-503CD29261C2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D2832-C78B-9745-A108-17CF2127F8FB}" name="Table1" displayName="Table1" ref="A1:D5" totalsRowShown="0">
  <autoFilter ref="A1:D5" xr:uid="{3E5D2832-C78B-9745-A108-17CF2127F8FB}"/>
  <tableColumns count="4">
    <tableColumn id="1" xr3:uid="{3D246BE4-07F2-4D4C-A84C-EBA0CDD825EE}" name="Rule"/>
    <tableColumn id="2" xr3:uid="{F0C474C1-BB44-6C4E-9EA7-1CC1E45D89B9}" name="Fraud Type"/>
    <tableColumn id="3" xr3:uid="{9500246B-D985-C547-B1D4-13E1040A50AD}" name="Condition" dataDxfId="10"/>
    <tableColumn id="4" xr3:uid="{0BF7BD0B-D21A-E347-A2F2-3D3F1DE9FC02}" name="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3AAA-C565-3249-B7F3-13AF1E1B1F86}">
  <dimension ref="A1:M2001"/>
  <sheetViews>
    <sheetView workbookViewId="0">
      <selection activeCell="P12" sqref="P12"/>
    </sheetView>
  </sheetViews>
  <sheetFormatPr baseColWidth="10" defaultRowHeight="16" x14ac:dyDescent="0.2"/>
  <cols>
    <col min="1" max="1" width="32.6640625" customWidth="1"/>
    <col min="5" max="5" width="13.6640625" style="6" customWidth="1"/>
    <col min="7" max="7" width="15" style="3" customWidth="1"/>
    <col min="13" max="13" width="13.6640625" style="3" customWidth="1"/>
  </cols>
  <sheetData>
    <row r="1" spans="1:13" s="2" customFormat="1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spans="1:13" ht="17" x14ac:dyDescent="0.2">
      <c r="A2" t="s">
        <v>13</v>
      </c>
      <c r="B2" t="s">
        <v>14</v>
      </c>
      <c r="C2" t="s">
        <v>15</v>
      </c>
      <c r="D2" s="1">
        <v>45047</v>
      </c>
      <c r="E2" s="6" t="s">
        <v>16</v>
      </c>
      <c r="F2" t="s">
        <v>17</v>
      </c>
      <c r="G2" s="3" t="s">
        <v>18</v>
      </c>
      <c r="H2">
        <v>2.6</v>
      </c>
      <c r="I2">
        <v>37.729999999999997</v>
      </c>
      <c r="J2">
        <v>98.09</v>
      </c>
      <c r="K2" t="s">
        <v>19</v>
      </c>
      <c r="L2" t="b">
        <v>0</v>
      </c>
    </row>
    <row r="3" spans="1:13" ht="34" x14ac:dyDescent="0.2">
      <c r="A3" t="s">
        <v>20</v>
      </c>
      <c r="B3" t="s">
        <v>21</v>
      </c>
      <c r="C3" t="s">
        <v>22</v>
      </c>
      <c r="D3" s="1">
        <v>45232</v>
      </c>
      <c r="E3" s="6" t="s">
        <v>23</v>
      </c>
      <c r="F3" t="s">
        <v>24</v>
      </c>
      <c r="G3" s="3" t="s">
        <v>25</v>
      </c>
      <c r="H3">
        <v>2.2999999999999998</v>
      </c>
      <c r="I3">
        <v>45.01</v>
      </c>
      <c r="J3">
        <v>103.52</v>
      </c>
      <c r="K3" t="s">
        <v>26</v>
      </c>
      <c r="L3" t="b">
        <v>0</v>
      </c>
    </row>
    <row r="4" spans="1:13" ht="17" x14ac:dyDescent="0.2">
      <c r="A4" t="s">
        <v>27</v>
      </c>
      <c r="B4" t="s">
        <v>28</v>
      </c>
      <c r="C4" t="s">
        <v>29</v>
      </c>
      <c r="D4" s="1">
        <v>45401</v>
      </c>
      <c r="E4" s="6" t="s">
        <v>23</v>
      </c>
      <c r="F4" t="s">
        <v>30</v>
      </c>
      <c r="G4" s="3" t="s">
        <v>31</v>
      </c>
      <c r="H4">
        <v>2.4</v>
      </c>
      <c r="I4">
        <v>70.91</v>
      </c>
      <c r="J4">
        <v>170.18</v>
      </c>
      <c r="K4" t="s">
        <v>32</v>
      </c>
      <c r="L4" t="b">
        <v>0</v>
      </c>
    </row>
    <row r="5" spans="1:13" ht="17" x14ac:dyDescent="0.2">
      <c r="A5" t="s">
        <v>33</v>
      </c>
      <c r="B5" t="s">
        <v>34</v>
      </c>
      <c r="C5" t="s">
        <v>35</v>
      </c>
      <c r="D5" s="1">
        <v>45258</v>
      </c>
      <c r="E5" s="6" t="s">
        <v>23</v>
      </c>
      <c r="F5" t="s">
        <v>30</v>
      </c>
      <c r="G5" s="3" t="s">
        <v>31</v>
      </c>
      <c r="H5">
        <v>6.9</v>
      </c>
      <c r="I5">
        <v>38.979999999999997</v>
      </c>
      <c r="J5">
        <v>268.95999999999998</v>
      </c>
      <c r="K5" t="s">
        <v>36</v>
      </c>
      <c r="L5" t="b">
        <v>0</v>
      </c>
    </row>
    <row r="6" spans="1:13" ht="34" x14ac:dyDescent="0.2">
      <c r="A6" t="s">
        <v>37</v>
      </c>
      <c r="B6" t="s">
        <v>38</v>
      </c>
      <c r="C6" t="s">
        <v>39</v>
      </c>
      <c r="D6" s="1">
        <v>45305</v>
      </c>
      <c r="E6" s="6" t="s">
        <v>23</v>
      </c>
      <c r="F6" t="s">
        <v>24</v>
      </c>
      <c r="G6" s="3" t="s">
        <v>25</v>
      </c>
      <c r="H6">
        <v>23.8</v>
      </c>
      <c r="I6">
        <v>84.04</v>
      </c>
      <c r="J6">
        <v>2000</v>
      </c>
      <c r="K6" t="s">
        <v>32</v>
      </c>
      <c r="L6" t="b">
        <v>1</v>
      </c>
      <c r="M6" s="3" t="s">
        <v>40</v>
      </c>
    </row>
    <row r="7" spans="1:13" ht="34" x14ac:dyDescent="0.2">
      <c r="A7" t="s">
        <v>41</v>
      </c>
      <c r="B7" t="s">
        <v>42</v>
      </c>
      <c r="C7" t="s">
        <v>43</v>
      </c>
      <c r="D7" s="1">
        <v>45168</v>
      </c>
      <c r="E7" s="6" t="s">
        <v>44</v>
      </c>
      <c r="F7" t="s">
        <v>45</v>
      </c>
      <c r="G7" s="3" t="s">
        <v>46</v>
      </c>
      <c r="H7">
        <v>6.8</v>
      </c>
      <c r="I7">
        <v>31.6</v>
      </c>
      <c r="J7">
        <v>214.85</v>
      </c>
      <c r="K7" t="s">
        <v>19</v>
      </c>
      <c r="L7" t="b">
        <v>0</v>
      </c>
    </row>
    <row r="8" spans="1:13" ht="68" x14ac:dyDescent="0.2">
      <c r="A8" t="s">
        <v>47</v>
      </c>
      <c r="B8" t="s">
        <v>48</v>
      </c>
      <c r="C8" t="s">
        <v>49</v>
      </c>
      <c r="D8" s="1">
        <v>45312</v>
      </c>
      <c r="E8" s="6" t="s">
        <v>23</v>
      </c>
      <c r="F8" t="s">
        <v>50</v>
      </c>
      <c r="G8" s="3" t="s">
        <v>51</v>
      </c>
      <c r="H8">
        <v>2.1</v>
      </c>
      <c r="I8">
        <v>72.400000000000006</v>
      </c>
      <c r="J8">
        <v>152.04</v>
      </c>
      <c r="K8" t="s">
        <v>32</v>
      </c>
      <c r="L8" t="b">
        <v>0</v>
      </c>
    </row>
    <row r="9" spans="1:13" ht="34" x14ac:dyDescent="0.2">
      <c r="A9" t="s">
        <v>52</v>
      </c>
      <c r="B9" t="s">
        <v>53</v>
      </c>
      <c r="C9" t="s">
        <v>43</v>
      </c>
      <c r="D9" s="1">
        <v>45532</v>
      </c>
      <c r="E9" s="6" t="s">
        <v>23</v>
      </c>
      <c r="F9" t="s">
        <v>54</v>
      </c>
      <c r="G9" s="3" t="s">
        <v>55</v>
      </c>
      <c r="H9">
        <v>2.1</v>
      </c>
      <c r="I9">
        <v>40.92</v>
      </c>
      <c r="J9">
        <v>85.94</v>
      </c>
      <c r="K9" t="s">
        <v>56</v>
      </c>
      <c r="L9" t="b">
        <v>0</v>
      </c>
    </row>
    <row r="10" spans="1:13" ht="34" x14ac:dyDescent="0.2">
      <c r="A10" t="s">
        <v>57</v>
      </c>
      <c r="B10" t="s">
        <v>58</v>
      </c>
      <c r="C10" t="s">
        <v>59</v>
      </c>
      <c r="D10" s="1">
        <v>44957</v>
      </c>
      <c r="E10" s="6" t="s">
        <v>60</v>
      </c>
      <c r="F10" t="s">
        <v>61</v>
      </c>
      <c r="G10" s="3" t="s">
        <v>62</v>
      </c>
      <c r="H10">
        <v>5.2</v>
      </c>
      <c r="I10">
        <v>69.739999999999995</v>
      </c>
      <c r="J10">
        <v>362.65</v>
      </c>
      <c r="K10" t="s">
        <v>26</v>
      </c>
      <c r="L10" t="b">
        <v>0</v>
      </c>
    </row>
    <row r="11" spans="1:13" ht="17" x14ac:dyDescent="0.2">
      <c r="A11" t="s">
        <v>63</v>
      </c>
      <c r="B11" t="s">
        <v>64</v>
      </c>
      <c r="C11" t="s">
        <v>65</v>
      </c>
      <c r="D11" s="1">
        <v>45501</v>
      </c>
      <c r="E11" s="6" t="s">
        <v>44</v>
      </c>
      <c r="F11" t="s">
        <v>17</v>
      </c>
      <c r="G11" s="3" t="s">
        <v>18</v>
      </c>
      <c r="H11">
        <v>6.7</v>
      </c>
      <c r="I11">
        <v>55.79</v>
      </c>
      <c r="J11">
        <v>373.82</v>
      </c>
      <c r="K11" t="s">
        <v>32</v>
      </c>
      <c r="L11" t="b">
        <v>0</v>
      </c>
    </row>
    <row r="12" spans="1:13" ht="34" x14ac:dyDescent="0.2">
      <c r="A12" t="s">
        <v>66</v>
      </c>
      <c r="B12" t="s">
        <v>67</v>
      </c>
      <c r="C12" t="s">
        <v>68</v>
      </c>
      <c r="D12" s="1">
        <v>44929</v>
      </c>
      <c r="E12" s="6" t="s">
        <v>44</v>
      </c>
      <c r="F12" t="s">
        <v>17</v>
      </c>
      <c r="G12" s="3" t="s">
        <v>18</v>
      </c>
      <c r="H12">
        <v>9.1999999999999993</v>
      </c>
      <c r="I12">
        <v>81.72</v>
      </c>
      <c r="J12">
        <v>750</v>
      </c>
      <c r="K12" t="s">
        <v>56</v>
      </c>
      <c r="L12" t="b">
        <v>1</v>
      </c>
      <c r="M12" s="3" t="s">
        <v>40</v>
      </c>
    </row>
    <row r="13" spans="1:13" ht="34" x14ac:dyDescent="0.2">
      <c r="A13" t="s">
        <v>69</v>
      </c>
      <c r="B13" t="s">
        <v>70</v>
      </c>
      <c r="C13" t="s">
        <v>71</v>
      </c>
      <c r="D13" s="1">
        <v>45535</v>
      </c>
      <c r="E13" s="6" t="s">
        <v>44</v>
      </c>
      <c r="F13" t="s">
        <v>45</v>
      </c>
      <c r="G13" s="3" t="s">
        <v>46</v>
      </c>
      <c r="H13">
        <v>4.7</v>
      </c>
      <c r="I13">
        <v>82.84</v>
      </c>
      <c r="J13">
        <v>389.36</v>
      </c>
      <c r="K13" t="s">
        <v>26</v>
      </c>
      <c r="L13" t="b">
        <v>0</v>
      </c>
    </row>
    <row r="14" spans="1:13" ht="34" x14ac:dyDescent="0.2">
      <c r="A14" t="s">
        <v>72</v>
      </c>
      <c r="B14" t="s">
        <v>73</v>
      </c>
      <c r="C14" t="s">
        <v>29</v>
      </c>
      <c r="D14" s="1">
        <v>45237</v>
      </c>
      <c r="E14" s="6" t="s">
        <v>44</v>
      </c>
      <c r="F14" t="s">
        <v>17</v>
      </c>
      <c r="G14" s="3" t="s">
        <v>18</v>
      </c>
      <c r="H14">
        <v>14.8</v>
      </c>
      <c r="I14">
        <v>50.58</v>
      </c>
      <c r="J14">
        <v>750</v>
      </c>
      <c r="K14" t="s">
        <v>19</v>
      </c>
      <c r="L14" t="b">
        <v>1</v>
      </c>
      <c r="M14" s="3" t="s">
        <v>40</v>
      </c>
    </row>
    <row r="15" spans="1:13" ht="17" x14ac:dyDescent="0.2">
      <c r="A15" t="s">
        <v>74</v>
      </c>
      <c r="B15" t="s">
        <v>75</v>
      </c>
      <c r="C15" t="s">
        <v>35</v>
      </c>
      <c r="D15" s="1">
        <v>45017</v>
      </c>
      <c r="E15" s="6" t="s">
        <v>44</v>
      </c>
      <c r="F15" t="s">
        <v>17</v>
      </c>
      <c r="G15" s="3" t="s">
        <v>18</v>
      </c>
      <c r="H15">
        <v>6.3</v>
      </c>
      <c r="I15">
        <v>51.61</v>
      </c>
      <c r="J15">
        <v>325.17</v>
      </c>
      <c r="K15" t="s">
        <v>36</v>
      </c>
      <c r="L15" t="b">
        <v>0</v>
      </c>
    </row>
    <row r="16" spans="1:13" ht="34" x14ac:dyDescent="0.2">
      <c r="A16" t="s">
        <v>76</v>
      </c>
      <c r="B16" t="s">
        <v>77</v>
      </c>
      <c r="C16" t="s">
        <v>29</v>
      </c>
      <c r="D16" s="1">
        <v>45445</v>
      </c>
      <c r="E16" s="6" t="s">
        <v>78</v>
      </c>
      <c r="F16" t="s">
        <v>54</v>
      </c>
      <c r="G16" s="3" t="s">
        <v>55</v>
      </c>
      <c r="H16">
        <v>22</v>
      </c>
      <c r="I16">
        <v>28.94</v>
      </c>
      <c r="J16">
        <v>636.67999999999995</v>
      </c>
      <c r="K16" t="s">
        <v>26</v>
      </c>
      <c r="L16" t="b">
        <v>1</v>
      </c>
      <c r="M16" s="3" t="s">
        <v>79</v>
      </c>
    </row>
    <row r="17" spans="1:13" ht="34" x14ac:dyDescent="0.2">
      <c r="A17" t="s">
        <v>80</v>
      </c>
      <c r="B17" t="s">
        <v>81</v>
      </c>
      <c r="C17" t="s">
        <v>71</v>
      </c>
      <c r="D17" s="1">
        <v>45231</v>
      </c>
      <c r="E17" s="6" t="s">
        <v>78</v>
      </c>
      <c r="F17" t="s">
        <v>54</v>
      </c>
      <c r="G17" s="3" t="s">
        <v>55</v>
      </c>
      <c r="H17">
        <v>4.3</v>
      </c>
      <c r="I17">
        <v>60.84</v>
      </c>
      <c r="J17">
        <v>261.63</v>
      </c>
      <c r="K17" t="s">
        <v>82</v>
      </c>
      <c r="L17" t="b">
        <v>0</v>
      </c>
    </row>
    <row r="18" spans="1:13" ht="17" x14ac:dyDescent="0.2">
      <c r="A18" t="s">
        <v>83</v>
      </c>
      <c r="B18" t="s">
        <v>84</v>
      </c>
      <c r="C18" t="s">
        <v>85</v>
      </c>
      <c r="D18" s="1">
        <v>45082</v>
      </c>
      <c r="E18" s="6" t="s">
        <v>16</v>
      </c>
      <c r="F18" t="s">
        <v>17</v>
      </c>
      <c r="G18" s="3" t="s">
        <v>18</v>
      </c>
      <c r="H18">
        <v>5</v>
      </c>
      <c r="I18">
        <v>50.81</v>
      </c>
      <c r="J18">
        <v>254.06</v>
      </c>
      <c r="K18" t="s">
        <v>36</v>
      </c>
      <c r="L18" t="b">
        <v>0</v>
      </c>
    </row>
    <row r="19" spans="1:13" ht="34" x14ac:dyDescent="0.2">
      <c r="A19" t="s">
        <v>86</v>
      </c>
      <c r="B19" t="s">
        <v>87</v>
      </c>
      <c r="C19" t="s">
        <v>88</v>
      </c>
      <c r="D19" s="1">
        <v>44945</v>
      </c>
      <c r="E19" s="6" t="s">
        <v>89</v>
      </c>
      <c r="F19" t="s">
        <v>90</v>
      </c>
      <c r="G19" s="3" t="s">
        <v>91</v>
      </c>
      <c r="H19">
        <v>7.1</v>
      </c>
      <c r="I19">
        <v>64.05</v>
      </c>
      <c r="J19">
        <v>454.79</v>
      </c>
      <c r="K19" t="s">
        <v>92</v>
      </c>
      <c r="L19" t="b">
        <v>0</v>
      </c>
    </row>
    <row r="20" spans="1:13" ht="34" x14ac:dyDescent="0.2">
      <c r="A20" t="s">
        <v>93</v>
      </c>
      <c r="B20" t="s">
        <v>94</v>
      </c>
      <c r="C20" t="s">
        <v>95</v>
      </c>
      <c r="D20" s="1">
        <v>45245</v>
      </c>
      <c r="E20" s="6" t="s">
        <v>60</v>
      </c>
      <c r="F20" t="s">
        <v>30</v>
      </c>
      <c r="G20" s="3" t="s">
        <v>31</v>
      </c>
      <c r="H20">
        <v>9.6</v>
      </c>
      <c r="I20">
        <v>78.290000000000006</v>
      </c>
      <c r="J20">
        <v>750</v>
      </c>
      <c r="K20" t="s">
        <v>96</v>
      </c>
      <c r="L20" t="b">
        <v>1</v>
      </c>
      <c r="M20" s="3" t="s">
        <v>40</v>
      </c>
    </row>
    <row r="21" spans="1:13" ht="34" x14ac:dyDescent="0.2">
      <c r="A21" t="s">
        <v>97</v>
      </c>
      <c r="B21" t="s">
        <v>98</v>
      </c>
      <c r="C21" t="s">
        <v>88</v>
      </c>
      <c r="D21" s="1">
        <v>40657</v>
      </c>
      <c r="E21" s="6" t="s">
        <v>16</v>
      </c>
      <c r="F21" t="s">
        <v>54</v>
      </c>
      <c r="G21" s="3" t="s">
        <v>55</v>
      </c>
      <c r="H21">
        <v>7</v>
      </c>
      <c r="I21">
        <v>48.92</v>
      </c>
      <c r="J21">
        <v>342.47</v>
      </c>
      <c r="K21" t="s">
        <v>36</v>
      </c>
      <c r="L21" t="b">
        <v>1</v>
      </c>
      <c r="M21" s="3" t="s">
        <v>99</v>
      </c>
    </row>
    <row r="22" spans="1:13" ht="34" x14ac:dyDescent="0.2">
      <c r="A22" t="s">
        <v>100</v>
      </c>
      <c r="B22" t="s">
        <v>101</v>
      </c>
      <c r="C22" t="s">
        <v>29</v>
      </c>
      <c r="D22" s="1">
        <v>45501</v>
      </c>
      <c r="E22" s="6" t="s">
        <v>78</v>
      </c>
      <c r="F22" t="s">
        <v>90</v>
      </c>
      <c r="G22" s="3" t="s">
        <v>91</v>
      </c>
      <c r="H22">
        <v>3.9</v>
      </c>
      <c r="I22">
        <v>43.75</v>
      </c>
      <c r="J22">
        <v>170.63</v>
      </c>
      <c r="K22" t="s">
        <v>36</v>
      </c>
      <c r="L22" t="b">
        <v>1</v>
      </c>
      <c r="M22" s="3" t="s">
        <v>102</v>
      </c>
    </row>
    <row r="23" spans="1:13" ht="34" x14ac:dyDescent="0.2">
      <c r="A23" t="s">
        <v>103</v>
      </c>
      <c r="B23" t="s">
        <v>104</v>
      </c>
      <c r="C23" t="s">
        <v>95</v>
      </c>
      <c r="D23" s="1">
        <v>45514</v>
      </c>
      <c r="E23" s="6" t="s">
        <v>60</v>
      </c>
      <c r="F23" t="s">
        <v>54</v>
      </c>
      <c r="G23" s="3" t="s">
        <v>55</v>
      </c>
      <c r="H23">
        <v>17.899999999999999</v>
      </c>
      <c r="I23">
        <v>66.209999999999994</v>
      </c>
      <c r="J23">
        <v>1185.1600000000001</v>
      </c>
      <c r="K23" t="s">
        <v>105</v>
      </c>
      <c r="L23" t="b">
        <v>1</v>
      </c>
      <c r="M23" s="3" t="s">
        <v>79</v>
      </c>
    </row>
    <row r="24" spans="1:13" ht="34" x14ac:dyDescent="0.2">
      <c r="A24" t="s">
        <v>106</v>
      </c>
      <c r="B24" t="s">
        <v>107</v>
      </c>
      <c r="C24" t="s">
        <v>71</v>
      </c>
      <c r="D24" s="1">
        <v>45075</v>
      </c>
      <c r="E24" s="6" t="s">
        <v>60</v>
      </c>
      <c r="F24" t="s">
        <v>90</v>
      </c>
      <c r="G24" s="3" t="s">
        <v>91</v>
      </c>
      <c r="H24">
        <v>2.5</v>
      </c>
      <c r="I24">
        <v>30.12</v>
      </c>
      <c r="J24">
        <v>75.3</v>
      </c>
      <c r="K24" t="s">
        <v>92</v>
      </c>
      <c r="L24" t="b">
        <v>0</v>
      </c>
    </row>
    <row r="25" spans="1:13" ht="34" x14ac:dyDescent="0.2">
      <c r="A25" t="s">
        <v>108</v>
      </c>
      <c r="B25" t="s">
        <v>109</v>
      </c>
      <c r="C25" t="s">
        <v>110</v>
      </c>
      <c r="D25" s="1">
        <v>44949</v>
      </c>
      <c r="E25" s="6" t="s">
        <v>23</v>
      </c>
      <c r="F25" t="s">
        <v>90</v>
      </c>
      <c r="G25" s="3" t="s">
        <v>91</v>
      </c>
      <c r="H25">
        <v>6.5</v>
      </c>
      <c r="I25">
        <v>47.36</v>
      </c>
      <c r="J25">
        <v>307.83</v>
      </c>
      <c r="K25" t="s">
        <v>92</v>
      </c>
      <c r="L25" t="b">
        <v>0</v>
      </c>
    </row>
    <row r="26" spans="1:13" ht="34" x14ac:dyDescent="0.2">
      <c r="A26" t="s">
        <v>111</v>
      </c>
      <c r="B26" t="s">
        <v>112</v>
      </c>
      <c r="C26" t="s">
        <v>68</v>
      </c>
      <c r="D26" s="1">
        <v>45336</v>
      </c>
      <c r="E26" s="6" t="s">
        <v>78</v>
      </c>
      <c r="F26" t="s">
        <v>24</v>
      </c>
      <c r="G26" s="3" t="s">
        <v>25</v>
      </c>
      <c r="H26">
        <v>5.5</v>
      </c>
      <c r="I26">
        <v>58.7</v>
      </c>
      <c r="J26">
        <v>322.82</v>
      </c>
      <c r="K26" t="s">
        <v>113</v>
      </c>
      <c r="L26" t="b">
        <v>0</v>
      </c>
    </row>
    <row r="27" spans="1:13" ht="34" x14ac:dyDescent="0.2">
      <c r="A27" t="s">
        <v>114</v>
      </c>
      <c r="B27" t="s">
        <v>115</v>
      </c>
      <c r="C27" t="s">
        <v>116</v>
      </c>
      <c r="D27" s="1">
        <v>45134</v>
      </c>
      <c r="E27" s="6" t="s">
        <v>60</v>
      </c>
      <c r="F27" t="s">
        <v>90</v>
      </c>
      <c r="G27" s="3" t="s">
        <v>91</v>
      </c>
      <c r="H27">
        <v>4.5</v>
      </c>
      <c r="I27">
        <v>77.42</v>
      </c>
      <c r="J27">
        <v>348.37</v>
      </c>
      <c r="K27" t="s">
        <v>26</v>
      </c>
      <c r="L27" t="b">
        <v>0</v>
      </c>
    </row>
    <row r="28" spans="1:13" ht="34" x14ac:dyDescent="0.2">
      <c r="A28" t="s">
        <v>117</v>
      </c>
      <c r="B28" t="s">
        <v>118</v>
      </c>
      <c r="C28" t="s">
        <v>119</v>
      </c>
      <c r="D28" s="1">
        <v>45077</v>
      </c>
      <c r="E28" s="6" t="s">
        <v>78</v>
      </c>
      <c r="F28" t="s">
        <v>24</v>
      </c>
      <c r="G28" s="3" t="s">
        <v>25</v>
      </c>
      <c r="H28">
        <v>7.8</v>
      </c>
      <c r="I28">
        <v>61.02</v>
      </c>
      <c r="J28">
        <v>475.99</v>
      </c>
      <c r="K28" t="s">
        <v>26</v>
      </c>
      <c r="L28" t="b">
        <v>0</v>
      </c>
    </row>
    <row r="29" spans="1:13" ht="34" x14ac:dyDescent="0.2">
      <c r="A29" t="s">
        <v>120</v>
      </c>
      <c r="B29" t="s">
        <v>121</v>
      </c>
      <c r="C29" t="s">
        <v>122</v>
      </c>
      <c r="D29" s="1">
        <v>45175</v>
      </c>
      <c r="E29" s="6" t="s">
        <v>16</v>
      </c>
      <c r="F29" t="s">
        <v>90</v>
      </c>
      <c r="G29" s="3" t="s">
        <v>91</v>
      </c>
      <c r="H29">
        <v>5.5</v>
      </c>
      <c r="I29">
        <v>37.76</v>
      </c>
      <c r="J29">
        <v>207.7</v>
      </c>
      <c r="K29" t="s">
        <v>92</v>
      </c>
      <c r="L29" t="b">
        <v>0</v>
      </c>
    </row>
    <row r="30" spans="1:13" ht="17" x14ac:dyDescent="0.2">
      <c r="A30" t="s">
        <v>123</v>
      </c>
      <c r="B30" t="s">
        <v>107</v>
      </c>
      <c r="C30" t="s">
        <v>124</v>
      </c>
      <c r="D30" s="1">
        <v>45097</v>
      </c>
      <c r="E30" s="6" t="s">
        <v>89</v>
      </c>
      <c r="F30" t="s">
        <v>17</v>
      </c>
      <c r="G30" s="3" t="s">
        <v>18</v>
      </c>
      <c r="H30">
        <v>18.100000000000001</v>
      </c>
      <c r="I30">
        <v>31.49</v>
      </c>
      <c r="J30">
        <v>569.97</v>
      </c>
      <c r="K30" t="s">
        <v>92</v>
      </c>
      <c r="L30" t="b">
        <v>1</v>
      </c>
      <c r="M30" s="3" t="s">
        <v>79</v>
      </c>
    </row>
    <row r="31" spans="1:13" ht="34" x14ac:dyDescent="0.2">
      <c r="A31" t="s">
        <v>125</v>
      </c>
      <c r="B31" t="s">
        <v>126</v>
      </c>
      <c r="C31" t="s">
        <v>127</v>
      </c>
      <c r="D31" s="1">
        <v>45383</v>
      </c>
      <c r="E31" s="6" t="s">
        <v>23</v>
      </c>
      <c r="F31" t="s">
        <v>54</v>
      </c>
      <c r="G31" s="3" t="s">
        <v>55</v>
      </c>
      <c r="H31">
        <v>2.7</v>
      </c>
      <c r="I31">
        <v>41.71</v>
      </c>
      <c r="J31">
        <v>112.63</v>
      </c>
      <c r="K31" t="s">
        <v>56</v>
      </c>
      <c r="L31" t="b">
        <v>0</v>
      </c>
    </row>
    <row r="32" spans="1:13" ht="34" x14ac:dyDescent="0.2">
      <c r="A32" t="s">
        <v>128</v>
      </c>
      <c r="B32" t="s">
        <v>129</v>
      </c>
      <c r="C32" t="s">
        <v>130</v>
      </c>
      <c r="D32" s="1">
        <v>45292</v>
      </c>
      <c r="E32" s="6" t="s">
        <v>89</v>
      </c>
      <c r="F32" t="s">
        <v>61</v>
      </c>
      <c r="G32" s="3" t="s">
        <v>62</v>
      </c>
      <c r="H32">
        <v>7.1</v>
      </c>
      <c r="I32">
        <v>83.47</v>
      </c>
      <c r="J32">
        <v>592.66</v>
      </c>
      <c r="K32" t="s">
        <v>32</v>
      </c>
      <c r="L32" t="b">
        <v>0</v>
      </c>
    </row>
    <row r="33" spans="1:12" ht="34" x14ac:dyDescent="0.2">
      <c r="A33" t="s">
        <v>131</v>
      </c>
      <c r="B33" t="s">
        <v>132</v>
      </c>
      <c r="C33" t="s">
        <v>133</v>
      </c>
      <c r="D33" s="1">
        <v>45091</v>
      </c>
      <c r="E33" s="6" t="s">
        <v>16</v>
      </c>
      <c r="F33" t="s">
        <v>24</v>
      </c>
      <c r="G33" s="3" t="s">
        <v>25</v>
      </c>
      <c r="H33">
        <v>5.7</v>
      </c>
      <c r="I33">
        <v>64.47</v>
      </c>
      <c r="J33">
        <v>367.48</v>
      </c>
      <c r="K33" t="s">
        <v>96</v>
      </c>
      <c r="L33" t="b">
        <v>0</v>
      </c>
    </row>
    <row r="34" spans="1:12" ht="34" x14ac:dyDescent="0.2">
      <c r="A34" t="s">
        <v>134</v>
      </c>
      <c r="B34" t="s">
        <v>135</v>
      </c>
      <c r="C34" t="s">
        <v>65</v>
      </c>
      <c r="D34" s="1">
        <v>44969</v>
      </c>
      <c r="E34" s="6" t="s">
        <v>78</v>
      </c>
      <c r="F34" t="s">
        <v>45</v>
      </c>
      <c r="G34" s="3" t="s">
        <v>46</v>
      </c>
      <c r="H34">
        <v>2.2000000000000002</v>
      </c>
      <c r="I34">
        <v>41.4</v>
      </c>
      <c r="J34">
        <v>91.07</v>
      </c>
      <c r="K34" t="s">
        <v>113</v>
      </c>
      <c r="L34" t="b">
        <v>0</v>
      </c>
    </row>
    <row r="35" spans="1:12" ht="34" x14ac:dyDescent="0.2">
      <c r="A35" t="s">
        <v>136</v>
      </c>
      <c r="B35" t="s">
        <v>137</v>
      </c>
      <c r="C35" t="s">
        <v>138</v>
      </c>
      <c r="D35" s="1">
        <v>45172</v>
      </c>
      <c r="E35" s="6" t="s">
        <v>23</v>
      </c>
      <c r="F35" t="s">
        <v>54</v>
      </c>
      <c r="G35" s="3" t="s">
        <v>55</v>
      </c>
      <c r="H35">
        <v>4.0999999999999996</v>
      </c>
      <c r="I35">
        <v>35.880000000000003</v>
      </c>
      <c r="J35">
        <v>147.13</v>
      </c>
      <c r="K35" t="s">
        <v>105</v>
      </c>
      <c r="L35" t="b">
        <v>0</v>
      </c>
    </row>
    <row r="36" spans="1:12" ht="34" x14ac:dyDescent="0.2">
      <c r="A36" t="s">
        <v>139</v>
      </c>
      <c r="B36" t="s">
        <v>140</v>
      </c>
      <c r="C36" t="s">
        <v>59</v>
      </c>
      <c r="D36" s="1">
        <v>45594</v>
      </c>
      <c r="E36" s="6" t="s">
        <v>44</v>
      </c>
      <c r="F36" t="s">
        <v>61</v>
      </c>
      <c r="G36" s="3" t="s">
        <v>62</v>
      </c>
      <c r="H36">
        <v>2.4</v>
      </c>
      <c r="I36">
        <v>69.459999999999994</v>
      </c>
      <c r="J36">
        <v>166.7</v>
      </c>
      <c r="K36" t="s">
        <v>36</v>
      </c>
      <c r="L36" t="b">
        <v>0</v>
      </c>
    </row>
    <row r="37" spans="1:12" ht="34" x14ac:dyDescent="0.2">
      <c r="A37" t="s">
        <v>141</v>
      </c>
      <c r="B37" t="s">
        <v>142</v>
      </c>
      <c r="C37" t="s">
        <v>59</v>
      </c>
      <c r="D37" s="1">
        <v>45336</v>
      </c>
      <c r="E37" s="6" t="s">
        <v>60</v>
      </c>
      <c r="F37" t="s">
        <v>90</v>
      </c>
      <c r="G37" s="3" t="s">
        <v>91</v>
      </c>
      <c r="H37">
        <v>6.5</v>
      </c>
      <c r="I37">
        <v>37.909999999999997</v>
      </c>
      <c r="J37">
        <v>246.4</v>
      </c>
      <c r="K37" t="s">
        <v>19</v>
      </c>
      <c r="L37" t="b">
        <v>0</v>
      </c>
    </row>
    <row r="38" spans="1:12" ht="17" x14ac:dyDescent="0.2">
      <c r="A38" t="s">
        <v>143</v>
      </c>
      <c r="B38" t="s">
        <v>144</v>
      </c>
      <c r="C38" t="s">
        <v>145</v>
      </c>
      <c r="D38" s="1">
        <v>45050</v>
      </c>
      <c r="E38" s="6" t="s">
        <v>16</v>
      </c>
      <c r="F38" t="s">
        <v>17</v>
      </c>
      <c r="G38" s="3" t="s">
        <v>18</v>
      </c>
      <c r="H38">
        <v>4</v>
      </c>
      <c r="I38">
        <v>47.2</v>
      </c>
      <c r="J38">
        <v>188.81</v>
      </c>
      <c r="K38" t="s">
        <v>113</v>
      </c>
      <c r="L38" t="b">
        <v>0</v>
      </c>
    </row>
    <row r="39" spans="1:12" ht="34" x14ac:dyDescent="0.2">
      <c r="A39" t="s">
        <v>146</v>
      </c>
      <c r="B39" t="s">
        <v>147</v>
      </c>
      <c r="C39" t="s">
        <v>148</v>
      </c>
      <c r="D39" s="1">
        <v>45570</v>
      </c>
      <c r="E39" s="6" t="s">
        <v>44</v>
      </c>
      <c r="F39" t="s">
        <v>54</v>
      </c>
      <c r="G39" s="3" t="s">
        <v>55</v>
      </c>
      <c r="H39">
        <v>6.7</v>
      </c>
      <c r="I39">
        <v>59.06</v>
      </c>
      <c r="J39">
        <v>395.67</v>
      </c>
      <c r="K39" t="s">
        <v>32</v>
      </c>
      <c r="L39" t="b">
        <v>0</v>
      </c>
    </row>
    <row r="40" spans="1:12" ht="34" x14ac:dyDescent="0.2">
      <c r="A40" t="s">
        <v>149</v>
      </c>
      <c r="B40" t="s">
        <v>150</v>
      </c>
      <c r="C40" t="s">
        <v>29</v>
      </c>
      <c r="D40" s="1">
        <v>45568</v>
      </c>
      <c r="E40" s="6" t="s">
        <v>44</v>
      </c>
      <c r="F40" t="s">
        <v>24</v>
      </c>
      <c r="G40" s="3" t="s">
        <v>25</v>
      </c>
      <c r="H40">
        <v>2.9</v>
      </c>
      <c r="I40">
        <v>70.27</v>
      </c>
      <c r="J40">
        <v>203.77</v>
      </c>
      <c r="K40" t="s">
        <v>32</v>
      </c>
      <c r="L40" t="b">
        <v>0</v>
      </c>
    </row>
    <row r="41" spans="1:12" ht="34" x14ac:dyDescent="0.2">
      <c r="A41" t="s">
        <v>151</v>
      </c>
      <c r="B41" t="s">
        <v>152</v>
      </c>
      <c r="C41" t="s">
        <v>153</v>
      </c>
      <c r="D41" s="1">
        <v>45132</v>
      </c>
      <c r="E41" s="6" t="s">
        <v>60</v>
      </c>
      <c r="F41" t="s">
        <v>90</v>
      </c>
      <c r="G41" s="3" t="s">
        <v>91</v>
      </c>
      <c r="H41">
        <v>3.6</v>
      </c>
      <c r="I41">
        <v>64.72</v>
      </c>
      <c r="J41">
        <v>232.98</v>
      </c>
      <c r="K41" t="s">
        <v>96</v>
      </c>
      <c r="L41" t="b">
        <v>0</v>
      </c>
    </row>
    <row r="42" spans="1:12" ht="17" x14ac:dyDescent="0.2">
      <c r="A42" t="s">
        <v>154</v>
      </c>
      <c r="B42" t="s">
        <v>155</v>
      </c>
      <c r="C42" t="s">
        <v>156</v>
      </c>
      <c r="D42" s="1">
        <v>45379</v>
      </c>
      <c r="E42" s="6" t="s">
        <v>89</v>
      </c>
      <c r="F42" t="s">
        <v>17</v>
      </c>
      <c r="G42" s="3" t="s">
        <v>18</v>
      </c>
      <c r="H42">
        <v>4.5</v>
      </c>
      <c r="I42">
        <v>37.93</v>
      </c>
      <c r="J42">
        <v>170.7</v>
      </c>
      <c r="K42" t="s">
        <v>113</v>
      </c>
      <c r="L42" t="b">
        <v>0</v>
      </c>
    </row>
    <row r="43" spans="1:12" ht="34" x14ac:dyDescent="0.2">
      <c r="A43" t="s">
        <v>157</v>
      </c>
      <c r="B43" t="s">
        <v>158</v>
      </c>
      <c r="C43" t="s">
        <v>159</v>
      </c>
      <c r="D43" s="1">
        <v>45364</v>
      </c>
      <c r="E43" s="6" t="s">
        <v>16</v>
      </c>
      <c r="F43" t="s">
        <v>90</v>
      </c>
      <c r="G43" s="3" t="s">
        <v>91</v>
      </c>
      <c r="H43">
        <v>4.0999999999999996</v>
      </c>
      <c r="I43">
        <v>31.65</v>
      </c>
      <c r="J43">
        <v>129.78</v>
      </c>
      <c r="K43" t="s">
        <v>82</v>
      </c>
      <c r="L43" t="b">
        <v>0</v>
      </c>
    </row>
    <row r="44" spans="1:12" ht="17" x14ac:dyDescent="0.2">
      <c r="A44" t="s">
        <v>160</v>
      </c>
      <c r="B44" t="s">
        <v>155</v>
      </c>
      <c r="C44" t="s">
        <v>161</v>
      </c>
      <c r="D44" s="1">
        <v>45539</v>
      </c>
      <c r="E44" s="6" t="s">
        <v>23</v>
      </c>
      <c r="F44" t="s">
        <v>17</v>
      </c>
      <c r="G44" s="3" t="s">
        <v>18</v>
      </c>
      <c r="H44">
        <v>5.2</v>
      </c>
      <c r="I44">
        <v>43.51</v>
      </c>
      <c r="J44">
        <v>226.23</v>
      </c>
      <c r="K44" t="s">
        <v>113</v>
      </c>
      <c r="L44" t="b">
        <v>0</v>
      </c>
    </row>
    <row r="45" spans="1:12" ht="34" x14ac:dyDescent="0.2">
      <c r="A45" t="s">
        <v>162</v>
      </c>
      <c r="B45" t="s">
        <v>163</v>
      </c>
      <c r="C45" t="s">
        <v>133</v>
      </c>
      <c r="D45" s="1">
        <v>45076</v>
      </c>
      <c r="E45" s="6" t="s">
        <v>23</v>
      </c>
      <c r="F45" t="s">
        <v>61</v>
      </c>
      <c r="G45" s="3" t="s">
        <v>62</v>
      </c>
      <c r="H45">
        <v>7.9</v>
      </c>
      <c r="I45">
        <v>28.29</v>
      </c>
      <c r="J45">
        <v>223.47</v>
      </c>
      <c r="K45" t="s">
        <v>113</v>
      </c>
      <c r="L45" t="b">
        <v>0</v>
      </c>
    </row>
    <row r="46" spans="1:12" ht="34" x14ac:dyDescent="0.2">
      <c r="A46" t="s">
        <v>164</v>
      </c>
      <c r="B46" t="s">
        <v>165</v>
      </c>
      <c r="C46" t="s">
        <v>166</v>
      </c>
      <c r="D46" s="1">
        <v>45048</v>
      </c>
      <c r="E46" s="6" t="s">
        <v>78</v>
      </c>
      <c r="F46" t="s">
        <v>45</v>
      </c>
      <c r="G46" s="3" t="s">
        <v>46</v>
      </c>
      <c r="H46">
        <v>7.7</v>
      </c>
      <c r="I46">
        <v>71.040000000000006</v>
      </c>
      <c r="J46">
        <v>547.02</v>
      </c>
      <c r="K46" t="s">
        <v>105</v>
      </c>
      <c r="L46" t="b">
        <v>0</v>
      </c>
    </row>
    <row r="47" spans="1:12" ht="34" x14ac:dyDescent="0.2">
      <c r="A47" t="s">
        <v>167</v>
      </c>
      <c r="B47" t="s">
        <v>168</v>
      </c>
      <c r="C47" t="s">
        <v>39</v>
      </c>
      <c r="D47" s="1">
        <v>45476</v>
      </c>
      <c r="E47" s="6" t="s">
        <v>16</v>
      </c>
      <c r="F47" t="s">
        <v>45</v>
      </c>
      <c r="G47" s="3" t="s">
        <v>46</v>
      </c>
      <c r="H47">
        <v>4</v>
      </c>
      <c r="I47">
        <v>25.46</v>
      </c>
      <c r="J47">
        <v>101.86</v>
      </c>
      <c r="K47" t="s">
        <v>113</v>
      </c>
      <c r="L47" t="b">
        <v>0</v>
      </c>
    </row>
    <row r="48" spans="1:12" ht="34" x14ac:dyDescent="0.2">
      <c r="A48" t="s">
        <v>169</v>
      </c>
      <c r="B48" t="s">
        <v>152</v>
      </c>
      <c r="C48" t="s">
        <v>110</v>
      </c>
      <c r="D48" s="1">
        <v>45655</v>
      </c>
      <c r="E48" s="6" t="s">
        <v>16</v>
      </c>
      <c r="F48" t="s">
        <v>61</v>
      </c>
      <c r="G48" s="3" t="s">
        <v>62</v>
      </c>
      <c r="H48">
        <v>3.1</v>
      </c>
      <c r="I48">
        <v>47.81</v>
      </c>
      <c r="J48">
        <v>148.22</v>
      </c>
      <c r="K48" t="s">
        <v>96</v>
      </c>
      <c r="L48" t="b">
        <v>0</v>
      </c>
    </row>
    <row r="49" spans="1:13" ht="17" x14ac:dyDescent="0.2">
      <c r="A49" t="s">
        <v>170</v>
      </c>
      <c r="B49" t="s">
        <v>171</v>
      </c>
      <c r="C49" t="s">
        <v>172</v>
      </c>
      <c r="D49" s="1">
        <v>45087</v>
      </c>
      <c r="E49" s="6" t="s">
        <v>78</v>
      </c>
      <c r="F49" t="s">
        <v>30</v>
      </c>
      <c r="G49" s="3" t="s">
        <v>31</v>
      </c>
      <c r="H49">
        <v>5</v>
      </c>
      <c r="I49">
        <v>75</v>
      </c>
      <c r="J49">
        <v>375.01</v>
      </c>
      <c r="K49" t="s">
        <v>113</v>
      </c>
      <c r="L49" t="b">
        <v>0</v>
      </c>
    </row>
    <row r="50" spans="1:13" ht="34" x14ac:dyDescent="0.2">
      <c r="A50" t="s">
        <v>173</v>
      </c>
      <c r="B50" t="s">
        <v>174</v>
      </c>
      <c r="C50" t="s">
        <v>175</v>
      </c>
      <c r="D50" s="1">
        <v>44980</v>
      </c>
      <c r="E50" s="6" t="s">
        <v>60</v>
      </c>
      <c r="F50" t="s">
        <v>90</v>
      </c>
      <c r="G50" s="3" t="s">
        <v>91</v>
      </c>
      <c r="H50">
        <v>4.4000000000000004</v>
      </c>
      <c r="I50">
        <v>69.52</v>
      </c>
      <c r="J50">
        <v>305.89999999999998</v>
      </c>
      <c r="K50" t="s">
        <v>113</v>
      </c>
      <c r="L50" t="b">
        <v>0</v>
      </c>
    </row>
    <row r="51" spans="1:13" ht="34" x14ac:dyDescent="0.2">
      <c r="A51" t="s">
        <v>176</v>
      </c>
      <c r="B51" t="s">
        <v>177</v>
      </c>
      <c r="C51" t="s">
        <v>178</v>
      </c>
      <c r="D51" s="1">
        <v>45117</v>
      </c>
      <c r="E51" s="6" t="s">
        <v>78</v>
      </c>
      <c r="F51" t="s">
        <v>24</v>
      </c>
      <c r="G51" s="3" t="s">
        <v>25</v>
      </c>
      <c r="H51">
        <v>4.8</v>
      </c>
      <c r="I51">
        <v>29.67</v>
      </c>
      <c r="J51">
        <v>142.41999999999999</v>
      </c>
      <c r="K51" t="s">
        <v>19</v>
      </c>
      <c r="L51" t="b">
        <v>0</v>
      </c>
    </row>
    <row r="52" spans="1:13" ht="34" x14ac:dyDescent="0.2">
      <c r="A52" t="s">
        <v>179</v>
      </c>
      <c r="B52" t="s">
        <v>180</v>
      </c>
      <c r="C52" t="s">
        <v>39</v>
      </c>
      <c r="D52" s="1">
        <v>45302</v>
      </c>
      <c r="E52" s="6" t="s">
        <v>60</v>
      </c>
      <c r="F52" t="s">
        <v>61</v>
      </c>
      <c r="G52" s="3" t="s">
        <v>62</v>
      </c>
      <c r="H52">
        <v>5.4</v>
      </c>
      <c r="I52">
        <v>67.569999999999993</v>
      </c>
      <c r="J52">
        <v>364.88</v>
      </c>
      <c r="K52" t="s">
        <v>92</v>
      </c>
      <c r="L52" t="b">
        <v>0</v>
      </c>
    </row>
    <row r="53" spans="1:13" ht="34" x14ac:dyDescent="0.2">
      <c r="A53" t="s">
        <v>181</v>
      </c>
      <c r="B53" t="s">
        <v>182</v>
      </c>
      <c r="C53" t="s">
        <v>183</v>
      </c>
      <c r="D53" s="1">
        <v>45291</v>
      </c>
      <c r="E53" s="6" t="s">
        <v>78</v>
      </c>
      <c r="F53" t="s">
        <v>45</v>
      </c>
      <c r="G53" s="3" t="s">
        <v>46</v>
      </c>
      <c r="H53">
        <v>2.7</v>
      </c>
      <c r="I53">
        <v>26.25</v>
      </c>
      <c r="J53">
        <v>70.88</v>
      </c>
      <c r="K53" t="s">
        <v>92</v>
      </c>
      <c r="L53" t="b">
        <v>0</v>
      </c>
    </row>
    <row r="54" spans="1:13" ht="68" x14ac:dyDescent="0.2">
      <c r="A54" t="s">
        <v>184</v>
      </c>
      <c r="B54" t="s">
        <v>185</v>
      </c>
      <c r="C54" t="s">
        <v>186</v>
      </c>
      <c r="D54" s="1">
        <v>44949</v>
      </c>
      <c r="E54" s="6" t="s">
        <v>16</v>
      </c>
      <c r="F54" t="s">
        <v>50</v>
      </c>
      <c r="G54" s="3" t="s">
        <v>51</v>
      </c>
      <c r="H54">
        <v>6.8</v>
      </c>
      <c r="I54">
        <v>62.09</v>
      </c>
      <c r="J54">
        <v>422.2</v>
      </c>
      <c r="K54" t="s">
        <v>113</v>
      </c>
      <c r="L54" t="b">
        <v>0</v>
      </c>
    </row>
    <row r="55" spans="1:13" ht="34" x14ac:dyDescent="0.2">
      <c r="A55" t="s">
        <v>187</v>
      </c>
      <c r="B55" t="s">
        <v>188</v>
      </c>
      <c r="C55" t="s">
        <v>189</v>
      </c>
      <c r="D55" s="1">
        <v>45363</v>
      </c>
      <c r="E55" s="6" t="s">
        <v>23</v>
      </c>
      <c r="F55" t="s">
        <v>54</v>
      </c>
      <c r="G55" s="3" t="s">
        <v>55</v>
      </c>
      <c r="H55">
        <v>2.5</v>
      </c>
      <c r="I55">
        <v>75.67</v>
      </c>
      <c r="J55">
        <v>189.17</v>
      </c>
      <c r="K55" t="s">
        <v>36</v>
      </c>
      <c r="L55" t="b">
        <v>1</v>
      </c>
      <c r="M55" s="3" t="s">
        <v>102</v>
      </c>
    </row>
    <row r="56" spans="1:13" ht="34" x14ac:dyDescent="0.2">
      <c r="A56" t="s">
        <v>190</v>
      </c>
      <c r="B56" t="s">
        <v>188</v>
      </c>
      <c r="C56" t="s">
        <v>191</v>
      </c>
      <c r="D56" s="1">
        <v>45018</v>
      </c>
      <c r="E56" s="6" t="s">
        <v>60</v>
      </c>
      <c r="F56" t="s">
        <v>61</v>
      </c>
      <c r="G56" s="3" t="s">
        <v>62</v>
      </c>
      <c r="H56">
        <v>5.5</v>
      </c>
      <c r="I56">
        <v>56.44</v>
      </c>
      <c r="J56">
        <v>310.41000000000003</v>
      </c>
      <c r="K56" t="s">
        <v>36</v>
      </c>
      <c r="L56" t="b">
        <v>0</v>
      </c>
    </row>
    <row r="57" spans="1:13" ht="34" x14ac:dyDescent="0.2">
      <c r="A57" t="s">
        <v>192</v>
      </c>
      <c r="B57" t="s">
        <v>193</v>
      </c>
      <c r="C57" t="s">
        <v>194</v>
      </c>
      <c r="D57" s="1">
        <v>44990</v>
      </c>
      <c r="E57" s="6" t="s">
        <v>23</v>
      </c>
      <c r="F57" t="s">
        <v>45</v>
      </c>
      <c r="G57" s="3" t="s">
        <v>46</v>
      </c>
      <c r="H57">
        <v>6.5</v>
      </c>
      <c r="I57">
        <v>38.29</v>
      </c>
      <c r="J57">
        <v>248.91</v>
      </c>
      <c r="K57" t="s">
        <v>113</v>
      </c>
      <c r="L57" t="b">
        <v>0</v>
      </c>
    </row>
    <row r="58" spans="1:13" ht="34" x14ac:dyDescent="0.2">
      <c r="A58" t="s">
        <v>195</v>
      </c>
      <c r="B58" t="s">
        <v>144</v>
      </c>
      <c r="C58" t="s">
        <v>196</v>
      </c>
      <c r="D58" s="1">
        <v>45466</v>
      </c>
      <c r="E58" s="6" t="s">
        <v>89</v>
      </c>
      <c r="F58" t="s">
        <v>90</v>
      </c>
      <c r="G58" s="3" t="s">
        <v>91</v>
      </c>
      <c r="H58">
        <v>5.0999999999999996</v>
      </c>
      <c r="I58">
        <v>31.84</v>
      </c>
      <c r="J58">
        <v>162.38999999999999</v>
      </c>
      <c r="K58" t="s">
        <v>113</v>
      </c>
      <c r="L58" t="b">
        <v>0</v>
      </c>
    </row>
    <row r="59" spans="1:13" ht="17" x14ac:dyDescent="0.2">
      <c r="A59" t="s">
        <v>197</v>
      </c>
      <c r="B59" t="s">
        <v>198</v>
      </c>
      <c r="C59" t="s">
        <v>116</v>
      </c>
      <c r="D59" s="1">
        <v>45204</v>
      </c>
      <c r="E59" s="6" t="s">
        <v>16</v>
      </c>
      <c r="F59" t="s">
        <v>30</v>
      </c>
      <c r="G59" s="3" t="s">
        <v>31</v>
      </c>
      <c r="H59">
        <v>7.4</v>
      </c>
      <c r="I59">
        <v>45.96</v>
      </c>
      <c r="J59">
        <v>340.12</v>
      </c>
      <c r="K59" t="s">
        <v>82</v>
      </c>
      <c r="L59" t="b">
        <v>0</v>
      </c>
    </row>
    <row r="60" spans="1:13" ht="68" x14ac:dyDescent="0.2">
      <c r="A60" t="s">
        <v>199</v>
      </c>
      <c r="B60" t="s">
        <v>109</v>
      </c>
      <c r="C60" t="s">
        <v>130</v>
      </c>
      <c r="D60" s="1">
        <v>45615</v>
      </c>
      <c r="E60" s="6" t="s">
        <v>23</v>
      </c>
      <c r="F60" t="s">
        <v>50</v>
      </c>
      <c r="G60" s="3" t="s">
        <v>51</v>
      </c>
      <c r="H60">
        <v>3.4</v>
      </c>
      <c r="I60">
        <v>33.79</v>
      </c>
      <c r="J60">
        <v>114.87</v>
      </c>
      <c r="K60" t="s">
        <v>92</v>
      </c>
      <c r="L60" t="b">
        <v>0</v>
      </c>
    </row>
    <row r="61" spans="1:13" ht="68" x14ac:dyDescent="0.2">
      <c r="A61" t="s">
        <v>200</v>
      </c>
      <c r="B61" t="s">
        <v>109</v>
      </c>
      <c r="C61" t="s">
        <v>148</v>
      </c>
      <c r="D61" s="1">
        <v>45349</v>
      </c>
      <c r="E61" s="6" t="s">
        <v>16</v>
      </c>
      <c r="F61" t="s">
        <v>50</v>
      </c>
      <c r="G61" s="3" t="s">
        <v>51</v>
      </c>
      <c r="H61">
        <v>5.6</v>
      </c>
      <c r="I61">
        <v>70.61</v>
      </c>
      <c r="J61">
        <v>395.43</v>
      </c>
      <c r="K61" t="s">
        <v>92</v>
      </c>
      <c r="L61" t="b">
        <v>0</v>
      </c>
    </row>
    <row r="62" spans="1:13" ht="34" x14ac:dyDescent="0.2">
      <c r="A62" t="s">
        <v>201</v>
      </c>
      <c r="B62" t="s">
        <v>202</v>
      </c>
      <c r="C62" t="s">
        <v>196</v>
      </c>
      <c r="D62" s="1">
        <v>45570</v>
      </c>
      <c r="E62" s="6" t="s">
        <v>60</v>
      </c>
      <c r="F62" t="s">
        <v>90</v>
      </c>
      <c r="G62" s="3" t="s">
        <v>91</v>
      </c>
      <c r="H62">
        <v>3.1</v>
      </c>
      <c r="I62">
        <v>71.37</v>
      </c>
      <c r="J62">
        <v>221.25</v>
      </c>
      <c r="K62" t="s">
        <v>113</v>
      </c>
      <c r="L62" t="b">
        <v>0</v>
      </c>
    </row>
    <row r="63" spans="1:13" ht="17" x14ac:dyDescent="0.2">
      <c r="A63" t="s">
        <v>203</v>
      </c>
      <c r="B63" t="s">
        <v>204</v>
      </c>
      <c r="C63" t="s">
        <v>88</v>
      </c>
      <c r="D63" s="1">
        <v>45208</v>
      </c>
      <c r="E63" s="6" t="s">
        <v>60</v>
      </c>
      <c r="F63" t="s">
        <v>17</v>
      </c>
      <c r="G63" s="3" t="s">
        <v>18</v>
      </c>
      <c r="H63">
        <v>6.5</v>
      </c>
      <c r="I63">
        <v>70.59</v>
      </c>
      <c r="J63">
        <v>458.85</v>
      </c>
      <c r="K63" t="s">
        <v>113</v>
      </c>
      <c r="L63" t="b">
        <v>0</v>
      </c>
    </row>
    <row r="64" spans="1:13" ht="34" x14ac:dyDescent="0.2">
      <c r="A64" t="s">
        <v>205</v>
      </c>
      <c r="B64" t="s">
        <v>206</v>
      </c>
      <c r="C64" t="s">
        <v>207</v>
      </c>
      <c r="D64" s="1">
        <v>44942</v>
      </c>
      <c r="E64" s="6" t="s">
        <v>23</v>
      </c>
      <c r="F64" t="s">
        <v>54</v>
      </c>
      <c r="G64" s="3" t="s">
        <v>55</v>
      </c>
      <c r="H64">
        <v>7.2</v>
      </c>
      <c r="I64">
        <v>62.63</v>
      </c>
      <c r="J64">
        <v>450.96</v>
      </c>
      <c r="K64" t="s">
        <v>36</v>
      </c>
      <c r="L64" t="b">
        <v>0</v>
      </c>
    </row>
    <row r="65" spans="1:13" ht="17" x14ac:dyDescent="0.2">
      <c r="A65" t="s">
        <v>208</v>
      </c>
      <c r="B65" t="s">
        <v>67</v>
      </c>
      <c r="C65" t="s">
        <v>68</v>
      </c>
      <c r="D65" s="1">
        <v>45177</v>
      </c>
      <c r="E65" s="6" t="s">
        <v>78</v>
      </c>
      <c r="F65" t="s">
        <v>17</v>
      </c>
      <c r="G65" s="3" t="s">
        <v>18</v>
      </c>
      <c r="H65">
        <v>2.4</v>
      </c>
      <c r="I65">
        <v>51.53</v>
      </c>
      <c r="J65">
        <v>123.68</v>
      </c>
      <c r="K65" t="s">
        <v>56</v>
      </c>
      <c r="L65" t="b">
        <v>0</v>
      </c>
    </row>
    <row r="66" spans="1:13" ht="34" x14ac:dyDescent="0.2">
      <c r="A66" t="s">
        <v>209</v>
      </c>
      <c r="B66" t="s">
        <v>210</v>
      </c>
      <c r="C66" t="s">
        <v>211</v>
      </c>
      <c r="D66" s="1">
        <v>45468</v>
      </c>
      <c r="E66" s="6" t="s">
        <v>44</v>
      </c>
      <c r="F66" t="s">
        <v>45</v>
      </c>
      <c r="G66" s="3" t="s">
        <v>46</v>
      </c>
      <c r="H66">
        <v>5.5</v>
      </c>
      <c r="I66">
        <v>46.12</v>
      </c>
      <c r="J66">
        <v>253.64</v>
      </c>
      <c r="K66" t="s">
        <v>96</v>
      </c>
      <c r="L66" t="b">
        <v>0</v>
      </c>
    </row>
    <row r="67" spans="1:13" ht="34" x14ac:dyDescent="0.2">
      <c r="A67" t="s">
        <v>212</v>
      </c>
      <c r="B67" t="s">
        <v>165</v>
      </c>
      <c r="C67" t="s">
        <v>39</v>
      </c>
      <c r="D67" s="1">
        <v>45576</v>
      </c>
      <c r="E67" s="6" t="s">
        <v>78</v>
      </c>
      <c r="F67" t="s">
        <v>45</v>
      </c>
      <c r="G67" s="3" t="s">
        <v>46</v>
      </c>
      <c r="H67">
        <v>4.8</v>
      </c>
      <c r="I67">
        <v>27.26</v>
      </c>
      <c r="J67">
        <v>130.83000000000001</v>
      </c>
      <c r="K67" t="s">
        <v>105</v>
      </c>
      <c r="L67" t="b">
        <v>0</v>
      </c>
    </row>
    <row r="68" spans="1:13" ht="34" x14ac:dyDescent="0.2">
      <c r="A68" t="s">
        <v>213</v>
      </c>
      <c r="B68" t="s">
        <v>214</v>
      </c>
      <c r="C68" t="s">
        <v>161</v>
      </c>
      <c r="D68" s="1">
        <v>45586</v>
      </c>
      <c r="E68" s="6" t="s">
        <v>44</v>
      </c>
      <c r="F68" t="s">
        <v>45</v>
      </c>
      <c r="G68" s="3" t="s">
        <v>46</v>
      </c>
      <c r="H68">
        <v>2.5</v>
      </c>
      <c r="I68">
        <v>76.86</v>
      </c>
      <c r="J68">
        <v>192.14</v>
      </c>
      <c r="K68" t="s">
        <v>96</v>
      </c>
      <c r="L68" t="b">
        <v>0</v>
      </c>
    </row>
    <row r="69" spans="1:13" ht="34" x14ac:dyDescent="0.2">
      <c r="A69" t="s">
        <v>215</v>
      </c>
      <c r="B69" t="s">
        <v>216</v>
      </c>
      <c r="C69" t="s">
        <v>124</v>
      </c>
      <c r="D69" s="1">
        <v>44979</v>
      </c>
      <c r="E69" s="6" t="s">
        <v>16</v>
      </c>
      <c r="F69" t="s">
        <v>61</v>
      </c>
      <c r="G69" s="3" t="s">
        <v>62</v>
      </c>
      <c r="H69">
        <v>4.8</v>
      </c>
      <c r="I69">
        <v>58.26</v>
      </c>
      <c r="J69">
        <v>279.64</v>
      </c>
      <c r="K69" t="s">
        <v>92</v>
      </c>
      <c r="L69" t="b">
        <v>0</v>
      </c>
    </row>
    <row r="70" spans="1:13" ht="34" x14ac:dyDescent="0.2">
      <c r="A70" t="s">
        <v>217</v>
      </c>
      <c r="B70" t="s">
        <v>218</v>
      </c>
      <c r="C70" t="s">
        <v>219</v>
      </c>
      <c r="D70" s="1">
        <v>45271</v>
      </c>
      <c r="E70" s="6" t="s">
        <v>16</v>
      </c>
      <c r="F70" t="s">
        <v>24</v>
      </c>
      <c r="G70" s="3" t="s">
        <v>25</v>
      </c>
      <c r="H70">
        <v>4.7</v>
      </c>
      <c r="I70">
        <v>73.59</v>
      </c>
      <c r="J70">
        <v>345.87</v>
      </c>
      <c r="K70" t="s">
        <v>19</v>
      </c>
      <c r="L70" t="b">
        <v>0</v>
      </c>
    </row>
    <row r="71" spans="1:13" ht="17" x14ac:dyDescent="0.2">
      <c r="A71" t="s">
        <v>220</v>
      </c>
      <c r="B71" t="s">
        <v>221</v>
      </c>
      <c r="C71" t="s">
        <v>178</v>
      </c>
      <c r="D71" s="1">
        <v>45562</v>
      </c>
      <c r="E71" s="6" t="s">
        <v>23</v>
      </c>
      <c r="F71" t="s">
        <v>30</v>
      </c>
      <c r="G71" s="3" t="s">
        <v>31</v>
      </c>
      <c r="H71">
        <v>3.9</v>
      </c>
      <c r="I71">
        <v>53.54</v>
      </c>
      <c r="J71">
        <v>208.8</v>
      </c>
      <c r="K71" t="s">
        <v>36</v>
      </c>
      <c r="L71" t="b">
        <v>0</v>
      </c>
    </row>
    <row r="72" spans="1:13" ht="34" x14ac:dyDescent="0.2">
      <c r="A72" t="s">
        <v>222</v>
      </c>
      <c r="B72" t="s">
        <v>223</v>
      </c>
      <c r="C72" t="s">
        <v>85</v>
      </c>
      <c r="D72" s="1">
        <v>45538</v>
      </c>
      <c r="E72" s="6" t="s">
        <v>78</v>
      </c>
      <c r="F72" t="s">
        <v>24</v>
      </c>
      <c r="G72" s="3" t="s">
        <v>25</v>
      </c>
      <c r="H72">
        <v>4.7</v>
      </c>
      <c r="I72">
        <v>73.66</v>
      </c>
      <c r="J72">
        <v>346.19</v>
      </c>
      <c r="K72" t="s">
        <v>36</v>
      </c>
      <c r="L72" t="b">
        <v>0</v>
      </c>
    </row>
    <row r="73" spans="1:13" ht="34" x14ac:dyDescent="0.2">
      <c r="A73" t="s">
        <v>224</v>
      </c>
      <c r="B73" t="s">
        <v>225</v>
      </c>
      <c r="C73" t="s">
        <v>172</v>
      </c>
      <c r="D73" s="1">
        <v>45334</v>
      </c>
      <c r="E73" s="6" t="s">
        <v>23</v>
      </c>
      <c r="F73" t="s">
        <v>90</v>
      </c>
      <c r="G73" s="3" t="s">
        <v>91</v>
      </c>
      <c r="H73">
        <v>5</v>
      </c>
      <c r="I73">
        <v>35.35</v>
      </c>
      <c r="J73">
        <v>176.77</v>
      </c>
      <c r="K73" t="s">
        <v>36</v>
      </c>
      <c r="L73" t="b">
        <v>0</v>
      </c>
    </row>
    <row r="74" spans="1:13" ht="34" x14ac:dyDescent="0.2">
      <c r="A74" t="s">
        <v>226</v>
      </c>
      <c r="B74" t="s">
        <v>227</v>
      </c>
      <c r="C74" t="s">
        <v>156</v>
      </c>
      <c r="D74" s="1">
        <v>45390</v>
      </c>
      <c r="E74" s="6" t="s">
        <v>89</v>
      </c>
      <c r="F74" t="s">
        <v>17</v>
      </c>
      <c r="G74" s="3" t="s">
        <v>18</v>
      </c>
      <c r="H74">
        <v>22.1</v>
      </c>
      <c r="I74">
        <v>56.44</v>
      </c>
      <c r="J74">
        <v>1250</v>
      </c>
      <c r="K74" t="s">
        <v>19</v>
      </c>
      <c r="L74" t="b">
        <v>1</v>
      </c>
      <c r="M74" s="3" t="s">
        <v>40</v>
      </c>
    </row>
    <row r="75" spans="1:13" ht="68" x14ac:dyDescent="0.2">
      <c r="A75" t="s">
        <v>228</v>
      </c>
      <c r="B75" t="s">
        <v>229</v>
      </c>
      <c r="C75" t="s">
        <v>39</v>
      </c>
      <c r="D75" s="1">
        <v>45052</v>
      </c>
      <c r="E75" s="6" t="s">
        <v>60</v>
      </c>
      <c r="F75" t="s">
        <v>50</v>
      </c>
      <c r="G75" s="3" t="s">
        <v>51</v>
      </c>
      <c r="H75">
        <v>4.2</v>
      </c>
      <c r="I75">
        <v>80.08</v>
      </c>
      <c r="J75">
        <v>336.32</v>
      </c>
      <c r="K75" t="s">
        <v>96</v>
      </c>
      <c r="L75" t="b">
        <v>0</v>
      </c>
    </row>
    <row r="76" spans="1:13" ht="34" x14ac:dyDescent="0.2">
      <c r="A76" t="s">
        <v>230</v>
      </c>
      <c r="B76" t="s">
        <v>231</v>
      </c>
      <c r="C76" t="s">
        <v>189</v>
      </c>
      <c r="D76" s="1">
        <v>45530</v>
      </c>
      <c r="E76" s="6" t="s">
        <v>44</v>
      </c>
      <c r="F76" t="s">
        <v>61</v>
      </c>
      <c r="G76" s="3" t="s">
        <v>62</v>
      </c>
      <c r="H76">
        <v>6.6</v>
      </c>
      <c r="I76">
        <v>65.73</v>
      </c>
      <c r="J76">
        <v>433.84</v>
      </c>
      <c r="K76" t="s">
        <v>19</v>
      </c>
      <c r="L76" t="b">
        <v>0</v>
      </c>
    </row>
    <row r="77" spans="1:13" ht="34" x14ac:dyDescent="0.2">
      <c r="A77" t="s">
        <v>232</v>
      </c>
      <c r="B77" t="s">
        <v>233</v>
      </c>
      <c r="C77" t="s">
        <v>156</v>
      </c>
      <c r="D77" s="1">
        <v>44946</v>
      </c>
      <c r="E77" s="6" t="s">
        <v>16</v>
      </c>
      <c r="F77" t="s">
        <v>54</v>
      </c>
      <c r="G77" s="3" t="s">
        <v>55</v>
      </c>
      <c r="H77">
        <v>2.4</v>
      </c>
      <c r="I77">
        <v>30.67</v>
      </c>
      <c r="J77">
        <v>73.61</v>
      </c>
      <c r="K77" t="s">
        <v>36</v>
      </c>
      <c r="L77" t="b">
        <v>0</v>
      </c>
    </row>
    <row r="78" spans="1:13" ht="34" x14ac:dyDescent="0.2">
      <c r="A78" t="s">
        <v>234</v>
      </c>
      <c r="B78" t="s">
        <v>94</v>
      </c>
      <c r="C78" t="s">
        <v>88</v>
      </c>
      <c r="D78" s="1">
        <v>45135</v>
      </c>
      <c r="E78" s="6" t="s">
        <v>16</v>
      </c>
      <c r="F78" t="s">
        <v>61</v>
      </c>
      <c r="G78" s="3" t="s">
        <v>62</v>
      </c>
      <c r="H78">
        <v>3.7</v>
      </c>
      <c r="I78">
        <v>68.42</v>
      </c>
      <c r="J78">
        <v>253.17</v>
      </c>
      <c r="K78" t="s">
        <v>96</v>
      </c>
      <c r="L78" t="b">
        <v>0</v>
      </c>
    </row>
    <row r="79" spans="1:13" ht="68" x14ac:dyDescent="0.2">
      <c r="A79" t="s">
        <v>235</v>
      </c>
      <c r="B79" t="s">
        <v>236</v>
      </c>
      <c r="C79" t="s">
        <v>172</v>
      </c>
      <c r="D79" s="1">
        <v>45197</v>
      </c>
      <c r="E79" s="6" t="s">
        <v>23</v>
      </c>
      <c r="F79" t="s">
        <v>50</v>
      </c>
      <c r="G79" s="3" t="s">
        <v>51</v>
      </c>
      <c r="H79">
        <v>4</v>
      </c>
      <c r="I79">
        <v>59.96</v>
      </c>
      <c r="J79">
        <v>239.86</v>
      </c>
      <c r="K79" t="s">
        <v>19</v>
      </c>
      <c r="L79" t="b">
        <v>0</v>
      </c>
    </row>
    <row r="80" spans="1:13" ht="34" x14ac:dyDescent="0.2">
      <c r="A80" t="s">
        <v>237</v>
      </c>
      <c r="B80" t="s">
        <v>238</v>
      </c>
      <c r="C80" t="s">
        <v>194</v>
      </c>
      <c r="D80" s="1">
        <v>45219</v>
      </c>
      <c r="E80" s="6" t="s">
        <v>16</v>
      </c>
      <c r="F80" t="s">
        <v>54</v>
      </c>
      <c r="G80" s="3" t="s">
        <v>55</v>
      </c>
      <c r="H80">
        <v>3.9</v>
      </c>
      <c r="I80">
        <v>64.36</v>
      </c>
      <c r="J80">
        <v>251.02</v>
      </c>
      <c r="K80" t="s">
        <v>105</v>
      </c>
      <c r="L80" t="b">
        <v>0</v>
      </c>
    </row>
    <row r="81" spans="1:13" ht="34" x14ac:dyDescent="0.2">
      <c r="A81" t="s">
        <v>239</v>
      </c>
      <c r="B81" t="s">
        <v>229</v>
      </c>
      <c r="C81" t="s">
        <v>130</v>
      </c>
      <c r="D81" s="1">
        <v>45582</v>
      </c>
      <c r="E81" s="6" t="s">
        <v>44</v>
      </c>
      <c r="F81" t="s">
        <v>61</v>
      </c>
      <c r="G81" s="3" t="s">
        <v>62</v>
      </c>
      <c r="H81">
        <v>2.8</v>
      </c>
      <c r="I81">
        <v>67.53</v>
      </c>
      <c r="J81">
        <v>189.08</v>
      </c>
      <c r="K81" t="s">
        <v>96</v>
      </c>
      <c r="L81" t="b">
        <v>0</v>
      </c>
    </row>
    <row r="82" spans="1:13" ht="34" x14ac:dyDescent="0.2">
      <c r="A82" t="s">
        <v>240</v>
      </c>
      <c r="B82" t="s">
        <v>241</v>
      </c>
      <c r="C82" t="s">
        <v>110</v>
      </c>
      <c r="D82" s="1">
        <v>45058</v>
      </c>
      <c r="E82" s="6" t="s">
        <v>78</v>
      </c>
      <c r="F82" t="s">
        <v>45</v>
      </c>
      <c r="G82" s="3" t="s">
        <v>46</v>
      </c>
      <c r="H82">
        <v>5.4</v>
      </c>
      <c r="I82">
        <v>63.61</v>
      </c>
      <c r="J82">
        <v>343.49</v>
      </c>
      <c r="K82" t="s">
        <v>105</v>
      </c>
      <c r="L82" t="b">
        <v>0</v>
      </c>
    </row>
    <row r="83" spans="1:13" ht="68" x14ac:dyDescent="0.2">
      <c r="A83" t="s">
        <v>242</v>
      </c>
      <c r="B83" t="s">
        <v>243</v>
      </c>
      <c r="C83" t="s">
        <v>124</v>
      </c>
      <c r="D83" s="1">
        <v>45441</v>
      </c>
      <c r="E83" s="6" t="s">
        <v>16</v>
      </c>
      <c r="F83" t="s">
        <v>50</v>
      </c>
      <c r="G83" s="3" t="s">
        <v>51</v>
      </c>
      <c r="H83">
        <v>6</v>
      </c>
      <c r="I83">
        <v>74.739999999999995</v>
      </c>
      <c r="J83">
        <v>448.43</v>
      </c>
      <c r="K83" t="s">
        <v>96</v>
      </c>
      <c r="L83" t="b">
        <v>0</v>
      </c>
    </row>
    <row r="84" spans="1:13" ht="34" x14ac:dyDescent="0.2">
      <c r="A84" t="s">
        <v>244</v>
      </c>
      <c r="B84" t="s">
        <v>245</v>
      </c>
      <c r="C84" t="s">
        <v>68</v>
      </c>
      <c r="D84" s="1">
        <v>45413</v>
      </c>
      <c r="E84" s="6" t="s">
        <v>78</v>
      </c>
      <c r="F84" t="s">
        <v>90</v>
      </c>
      <c r="G84" s="3" t="s">
        <v>91</v>
      </c>
      <c r="H84">
        <v>5.9</v>
      </c>
      <c r="I84">
        <v>50.4</v>
      </c>
      <c r="J84">
        <v>297.39</v>
      </c>
      <c r="K84" t="s">
        <v>32</v>
      </c>
      <c r="L84" t="b">
        <v>0</v>
      </c>
    </row>
    <row r="85" spans="1:13" ht="34" x14ac:dyDescent="0.2">
      <c r="A85" t="s">
        <v>246</v>
      </c>
      <c r="B85" t="s">
        <v>247</v>
      </c>
      <c r="C85" t="s">
        <v>191</v>
      </c>
      <c r="D85" s="1">
        <v>45626</v>
      </c>
      <c r="E85" s="6" t="s">
        <v>23</v>
      </c>
      <c r="F85" t="s">
        <v>24</v>
      </c>
      <c r="G85" s="3" t="s">
        <v>25</v>
      </c>
      <c r="H85">
        <v>4.2</v>
      </c>
      <c r="I85">
        <v>35.82</v>
      </c>
      <c r="J85">
        <v>150.43</v>
      </c>
      <c r="K85" t="s">
        <v>105</v>
      </c>
      <c r="L85" t="b">
        <v>0</v>
      </c>
    </row>
    <row r="86" spans="1:13" ht="34" x14ac:dyDescent="0.2">
      <c r="A86" t="s">
        <v>248</v>
      </c>
      <c r="B86" t="s">
        <v>34</v>
      </c>
      <c r="C86" t="s">
        <v>145</v>
      </c>
      <c r="D86" s="1">
        <v>45196</v>
      </c>
      <c r="E86" s="6" t="s">
        <v>23</v>
      </c>
      <c r="F86" t="s">
        <v>54</v>
      </c>
      <c r="G86" s="3" t="s">
        <v>55</v>
      </c>
      <c r="H86">
        <v>7.7</v>
      </c>
      <c r="I86">
        <v>54.18</v>
      </c>
      <c r="J86">
        <v>417.16</v>
      </c>
      <c r="K86" t="s">
        <v>36</v>
      </c>
      <c r="L86" t="b">
        <v>0</v>
      </c>
    </row>
    <row r="87" spans="1:13" ht="68" x14ac:dyDescent="0.2">
      <c r="A87" t="s">
        <v>249</v>
      </c>
      <c r="B87" t="s">
        <v>250</v>
      </c>
      <c r="C87" t="s">
        <v>43</v>
      </c>
      <c r="D87" s="1">
        <v>45103</v>
      </c>
      <c r="E87" s="6" t="s">
        <v>44</v>
      </c>
      <c r="F87" t="s">
        <v>50</v>
      </c>
      <c r="G87" s="3" t="s">
        <v>51</v>
      </c>
      <c r="H87">
        <v>2.9</v>
      </c>
      <c r="I87">
        <v>42.75</v>
      </c>
      <c r="J87">
        <v>123.97</v>
      </c>
      <c r="K87" t="s">
        <v>96</v>
      </c>
      <c r="L87" t="b">
        <v>0</v>
      </c>
    </row>
    <row r="88" spans="1:13" ht="34" x14ac:dyDescent="0.2">
      <c r="A88" t="s">
        <v>251</v>
      </c>
      <c r="B88" t="s">
        <v>252</v>
      </c>
      <c r="C88" t="s">
        <v>219</v>
      </c>
      <c r="D88" s="1">
        <v>45056</v>
      </c>
      <c r="E88" s="6" t="s">
        <v>89</v>
      </c>
      <c r="F88" t="s">
        <v>24</v>
      </c>
      <c r="G88" s="3" t="s">
        <v>25</v>
      </c>
      <c r="H88">
        <v>12.9</v>
      </c>
      <c r="I88">
        <v>77.58</v>
      </c>
      <c r="J88">
        <v>1000</v>
      </c>
      <c r="K88" t="s">
        <v>113</v>
      </c>
      <c r="L88" t="b">
        <v>1</v>
      </c>
      <c r="M88" s="3" t="s">
        <v>40</v>
      </c>
    </row>
    <row r="89" spans="1:13" ht="68" x14ac:dyDescent="0.2">
      <c r="A89" t="s">
        <v>253</v>
      </c>
      <c r="B89" t="s">
        <v>158</v>
      </c>
      <c r="C89" t="s">
        <v>119</v>
      </c>
      <c r="D89" s="1">
        <v>45584</v>
      </c>
      <c r="E89" s="6" t="s">
        <v>23</v>
      </c>
      <c r="F89" t="s">
        <v>50</v>
      </c>
      <c r="G89" s="3" t="s">
        <v>51</v>
      </c>
      <c r="H89">
        <v>5.6</v>
      </c>
      <c r="I89">
        <v>34.26</v>
      </c>
      <c r="J89">
        <v>191.83</v>
      </c>
      <c r="K89" t="s">
        <v>82</v>
      </c>
      <c r="L89" t="b">
        <v>0</v>
      </c>
    </row>
    <row r="90" spans="1:13" ht="68" x14ac:dyDescent="0.2">
      <c r="A90" t="s">
        <v>254</v>
      </c>
      <c r="B90" t="s">
        <v>255</v>
      </c>
      <c r="C90" t="s">
        <v>256</v>
      </c>
      <c r="D90" s="1">
        <v>45559</v>
      </c>
      <c r="E90" s="6" t="s">
        <v>78</v>
      </c>
      <c r="F90" t="s">
        <v>50</v>
      </c>
      <c r="G90" s="3" t="s">
        <v>51</v>
      </c>
      <c r="H90">
        <v>6.3</v>
      </c>
      <c r="I90">
        <v>27.62</v>
      </c>
      <c r="J90">
        <v>174.02</v>
      </c>
      <c r="K90" t="s">
        <v>92</v>
      </c>
      <c r="L90" t="b">
        <v>0</v>
      </c>
    </row>
    <row r="91" spans="1:13" ht="17" x14ac:dyDescent="0.2">
      <c r="A91" t="s">
        <v>257</v>
      </c>
      <c r="B91" t="s">
        <v>258</v>
      </c>
      <c r="C91" t="s">
        <v>159</v>
      </c>
      <c r="D91" s="1">
        <v>45031</v>
      </c>
      <c r="E91" s="6" t="s">
        <v>16</v>
      </c>
      <c r="F91" t="s">
        <v>30</v>
      </c>
      <c r="G91" s="3" t="s">
        <v>31</v>
      </c>
      <c r="H91">
        <v>7.8</v>
      </c>
      <c r="I91">
        <v>61.64</v>
      </c>
      <c r="J91">
        <v>480.76</v>
      </c>
      <c r="K91" t="s">
        <v>56</v>
      </c>
      <c r="L91" t="b">
        <v>0</v>
      </c>
    </row>
    <row r="92" spans="1:13" ht="17" x14ac:dyDescent="0.2">
      <c r="A92" t="s">
        <v>259</v>
      </c>
      <c r="B92" t="s">
        <v>75</v>
      </c>
      <c r="C92" t="s">
        <v>189</v>
      </c>
      <c r="D92" s="1">
        <v>45470</v>
      </c>
      <c r="E92" s="6" t="s">
        <v>60</v>
      </c>
      <c r="F92" t="s">
        <v>17</v>
      </c>
      <c r="G92" s="3" t="s">
        <v>18</v>
      </c>
      <c r="H92">
        <v>3.4</v>
      </c>
      <c r="I92">
        <v>39.35</v>
      </c>
      <c r="J92">
        <v>133.79</v>
      </c>
      <c r="K92" t="s">
        <v>36</v>
      </c>
      <c r="L92" t="b">
        <v>0</v>
      </c>
    </row>
    <row r="93" spans="1:13" ht="17" x14ac:dyDescent="0.2">
      <c r="A93" t="s">
        <v>260</v>
      </c>
      <c r="B93" t="s">
        <v>261</v>
      </c>
      <c r="C93" t="s">
        <v>256</v>
      </c>
      <c r="D93" s="1">
        <v>45062</v>
      </c>
      <c r="E93" s="6" t="s">
        <v>60</v>
      </c>
      <c r="F93" t="s">
        <v>30</v>
      </c>
      <c r="G93" s="3" t="s">
        <v>31</v>
      </c>
      <c r="H93">
        <v>4.2</v>
      </c>
      <c r="I93">
        <v>81.83</v>
      </c>
      <c r="J93">
        <v>343.68</v>
      </c>
      <c r="K93" t="s">
        <v>96</v>
      </c>
      <c r="L93" t="b">
        <v>0</v>
      </c>
    </row>
    <row r="94" spans="1:13" ht="17" x14ac:dyDescent="0.2">
      <c r="A94" t="s">
        <v>262</v>
      </c>
      <c r="B94" t="s">
        <v>263</v>
      </c>
      <c r="C94" t="s">
        <v>194</v>
      </c>
      <c r="D94" s="1">
        <v>45293</v>
      </c>
      <c r="E94" s="6" t="s">
        <v>89</v>
      </c>
      <c r="F94" t="s">
        <v>17</v>
      </c>
      <c r="G94" s="3" t="s">
        <v>18</v>
      </c>
      <c r="H94">
        <v>6.6</v>
      </c>
      <c r="I94">
        <v>71.69</v>
      </c>
      <c r="J94">
        <v>473.14</v>
      </c>
      <c r="K94" t="s">
        <v>92</v>
      </c>
      <c r="L94" t="b">
        <v>0</v>
      </c>
    </row>
    <row r="95" spans="1:13" ht="34" x14ac:dyDescent="0.2">
      <c r="A95" t="s">
        <v>264</v>
      </c>
      <c r="B95" t="s">
        <v>265</v>
      </c>
      <c r="C95" t="s">
        <v>266</v>
      </c>
      <c r="D95" s="1">
        <v>45441</v>
      </c>
      <c r="E95" s="6" t="s">
        <v>89</v>
      </c>
      <c r="F95" t="s">
        <v>61</v>
      </c>
      <c r="G95" s="3" t="s">
        <v>62</v>
      </c>
      <c r="H95">
        <v>7.8</v>
      </c>
      <c r="I95">
        <v>74.010000000000005</v>
      </c>
      <c r="J95">
        <v>577.30999999999995</v>
      </c>
      <c r="K95" t="s">
        <v>26</v>
      </c>
      <c r="L95" t="b">
        <v>0</v>
      </c>
    </row>
    <row r="96" spans="1:13" ht="68" x14ac:dyDescent="0.2">
      <c r="A96" t="s">
        <v>267</v>
      </c>
      <c r="B96" t="s">
        <v>14</v>
      </c>
      <c r="C96" t="s">
        <v>268</v>
      </c>
      <c r="D96" s="1">
        <v>45015</v>
      </c>
      <c r="E96" s="6" t="s">
        <v>60</v>
      </c>
      <c r="F96" t="s">
        <v>50</v>
      </c>
      <c r="G96" s="3" t="s">
        <v>51</v>
      </c>
      <c r="H96">
        <v>7.2</v>
      </c>
      <c r="I96">
        <v>28.13</v>
      </c>
      <c r="J96">
        <v>202.54</v>
      </c>
      <c r="K96" t="s">
        <v>19</v>
      </c>
      <c r="L96" t="b">
        <v>0</v>
      </c>
    </row>
    <row r="97" spans="1:13" ht="34" x14ac:dyDescent="0.2">
      <c r="A97" t="s">
        <v>269</v>
      </c>
      <c r="B97" t="s">
        <v>270</v>
      </c>
      <c r="C97" t="s">
        <v>39</v>
      </c>
      <c r="D97" s="1">
        <v>45404</v>
      </c>
      <c r="E97" s="6" t="s">
        <v>89</v>
      </c>
      <c r="F97" t="s">
        <v>54</v>
      </c>
      <c r="G97" s="3" t="s">
        <v>55</v>
      </c>
      <c r="H97">
        <v>5.3</v>
      </c>
      <c r="I97">
        <v>31.16</v>
      </c>
      <c r="J97">
        <v>165.12</v>
      </c>
      <c r="K97" t="s">
        <v>26</v>
      </c>
      <c r="L97" t="b">
        <v>0</v>
      </c>
    </row>
    <row r="98" spans="1:13" ht="34" x14ac:dyDescent="0.2">
      <c r="A98" t="s">
        <v>271</v>
      </c>
      <c r="B98" t="s">
        <v>193</v>
      </c>
      <c r="C98" t="s">
        <v>156</v>
      </c>
      <c r="D98" s="1">
        <v>45645</v>
      </c>
      <c r="E98" s="6" t="s">
        <v>78</v>
      </c>
      <c r="F98" t="s">
        <v>90</v>
      </c>
      <c r="G98" s="3" t="s">
        <v>91</v>
      </c>
      <c r="H98">
        <v>3.7</v>
      </c>
      <c r="I98">
        <v>70.790000000000006</v>
      </c>
      <c r="J98">
        <v>261.91000000000003</v>
      </c>
      <c r="K98" t="s">
        <v>113</v>
      </c>
      <c r="L98" t="b">
        <v>0</v>
      </c>
    </row>
    <row r="99" spans="1:13" ht="17" x14ac:dyDescent="0.2">
      <c r="A99" t="s">
        <v>272</v>
      </c>
      <c r="B99" t="s">
        <v>255</v>
      </c>
      <c r="C99" t="s">
        <v>159</v>
      </c>
      <c r="D99" s="1">
        <v>45018</v>
      </c>
      <c r="E99" s="6" t="s">
        <v>60</v>
      </c>
      <c r="F99" t="s">
        <v>17</v>
      </c>
      <c r="G99" s="3" t="s">
        <v>18</v>
      </c>
      <c r="H99">
        <v>7.4</v>
      </c>
      <c r="I99">
        <v>33.840000000000003</v>
      </c>
      <c r="J99">
        <v>250.42</v>
      </c>
      <c r="K99" t="s">
        <v>92</v>
      </c>
      <c r="L99" t="b">
        <v>0</v>
      </c>
    </row>
    <row r="100" spans="1:13" ht="34" x14ac:dyDescent="0.2">
      <c r="A100" t="s">
        <v>273</v>
      </c>
      <c r="B100" t="s">
        <v>98</v>
      </c>
      <c r="C100" t="s">
        <v>274</v>
      </c>
      <c r="D100" s="1">
        <v>40753</v>
      </c>
      <c r="E100" s="6" t="s">
        <v>60</v>
      </c>
      <c r="F100" t="s">
        <v>90</v>
      </c>
      <c r="G100" s="3" t="s">
        <v>91</v>
      </c>
      <c r="H100">
        <v>7.7</v>
      </c>
      <c r="I100">
        <v>38.32</v>
      </c>
      <c r="J100">
        <v>295.08</v>
      </c>
      <c r="K100" t="s">
        <v>56</v>
      </c>
      <c r="L100" t="b">
        <v>1</v>
      </c>
      <c r="M100" s="3" t="s">
        <v>99</v>
      </c>
    </row>
    <row r="101" spans="1:13" ht="34" x14ac:dyDescent="0.2">
      <c r="A101" t="s">
        <v>275</v>
      </c>
      <c r="B101" t="s">
        <v>276</v>
      </c>
      <c r="C101" t="s">
        <v>130</v>
      </c>
      <c r="D101" s="1">
        <v>45183</v>
      </c>
      <c r="E101" s="6" t="s">
        <v>60</v>
      </c>
      <c r="F101" t="s">
        <v>54</v>
      </c>
      <c r="G101" s="3" t="s">
        <v>55</v>
      </c>
      <c r="H101">
        <v>7.6</v>
      </c>
      <c r="I101">
        <v>49.89</v>
      </c>
      <c r="J101">
        <v>379.19</v>
      </c>
      <c r="K101" t="s">
        <v>105</v>
      </c>
      <c r="L101" t="b">
        <v>0</v>
      </c>
    </row>
    <row r="102" spans="1:13" ht="34" x14ac:dyDescent="0.2">
      <c r="A102" t="s">
        <v>277</v>
      </c>
      <c r="B102" t="s">
        <v>278</v>
      </c>
      <c r="C102" t="s">
        <v>39</v>
      </c>
      <c r="D102" s="1">
        <v>45198</v>
      </c>
      <c r="E102" s="6" t="s">
        <v>78</v>
      </c>
      <c r="F102" t="s">
        <v>54</v>
      </c>
      <c r="G102" s="3" t="s">
        <v>55</v>
      </c>
      <c r="H102">
        <v>3.4</v>
      </c>
      <c r="I102">
        <v>84.67</v>
      </c>
      <c r="J102">
        <v>287.88</v>
      </c>
      <c r="K102" t="s">
        <v>32</v>
      </c>
      <c r="L102" t="b">
        <v>0</v>
      </c>
    </row>
    <row r="103" spans="1:13" ht="17" x14ac:dyDescent="0.2">
      <c r="A103" t="s">
        <v>279</v>
      </c>
      <c r="B103" t="s">
        <v>255</v>
      </c>
      <c r="C103" t="s">
        <v>280</v>
      </c>
      <c r="D103" s="1">
        <v>45209</v>
      </c>
      <c r="E103" s="6" t="s">
        <v>16</v>
      </c>
      <c r="F103" t="s">
        <v>30</v>
      </c>
      <c r="G103" s="3" t="s">
        <v>31</v>
      </c>
      <c r="H103">
        <v>2.2000000000000002</v>
      </c>
      <c r="I103">
        <v>80.849999999999994</v>
      </c>
      <c r="J103">
        <v>177.87</v>
      </c>
      <c r="K103" t="s">
        <v>92</v>
      </c>
      <c r="L103" t="b">
        <v>0</v>
      </c>
    </row>
    <row r="104" spans="1:13" ht="34" x14ac:dyDescent="0.2">
      <c r="A104" t="s">
        <v>281</v>
      </c>
      <c r="B104" t="s">
        <v>270</v>
      </c>
      <c r="C104" t="s">
        <v>161</v>
      </c>
      <c r="D104" s="1">
        <v>45112</v>
      </c>
      <c r="E104" s="6" t="s">
        <v>78</v>
      </c>
      <c r="F104" t="s">
        <v>54</v>
      </c>
      <c r="G104" s="3" t="s">
        <v>55</v>
      </c>
      <c r="H104">
        <v>6.7</v>
      </c>
      <c r="I104">
        <v>33.26</v>
      </c>
      <c r="J104">
        <v>222.82</v>
      </c>
      <c r="K104" t="s">
        <v>26</v>
      </c>
      <c r="L104" t="b">
        <v>0</v>
      </c>
    </row>
    <row r="105" spans="1:13" ht="17" x14ac:dyDescent="0.2">
      <c r="A105" t="s">
        <v>282</v>
      </c>
      <c r="B105" t="s">
        <v>210</v>
      </c>
      <c r="C105" t="s">
        <v>95</v>
      </c>
      <c r="D105" s="1">
        <v>45488</v>
      </c>
      <c r="E105" s="6" t="s">
        <v>16</v>
      </c>
      <c r="F105" t="s">
        <v>17</v>
      </c>
      <c r="G105" s="3" t="s">
        <v>18</v>
      </c>
      <c r="H105">
        <v>6.2</v>
      </c>
      <c r="I105">
        <v>33.33</v>
      </c>
      <c r="J105">
        <v>206.63</v>
      </c>
      <c r="K105" t="s">
        <v>96</v>
      </c>
      <c r="L105" t="b">
        <v>0</v>
      </c>
    </row>
    <row r="106" spans="1:13" ht="34" x14ac:dyDescent="0.2">
      <c r="A106" t="s">
        <v>283</v>
      </c>
      <c r="B106" t="s">
        <v>284</v>
      </c>
      <c r="C106" t="s">
        <v>194</v>
      </c>
      <c r="D106" s="1">
        <v>45380</v>
      </c>
      <c r="E106" s="6" t="s">
        <v>44</v>
      </c>
      <c r="F106" t="s">
        <v>17</v>
      </c>
      <c r="G106" s="3" t="s">
        <v>18</v>
      </c>
      <c r="H106">
        <v>39.5</v>
      </c>
      <c r="I106">
        <v>25.32</v>
      </c>
      <c r="J106">
        <v>1000</v>
      </c>
      <c r="K106" t="s">
        <v>92</v>
      </c>
      <c r="L106" t="b">
        <v>1</v>
      </c>
      <c r="M106" s="3" t="s">
        <v>40</v>
      </c>
    </row>
    <row r="107" spans="1:13" ht="34" x14ac:dyDescent="0.2">
      <c r="A107" t="s">
        <v>285</v>
      </c>
      <c r="B107" t="s">
        <v>286</v>
      </c>
      <c r="C107" t="s">
        <v>175</v>
      </c>
      <c r="D107" s="1">
        <v>45141</v>
      </c>
      <c r="E107" s="6" t="s">
        <v>89</v>
      </c>
      <c r="F107" t="s">
        <v>24</v>
      </c>
      <c r="G107" s="3" t="s">
        <v>25</v>
      </c>
      <c r="H107">
        <v>3.5</v>
      </c>
      <c r="I107">
        <v>75.099999999999994</v>
      </c>
      <c r="J107">
        <v>262.83999999999997</v>
      </c>
      <c r="K107" t="s">
        <v>19</v>
      </c>
      <c r="L107" t="b">
        <v>0</v>
      </c>
    </row>
    <row r="108" spans="1:13" ht="34" x14ac:dyDescent="0.2">
      <c r="A108" t="s">
        <v>287</v>
      </c>
      <c r="B108" t="s">
        <v>288</v>
      </c>
      <c r="C108" t="s">
        <v>29</v>
      </c>
      <c r="D108" s="1">
        <v>45574</v>
      </c>
      <c r="E108" s="6" t="s">
        <v>78</v>
      </c>
      <c r="F108" t="s">
        <v>61</v>
      </c>
      <c r="G108" s="3" t="s">
        <v>62</v>
      </c>
      <c r="H108">
        <v>2.7</v>
      </c>
      <c r="I108">
        <v>42.29</v>
      </c>
      <c r="J108">
        <v>114.17</v>
      </c>
      <c r="K108" t="s">
        <v>32</v>
      </c>
      <c r="L108" t="b">
        <v>0</v>
      </c>
    </row>
    <row r="109" spans="1:13" ht="34" x14ac:dyDescent="0.2">
      <c r="A109" t="s">
        <v>289</v>
      </c>
      <c r="B109" t="s">
        <v>290</v>
      </c>
      <c r="C109" t="s">
        <v>71</v>
      </c>
      <c r="D109" s="1">
        <v>45009</v>
      </c>
      <c r="E109" s="6" t="s">
        <v>89</v>
      </c>
      <c r="F109" t="s">
        <v>90</v>
      </c>
      <c r="G109" s="3" t="s">
        <v>91</v>
      </c>
      <c r="H109">
        <v>2.2999999999999998</v>
      </c>
      <c r="I109">
        <v>50.19</v>
      </c>
      <c r="J109">
        <v>115.44</v>
      </c>
      <c r="K109" t="s">
        <v>92</v>
      </c>
      <c r="L109" t="b">
        <v>0</v>
      </c>
    </row>
    <row r="110" spans="1:13" ht="17" x14ac:dyDescent="0.2">
      <c r="A110" t="s">
        <v>291</v>
      </c>
      <c r="B110" t="s">
        <v>292</v>
      </c>
      <c r="C110" t="s">
        <v>293</v>
      </c>
      <c r="D110" s="1">
        <v>45423</v>
      </c>
      <c r="E110" s="6" t="s">
        <v>60</v>
      </c>
      <c r="F110" t="s">
        <v>17</v>
      </c>
      <c r="G110" s="3" t="s">
        <v>18</v>
      </c>
      <c r="H110">
        <v>22.2</v>
      </c>
      <c r="I110">
        <v>75.2</v>
      </c>
      <c r="J110">
        <v>1669.44</v>
      </c>
      <c r="K110" t="s">
        <v>32</v>
      </c>
      <c r="L110" t="b">
        <v>1</v>
      </c>
      <c r="M110" s="3" t="s">
        <v>79</v>
      </c>
    </row>
    <row r="111" spans="1:13" ht="34" x14ac:dyDescent="0.2">
      <c r="A111" t="s">
        <v>294</v>
      </c>
      <c r="B111" t="s">
        <v>152</v>
      </c>
      <c r="C111" t="s">
        <v>295</v>
      </c>
      <c r="D111" s="1">
        <v>45077</v>
      </c>
      <c r="E111" s="6" t="s">
        <v>16</v>
      </c>
      <c r="F111" t="s">
        <v>24</v>
      </c>
      <c r="G111" s="3" t="s">
        <v>25</v>
      </c>
      <c r="H111">
        <v>5.8</v>
      </c>
      <c r="I111">
        <v>59.5</v>
      </c>
      <c r="J111">
        <v>345.12</v>
      </c>
      <c r="K111" t="s">
        <v>96</v>
      </c>
      <c r="L111" t="b">
        <v>0</v>
      </c>
    </row>
    <row r="112" spans="1:13" ht="68" x14ac:dyDescent="0.2">
      <c r="A112" t="s">
        <v>296</v>
      </c>
      <c r="B112" t="s">
        <v>263</v>
      </c>
      <c r="C112" t="s">
        <v>127</v>
      </c>
      <c r="D112" s="1">
        <v>45263</v>
      </c>
      <c r="E112" s="6" t="s">
        <v>78</v>
      </c>
      <c r="F112" t="s">
        <v>50</v>
      </c>
      <c r="G112" s="3" t="s">
        <v>51</v>
      </c>
      <c r="H112">
        <v>3.7</v>
      </c>
      <c r="I112">
        <v>25.09</v>
      </c>
      <c r="J112">
        <v>92.85</v>
      </c>
      <c r="K112" t="s">
        <v>92</v>
      </c>
      <c r="L112" t="b">
        <v>0</v>
      </c>
    </row>
    <row r="113" spans="1:13" ht="17" x14ac:dyDescent="0.2">
      <c r="A113" t="s">
        <v>297</v>
      </c>
      <c r="B113" t="s">
        <v>298</v>
      </c>
      <c r="C113" t="s">
        <v>124</v>
      </c>
      <c r="D113" s="1">
        <v>45354</v>
      </c>
      <c r="E113" s="6" t="s">
        <v>16</v>
      </c>
      <c r="F113" t="s">
        <v>30</v>
      </c>
      <c r="G113" s="3" t="s">
        <v>31</v>
      </c>
      <c r="H113">
        <v>5.4</v>
      </c>
      <c r="I113">
        <v>36.24</v>
      </c>
      <c r="J113">
        <v>195.69</v>
      </c>
      <c r="K113" t="s">
        <v>92</v>
      </c>
      <c r="L113" t="b">
        <v>0</v>
      </c>
    </row>
    <row r="114" spans="1:13" ht="34" x14ac:dyDescent="0.2">
      <c r="A114" t="s">
        <v>299</v>
      </c>
      <c r="B114" t="s">
        <v>300</v>
      </c>
      <c r="C114" t="s">
        <v>29</v>
      </c>
      <c r="D114" s="1">
        <v>45266</v>
      </c>
      <c r="E114" s="6" t="s">
        <v>89</v>
      </c>
      <c r="F114" t="s">
        <v>90</v>
      </c>
      <c r="G114" s="3" t="s">
        <v>91</v>
      </c>
      <c r="H114">
        <v>5.0999999999999996</v>
      </c>
      <c r="I114">
        <v>46.64</v>
      </c>
      <c r="J114">
        <v>237.84</v>
      </c>
      <c r="K114" t="s">
        <v>32</v>
      </c>
      <c r="L114" t="b">
        <v>0</v>
      </c>
    </row>
    <row r="115" spans="1:13" ht="34" x14ac:dyDescent="0.2">
      <c r="A115" t="s">
        <v>301</v>
      </c>
      <c r="B115" t="s">
        <v>302</v>
      </c>
      <c r="C115" t="s">
        <v>71</v>
      </c>
      <c r="D115" s="1">
        <v>45066</v>
      </c>
      <c r="E115" s="6" t="s">
        <v>16</v>
      </c>
      <c r="F115" t="s">
        <v>24</v>
      </c>
      <c r="G115" s="3" t="s">
        <v>25</v>
      </c>
      <c r="H115">
        <v>4.3</v>
      </c>
      <c r="I115">
        <v>53.21</v>
      </c>
      <c r="J115">
        <v>228.79</v>
      </c>
      <c r="K115" t="s">
        <v>96</v>
      </c>
      <c r="L115" t="b">
        <v>0</v>
      </c>
    </row>
    <row r="116" spans="1:13" ht="34" x14ac:dyDescent="0.2">
      <c r="A116" t="s">
        <v>303</v>
      </c>
      <c r="B116" t="s">
        <v>304</v>
      </c>
      <c r="C116" t="s">
        <v>122</v>
      </c>
      <c r="D116" s="1">
        <v>45337</v>
      </c>
      <c r="E116" s="6" t="s">
        <v>44</v>
      </c>
      <c r="F116" t="s">
        <v>61</v>
      </c>
      <c r="G116" s="3" t="s">
        <v>62</v>
      </c>
      <c r="H116">
        <v>7.9</v>
      </c>
      <c r="I116">
        <v>40.22</v>
      </c>
      <c r="J116">
        <v>317.73</v>
      </c>
      <c r="K116" t="s">
        <v>92</v>
      </c>
      <c r="L116" t="b">
        <v>0</v>
      </c>
    </row>
    <row r="117" spans="1:13" ht="34" x14ac:dyDescent="0.2">
      <c r="A117" t="s">
        <v>305</v>
      </c>
      <c r="B117" t="s">
        <v>306</v>
      </c>
      <c r="C117" t="s">
        <v>116</v>
      </c>
      <c r="D117" s="1">
        <v>45219</v>
      </c>
      <c r="E117" s="6" t="s">
        <v>16</v>
      </c>
      <c r="F117" t="s">
        <v>54</v>
      </c>
      <c r="G117" s="3" t="s">
        <v>55</v>
      </c>
      <c r="H117">
        <v>6.7</v>
      </c>
      <c r="I117">
        <v>45.69</v>
      </c>
      <c r="J117">
        <v>306.11</v>
      </c>
      <c r="K117" t="s">
        <v>82</v>
      </c>
      <c r="L117" t="b">
        <v>0</v>
      </c>
    </row>
    <row r="118" spans="1:13" ht="34" x14ac:dyDescent="0.2">
      <c r="A118" t="s">
        <v>307</v>
      </c>
      <c r="B118" t="s">
        <v>227</v>
      </c>
      <c r="C118" t="s">
        <v>65</v>
      </c>
      <c r="D118" s="1">
        <v>45021</v>
      </c>
      <c r="E118" s="6" t="s">
        <v>78</v>
      </c>
      <c r="F118" t="s">
        <v>90</v>
      </c>
      <c r="G118" s="3" t="s">
        <v>91</v>
      </c>
      <c r="H118">
        <v>6.6</v>
      </c>
      <c r="I118">
        <v>69.11</v>
      </c>
      <c r="J118">
        <v>456.13</v>
      </c>
      <c r="K118" t="s">
        <v>19</v>
      </c>
      <c r="L118" t="b">
        <v>0</v>
      </c>
    </row>
    <row r="119" spans="1:13" ht="68" x14ac:dyDescent="0.2">
      <c r="A119" t="s">
        <v>308</v>
      </c>
      <c r="B119" t="s">
        <v>309</v>
      </c>
      <c r="C119" t="s">
        <v>71</v>
      </c>
      <c r="D119" s="1">
        <v>45353</v>
      </c>
      <c r="E119" s="6" t="s">
        <v>16</v>
      </c>
      <c r="F119" t="s">
        <v>50</v>
      </c>
      <c r="G119" s="3" t="s">
        <v>51</v>
      </c>
      <c r="H119">
        <v>22</v>
      </c>
      <c r="I119">
        <v>57.76</v>
      </c>
      <c r="J119">
        <v>1270.72</v>
      </c>
      <c r="K119" t="s">
        <v>82</v>
      </c>
      <c r="L119" t="b">
        <v>1</v>
      </c>
      <c r="M119" s="3" t="s">
        <v>79</v>
      </c>
    </row>
    <row r="120" spans="1:13" ht="68" x14ac:dyDescent="0.2">
      <c r="A120" t="s">
        <v>310</v>
      </c>
      <c r="B120" t="s">
        <v>311</v>
      </c>
      <c r="C120" t="s">
        <v>85</v>
      </c>
      <c r="D120" s="1">
        <v>45094</v>
      </c>
      <c r="E120" s="6" t="s">
        <v>16</v>
      </c>
      <c r="F120" t="s">
        <v>50</v>
      </c>
      <c r="G120" s="3" t="s">
        <v>51</v>
      </c>
      <c r="H120">
        <v>7</v>
      </c>
      <c r="I120">
        <v>66.08</v>
      </c>
      <c r="J120">
        <v>462.57</v>
      </c>
      <c r="K120" t="s">
        <v>19</v>
      </c>
      <c r="L120" t="b">
        <v>0</v>
      </c>
    </row>
    <row r="121" spans="1:13" ht="17" x14ac:dyDescent="0.2">
      <c r="A121" t="s">
        <v>312</v>
      </c>
      <c r="B121" t="s">
        <v>313</v>
      </c>
      <c r="C121" t="s">
        <v>256</v>
      </c>
      <c r="D121" s="1">
        <v>45262</v>
      </c>
      <c r="E121" s="6" t="s">
        <v>44</v>
      </c>
      <c r="F121" t="s">
        <v>17</v>
      </c>
      <c r="G121" s="3" t="s">
        <v>18</v>
      </c>
      <c r="H121">
        <v>5.8</v>
      </c>
      <c r="I121">
        <v>73.69</v>
      </c>
      <c r="J121">
        <v>427.4</v>
      </c>
      <c r="K121" t="s">
        <v>26</v>
      </c>
      <c r="L121" t="b">
        <v>0</v>
      </c>
    </row>
    <row r="122" spans="1:13" ht="17" x14ac:dyDescent="0.2">
      <c r="A122" t="s">
        <v>314</v>
      </c>
      <c r="B122" t="s">
        <v>315</v>
      </c>
      <c r="C122" t="s">
        <v>71</v>
      </c>
      <c r="D122" s="1">
        <v>45308</v>
      </c>
      <c r="E122" s="6" t="s">
        <v>23</v>
      </c>
      <c r="F122" t="s">
        <v>17</v>
      </c>
      <c r="G122" s="3" t="s">
        <v>18</v>
      </c>
      <c r="H122">
        <v>2.2000000000000002</v>
      </c>
      <c r="I122">
        <v>37.1</v>
      </c>
      <c r="J122">
        <v>81.61</v>
      </c>
      <c r="K122" t="s">
        <v>36</v>
      </c>
      <c r="L122" t="b">
        <v>0</v>
      </c>
    </row>
    <row r="123" spans="1:13" ht="34" x14ac:dyDescent="0.2">
      <c r="A123" t="s">
        <v>316</v>
      </c>
      <c r="B123" t="s">
        <v>317</v>
      </c>
      <c r="C123" t="s">
        <v>172</v>
      </c>
      <c r="D123" s="1">
        <v>45517</v>
      </c>
      <c r="E123" s="6" t="s">
        <v>60</v>
      </c>
      <c r="F123" t="s">
        <v>24</v>
      </c>
      <c r="G123" s="3" t="s">
        <v>25</v>
      </c>
      <c r="H123">
        <v>3.9</v>
      </c>
      <c r="I123">
        <v>43.6</v>
      </c>
      <c r="J123">
        <v>170.06</v>
      </c>
      <c r="K123" t="s">
        <v>113</v>
      </c>
      <c r="L123" t="b">
        <v>0</v>
      </c>
    </row>
    <row r="124" spans="1:13" ht="17" x14ac:dyDescent="0.2">
      <c r="A124" t="s">
        <v>318</v>
      </c>
      <c r="B124" t="s">
        <v>298</v>
      </c>
      <c r="C124" t="s">
        <v>191</v>
      </c>
      <c r="D124" s="1">
        <v>45261</v>
      </c>
      <c r="E124" s="6" t="s">
        <v>23</v>
      </c>
      <c r="F124" t="s">
        <v>17</v>
      </c>
      <c r="G124" s="3" t="s">
        <v>18</v>
      </c>
      <c r="H124">
        <v>3.5</v>
      </c>
      <c r="I124">
        <v>70.2</v>
      </c>
      <c r="J124">
        <v>245.69</v>
      </c>
      <c r="K124" t="s">
        <v>92</v>
      </c>
      <c r="L124" t="b">
        <v>0</v>
      </c>
    </row>
    <row r="125" spans="1:13" ht="34" x14ac:dyDescent="0.2">
      <c r="A125" t="s">
        <v>319</v>
      </c>
      <c r="B125" t="s">
        <v>320</v>
      </c>
      <c r="C125" t="s">
        <v>22</v>
      </c>
      <c r="D125" s="1">
        <v>45595</v>
      </c>
      <c r="E125" s="6" t="s">
        <v>16</v>
      </c>
      <c r="F125" t="s">
        <v>45</v>
      </c>
      <c r="G125" s="3" t="s">
        <v>46</v>
      </c>
      <c r="H125">
        <v>4.0999999999999996</v>
      </c>
      <c r="I125">
        <v>71.849999999999994</v>
      </c>
      <c r="J125">
        <v>294.58999999999997</v>
      </c>
      <c r="K125" t="s">
        <v>82</v>
      </c>
      <c r="L125" t="b">
        <v>0</v>
      </c>
    </row>
    <row r="126" spans="1:13" ht="34" x14ac:dyDescent="0.2">
      <c r="A126" t="s">
        <v>321</v>
      </c>
      <c r="B126" t="s">
        <v>322</v>
      </c>
      <c r="C126" t="s">
        <v>323</v>
      </c>
      <c r="D126" s="1">
        <v>45126</v>
      </c>
      <c r="E126" s="6" t="s">
        <v>60</v>
      </c>
      <c r="F126" t="s">
        <v>54</v>
      </c>
      <c r="G126" s="3" t="s">
        <v>55</v>
      </c>
      <c r="H126">
        <v>3.6</v>
      </c>
      <c r="I126">
        <v>72.959999999999994</v>
      </c>
      <c r="J126">
        <v>262.66000000000003</v>
      </c>
      <c r="K126" t="s">
        <v>36</v>
      </c>
      <c r="L126" t="b">
        <v>0</v>
      </c>
    </row>
    <row r="127" spans="1:13" ht="34" x14ac:dyDescent="0.2">
      <c r="A127" t="s">
        <v>324</v>
      </c>
      <c r="B127" t="s">
        <v>325</v>
      </c>
      <c r="C127" t="s">
        <v>124</v>
      </c>
      <c r="D127" s="1">
        <v>45337</v>
      </c>
      <c r="E127" s="6" t="s">
        <v>60</v>
      </c>
      <c r="F127" t="s">
        <v>61</v>
      </c>
      <c r="G127" s="3" t="s">
        <v>62</v>
      </c>
      <c r="H127">
        <v>6.5</v>
      </c>
      <c r="I127">
        <v>78.680000000000007</v>
      </c>
      <c r="J127">
        <v>511.41</v>
      </c>
      <c r="K127" t="s">
        <v>36</v>
      </c>
      <c r="L127" t="b">
        <v>0</v>
      </c>
    </row>
    <row r="128" spans="1:13" ht="34" x14ac:dyDescent="0.2">
      <c r="A128" t="s">
        <v>326</v>
      </c>
      <c r="B128" t="s">
        <v>327</v>
      </c>
      <c r="C128" t="s">
        <v>39</v>
      </c>
      <c r="D128" s="1">
        <v>45387</v>
      </c>
      <c r="E128" s="6" t="s">
        <v>60</v>
      </c>
      <c r="F128" t="s">
        <v>54</v>
      </c>
      <c r="G128" s="3" t="s">
        <v>55</v>
      </c>
      <c r="H128">
        <v>7.8</v>
      </c>
      <c r="I128">
        <v>54.77</v>
      </c>
      <c r="J128">
        <v>427.22</v>
      </c>
      <c r="K128" t="s">
        <v>105</v>
      </c>
      <c r="L128" t="b">
        <v>0</v>
      </c>
    </row>
    <row r="129" spans="1:13" ht="34" x14ac:dyDescent="0.2">
      <c r="A129" t="s">
        <v>328</v>
      </c>
      <c r="B129" t="s">
        <v>329</v>
      </c>
      <c r="C129" t="s">
        <v>159</v>
      </c>
      <c r="D129" s="1">
        <v>44944</v>
      </c>
      <c r="E129" s="6" t="s">
        <v>44</v>
      </c>
      <c r="F129" t="s">
        <v>54</v>
      </c>
      <c r="G129" s="3" t="s">
        <v>55</v>
      </c>
      <c r="H129">
        <v>7.5</v>
      </c>
      <c r="I129">
        <v>56.16</v>
      </c>
      <c r="J129">
        <v>421.17</v>
      </c>
      <c r="K129" t="s">
        <v>26</v>
      </c>
      <c r="L129" t="b">
        <v>0</v>
      </c>
    </row>
    <row r="130" spans="1:13" ht="34" x14ac:dyDescent="0.2">
      <c r="A130" t="s">
        <v>330</v>
      </c>
      <c r="B130" t="s">
        <v>331</v>
      </c>
      <c r="C130" t="s">
        <v>332</v>
      </c>
      <c r="D130" s="1">
        <v>45432</v>
      </c>
      <c r="E130" s="6" t="s">
        <v>23</v>
      </c>
      <c r="F130" t="s">
        <v>61</v>
      </c>
      <c r="G130" s="3" t="s">
        <v>62</v>
      </c>
      <c r="H130">
        <v>2.5</v>
      </c>
      <c r="I130">
        <v>61.15</v>
      </c>
      <c r="J130">
        <v>152.87</v>
      </c>
      <c r="K130" t="s">
        <v>19</v>
      </c>
      <c r="L130" t="b">
        <v>0</v>
      </c>
    </row>
    <row r="131" spans="1:13" ht="34" x14ac:dyDescent="0.2">
      <c r="A131" t="s">
        <v>333</v>
      </c>
      <c r="B131" t="s">
        <v>334</v>
      </c>
      <c r="C131" t="s">
        <v>85</v>
      </c>
      <c r="D131" s="1">
        <v>45372</v>
      </c>
      <c r="E131" s="6" t="s">
        <v>16</v>
      </c>
      <c r="F131" t="s">
        <v>45</v>
      </c>
      <c r="G131" s="3" t="s">
        <v>46</v>
      </c>
      <c r="H131">
        <v>3.9</v>
      </c>
      <c r="I131">
        <v>29.8</v>
      </c>
      <c r="J131">
        <v>116.24</v>
      </c>
      <c r="K131" t="s">
        <v>113</v>
      </c>
      <c r="L131" t="b">
        <v>0</v>
      </c>
    </row>
    <row r="132" spans="1:13" ht="34" x14ac:dyDescent="0.2">
      <c r="A132" t="s">
        <v>335</v>
      </c>
      <c r="B132" t="s">
        <v>336</v>
      </c>
      <c r="C132" t="s">
        <v>59</v>
      </c>
      <c r="D132" s="1">
        <v>45570</v>
      </c>
      <c r="E132" s="6" t="s">
        <v>60</v>
      </c>
      <c r="F132" t="s">
        <v>45</v>
      </c>
      <c r="G132" s="3" t="s">
        <v>46</v>
      </c>
      <c r="H132">
        <v>3.8</v>
      </c>
      <c r="I132">
        <v>61.16</v>
      </c>
      <c r="J132">
        <v>232.4</v>
      </c>
      <c r="K132" t="s">
        <v>56</v>
      </c>
      <c r="L132" t="b">
        <v>0</v>
      </c>
    </row>
    <row r="133" spans="1:13" ht="68" x14ac:dyDescent="0.2">
      <c r="A133" t="s">
        <v>337</v>
      </c>
      <c r="B133" t="s">
        <v>338</v>
      </c>
      <c r="C133" t="s">
        <v>153</v>
      </c>
      <c r="D133" s="1">
        <v>45275</v>
      </c>
      <c r="E133" s="6" t="s">
        <v>44</v>
      </c>
      <c r="F133" t="s">
        <v>50</v>
      </c>
      <c r="G133" s="3" t="s">
        <v>51</v>
      </c>
      <c r="H133">
        <v>6.1</v>
      </c>
      <c r="I133">
        <v>46.09</v>
      </c>
      <c r="J133">
        <v>281.17</v>
      </c>
      <c r="K133" t="s">
        <v>92</v>
      </c>
      <c r="L133" t="b">
        <v>0</v>
      </c>
    </row>
    <row r="134" spans="1:13" ht="34" x14ac:dyDescent="0.2">
      <c r="A134" t="s">
        <v>339</v>
      </c>
      <c r="B134" t="s">
        <v>340</v>
      </c>
      <c r="C134" t="s">
        <v>194</v>
      </c>
      <c r="D134" s="1">
        <v>45224</v>
      </c>
      <c r="E134" s="6" t="s">
        <v>16</v>
      </c>
      <c r="F134" t="s">
        <v>54</v>
      </c>
      <c r="G134" s="3" t="s">
        <v>55</v>
      </c>
      <c r="H134">
        <v>5.7</v>
      </c>
      <c r="I134">
        <v>51.1</v>
      </c>
      <c r="J134">
        <v>291.25</v>
      </c>
      <c r="K134" t="s">
        <v>36</v>
      </c>
      <c r="L134" t="b">
        <v>0</v>
      </c>
    </row>
    <row r="135" spans="1:13" ht="34" x14ac:dyDescent="0.2">
      <c r="A135" t="s">
        <v>341</v>
      </c>
      <c r="B135" t="s">
        <v>342</v>
      </c>
      <c r="C135" t="s">
        <v>343</v>
      </c>
      <c r="D135" s="1">
        <v>45352</v>
      </c>
      <c r="E135" s="6" t="s">
        <v>78</v>
      </c>
      <c r="F135" t="s">
        <v>24</v>
      </c>
      <c r="G135" s="3" t="s">
        <v>25</v>
      </c>
      <c r="H135">
        <v>2.5</v>
      </c>
      <c r="I135">
        <v>63.25</v>
      </c>
      <c r="J135">
        <v>158.13</v>
      </c>
      <c r="K135" t="s">
        <v>92</v>
      </c>
      <c r="L135" t="b">
        <v>0</v>
      </c>
    </row>
    <row r="136" spans="1:13" ht="68" x14ac:dyDescent="0.2">
      <c r="A136" t="s">
        <v>344</v>
      </c>
      <c r="B136" t="s">
        <v>345</v>
      </c>
      <c r="C136" t="s">
        <v>22</v>
      </c>
      <c r="D136" s="1">
        <v>45207</v>
      </c>
      <c r="E136" s="6" t="s">
        <v>89</v>
      </c>
      <c r="F136" t="s">
        <v>50</v>
      </c>
      <c r="G136" s="3" t="s">
        <v>51</v>
      </c>
      <c r="H136">
        <v>7.7</v>
      </c>
      <c r="I136">
        <v>33.57</v>
      </c>
      <c r="J136">
        <v>258.45999999999998</v>
      </c>
      <c r="K136" t="s">
        <v>19</v>
      </c>
      <c r="L136" t="b">
        <v>0</v>
      </c>
    </row>
    <row r="137" spans="1:13" ht="34" x14ac:dyDescent="0.2">
      <c r="A137" t="s">
        <v>346</v>
      </c>
      <c r="B137" t="s">
        <v>347</v>
      </c>
      <c r="C137" t="s">
        <v>183</v>
      </c>
      <c r="D137" s="1">
        <v>45174</v>
      </c>
      <c r="E137" s="6" t="s">
        <v>16</v>
      </c>
      <c r="F137" t="s">
        <v>17</v>
      </c>
      <c r="G137" s="3" t="s">
        <v>18</v>
      </c>
      <c r="H137">
        <v>2.2000000000000002</v>
      </c>
      <c r="I137">
        <v>29.03</v>
      </c>
      <c r="J137">
        <v>63.87</v>
      </c>
      <c r="K137" t="s">
        <v>32</v>
      </c>
      <c r="L137" t="b">
        <v>1</v>
      </c>
      <c r="M137" s="3" t="s">
        <v>102</v>
      </c>
    </row>
    <row r="138" spans="1:13" ht="34" x14ac:dyDescent="0.2">
      <c r="A138" t="s">
        <v>348</v>
      </c>
      <c r="B138" t="s">
        <v>349</v>
      </c>
      <c r="C138" t="s">
        <v>350</v>
      </c>
      <c r="D138" s="1">
        <v>45179</v>
      </c>
      <c r="E138" s="6" t="s">
        <v>44</v>
      </c>
      <c r="F138" t="s">
        <v>54</v>
      </c>
      <c r="G138" s="3" t="s">
        <v>55</v>
      </c>
      <c r="H138">
        <v>4.2</v>
      </c>
      <c r="I138">
        <v>81.97</v>
      </c>
      <c r="J138">
        <v>344.27</v>
      </c>
      <c r="K138" t="s">
        <v>32</v>
      </c>
      <c r="L138" t="b">
        <v>0</v>
      </c>
    </row>
    <row r="139" spans="1:13" ht="68" x14ac:dyDescent="0.2">
      <c r="A139" t="s">
        <v>351</v>
      </c>
      <c r="B139" t="s">
        <v>352</v>
      </c>
      <c r="C139" t="s">
        <v>353</v>
      </c>
      <c r="D139" s="1">
        <v>44952</v>
      </c>
      <c r="E139" s="6" t="s">
        <v>78</v>
      </c>
      <c r="F139" t="s">
        <v>50</v>
      </c>
      <c r="G139" s="3" t="s">
        <v>51</v>
      </c>
      <c r="H139">
        <v>6.1</v>
      </c>
      <c r="I139">
        <v>81.93</v>
      </c>
      <c r="J139">
        <v>499.77</v>
      </c>
      <c r="K139" t="s">
        <v>56</v>
      </c>
      <c r="L139" t="b">
        <v>0</v>
      </c>
    </row>
    <row r="140" spans="1:13" ht="17" x14ac:dyDescent="0.2">
      <c r="A140" t="s">
        <v>354</v>
      </c>
      <c r="B140" t="s">
        <v>288</v>
      </c>
      <c r="C140" t="s">
        <v>166</v>
      </c>
      <c r="D140" s="1">
        <v>45035</v>
      </c>
      <c r="E140" s="6" t="s">
        <v>89</v>
      </c>
      <c r="F140" t="s">
        <v>17</v>
      </c>
      <c r="G140" s="3" t="s">
        <v>18</v>
      </c>
      <c r="H140">
        <v>6.6</v>
      </c>
      <c r="I140">
        <v>59.44</v>
      </c>
      <c r="J140">
        <v>392.27</v>
      </c>
      <c r="K140" t="s">
        <v>32</v>
      </c>
      <c r="L140" t="b">
        <v>0</v>
      </c>
    </row>
    <row r="141" spans="1:13" ht="34" x14ac:dyDescent="0.2">
      <c r="A141" t="s">
        <v>355</v>
      </c>
      <c r="B141" t="s">
        <v>356</v>
      </c>
      <c r="C141" t="s">
        <v>274</v>
      </c>
      <c r="D141" s="1">
        <v>45404</v>
      </c>
      <c r="E141" s="6" t="s">
        <v>23</v>
      </c>
      <c r="F141" t="s">
        <v>54</v>
      </c>
      <c r="G141" s="3" t="s">
        <v>55</v>
      </c>
      <c r="H141">
        <v>4.4000000000000004</v>
      </c>
      <c r="I141">
        <v>63.97</v>
      </c>
      <c r="J141">
        <v>281.48</v>
      </c>
      <c r="K141" t="s">
        <v>82</v>
      </c>
      <c r="L141" t="b">
        <v>0</v>
      </c>
    </row>
    <row r="142" spans="1:13" ht="34" x14ac:dyDescent="0.2">
      <c r="A142" t="s">
        <v>357</v>
      </c>
      <c r="B142" t="s">
        <v>358</v>
      </c>
      <c r="C142" t="s">
        <v>172</v>
      </c>
      <c r="D142" s="1">
        <v>45540</v>
      </c>
      <c r="E142" s="6" t="s">
        <v>89</v>
      </c>
      <c r="F142" t="s">
        <v>90</v>
      </c>
      <c r="G142" s="3" t="s">
        <v>91</v>
      </c>
      <c r="H142">
        <v>2.2000000000000002</v>
      </c>
      <c r="I142">
        <v>36.159999999999997</v>
      </c>
      <c r="J142">
        <v>79.56</v>
      </c>
      <c r="K142" t="s">
        <v>36</v>
      </c>
      <c r="L142" t="b">
        <v>0</v>
      </c>
    </row>
    <row r="143" spans="1:13" ht="34" x14ac:dyDescent="0.2">
      <c r="A143" t="s">
        <v>359</v>
      </c>
      <c r="B143" t="s">
        <v>137</v>
      </c>
      <c r="C143" t="s">
        <v>274</v>
      </c>
      <c r="D143" s="1">
        <v>45462</v>
      </c>
      <c r="E143" s="6" t="s">
        <v>78</v>
      </c>
      <c r="F143" t="s">
        <v>61</v>
      </c>
      <c r="G143" s="3" t="s">
        <v>62</v>
      </c>
      <c r="H143">
        <v>7.5</v>
      </c>
      <c r="I143">
        <v>32.07</v>
      </c>
      <c r="J143">
        <v>240.49</v>
      </c>
      <c r="K143" t="s">
        <v>105</v>
      </c>
      <c r="L143" t="b">
        <v>0</v>
      </c>
    </row>
    <row r="144" spans="1:13" ht="17" x14ac:dyDescent="0.2">
      <c r="A144" t="s">
        <v>360</v>
      </c>
      <c r="B144" t="s">
        <v>361</v>
      </c>
      <c r="C144" t="s">
        <v>85</v>
      </c>
      <c r="D144" s="1">
        <v>45102</v>
      </c>
      <c r="E144" s="6" t="s">
        <v>16</v>
      </c>
      <c r="F144" t="s">
        <v>17</v>
      </c>
      <c r="G144" s="3" t="s">
        <v>18</v>
      </c>
      <c r="H144">
        <v>3.3</v>
      </c>
      <c r="I144">
        <v>61.71</v>
      </c>
      <c r="J144">
        <v>203.65</v>
      </c>
      <c r="K144" t="s">
        <v>113</v>
      </c>
      <c r="L144" t="b">
        <v>0</v>
      </c>
    </row>
    <row r="145" spans="1:13" ht="17" x14ac:dyDescent="0.2">
      <c r="A145" t="s">
        <v>362</v>
      </c>
      <c r="B145" t="s">
        <v>81</v>
      </c>
      <c r="C145" t="s">
        <v>127</v>
      </c>
      <c r="D145" s="1">
        <v>45541</v>
      </c>
      <c r="E145" s="6" t="s">
        <v>44</v>
      </c>
      <c r="F145" t="s">
        <v>17</v>
      </c>
      <c r="G145" s="3" t="s">
        <v>18</v>
      </c>
      <c r="H145">
        <v>3.2</v>
      </c>
      <c r="I145">
        <v>33.14</v>
      </c>
      <c r="J145">
        <v>106.06</v>
      </c>
      <c r="K145" t="s">
        <v>82</v>
      </c>
      <c r="L145" t="b">
        <v>0</v>
      </c>
    </row>
    <row r="146" spans="1:13" ht="34" x14ac:dyDescent="0.2">
      <c r="A146" t="s">
        <v>363</v>
      </c>
      <c r="B146" t="s">
        <v>364</v>
      </c>
      <c r="C146" t="s">
        <v>365</v>
      </c>
      <c r="D146" s="1">
        <v>45413</v>
      </c>
      <c r="E146" s="6" t="s">
        <v>44</v>
      </c>
      <c r="F146" t="s">
        <v>17</v>
      </c>
      <c r="G146" s="3" t="s">
        <v>18</v>
      </c>
      <c r="H146">
        <v>3</v>
      </c>
      <c r="I146">
        <v>67.8</v>
      </c>
      <c r="J146">
        <v>203.41</v>
      </c>
      <c r="K146" t="s">
        <v>96</v>
      </c>
      <c r="L146" t="b">
        <v>1</v>
      </c>
      <c r="M146" s="3" t="s">
        <v>102</v>
      </c>
    </row>
    <row r="147" spans="1:13" ht="34" x14ac:dyDescent="0.2">
      <c r="A147" t="s">
        <v>366</v>
      </c>
      <c r="B147" t="s">
        <v>367</v>
      </c>
      <c r="C147" t="s">
        <v>353</v>
      </c>
      <c r="D147" s="1">
        <v>45074</v>
      </c>
      <c r="E147" s="6" t="s">
        <v>89</v>
      </c>
      <c r="F147" t="s">
        <v>54</v>
      </c>
      <c r="G147" s="3" t="s">
        <v>55</v>
      </c>
      <c r="H147">
        <v>6</v>
      </c>
      <c r="I147">
        <v>67.569999999999993</v>
      </c>
      <c r="J147">
        <v>405.43</v>
      </c>
      <c r="K147" t="s">
        <v>105</v>
      </c>
      <c r="L147" t="b">
        <v>0</v>
      </c>
    </row>
    <row r="148" spans="1:13" ht="34" x14ac:dyDescent="0.2">
      <c r="A148" t="s">
        <v>368</v>
      </c>
      <c r="B148" t="s">
        <v>369</v>
      </c>
      <c r="C148" t="s">
        <v>370</v>
      </c>
      <c r="D148" s="1">
        <v>45534</v>
      </c>
      <c r="E148" s="6" t="s">
        <v>16</v>
      </c>
      <c r="F148" t="s">
        <v>45</v>
      </c>
      <c r="G148" s="3" t="s">
        <v>46</v>
      </c>
      <c r="H148">
        <v>7.3</v>
      </c>
      <c r="I148">
        <v>76.08</v>
      </c>
      <c r="J148">
        <v>555.4</v>
      </c>
      <c r="K148" t="s">
        <v>82</v>
      </c>
      <c r="L148" t="b">
        <v>0</v>
      </c>
    </row>
    <row r="149" spans="1:13" ht="68" x14ac:dyDescent="0.2">
      <c r="A149" t="s">
        <v>371</v>
      </c>
      <c r="B149" t="s">
        <v>372</v>
      </c>
      <c r="C149" t="s">
        <v>350</v>
      </c>
      <c r="D149" s="1">
        <v>45286</v>
      </c>
      <c r="E149" s="6" t="s">
        <v>44</v>
      </c>
      <c r="F149" t="s">
        <v>50</v>
      </c>
      <c r="G149" s="3" t="s">
        <v>51</v>
      </c>
      <c r="H149">
        <v>6.8</v>
      </c>
      <c r="I149">
        <v>55.53</v>
      </c>
      <c r="J149">
        <v>377.57</v>
      </c>
      <c r="K149" t="s">
        <v>36</v>
      </c>
      <c r="L149" t="b">
        <v>0</v>
      </c>
    </row>
    <row r="150" spans="1:13" ht="17" x14ac:dyDescent="0.2">
      <c r="A150" t="s">
        <v>373</v>
      </c>
      <c r="B150" t="s">
        <v>374</v>
      </c>
      <c r="C150" t="s">
        <v>59</v>
      </c>
      <c r="D150" s="1">
        <v>45438</v>
      </c>
      <c r="E150" s="6" t="s">
        <v>60</v>
      </c>
      <c r="F150" t="s">
        <v>30</v>
      </c>
      <c r="G150" s="3" t="s">
        <v>31</v>
      </c>
      <c r="H150">
        <v>6.8</v>
      </c>
      <c r="I150">
        <v>39.200000000000003</v>
      </c>
      <c r="J150">
        <v>266.58999999999997</v>
      </c>
      <c r="K150" t="s">
        <v>19</v>
      </c>
      <c r="L150" t="b">
        <v>0</v>
      </c>
    </row>
    <row r="151" spans="1:13" ht="34" x14ac:dyDescent="0.2">
      <c r="A151" t="s">
        <v>375</v>
      </c>
      <c r="B151" t="s">
        <v>376</v>
      </c>
      <c r="C151" t="s">
        <v>350</v>
      </c>
      <c r="D151" s="1">
        <v>45491</v>
      </c>
      <c r="E151" s="6" t="s">
        <v>60</v>
      </c>
      <c r="F151" t="s">
        <v>24</v>
      </c>
      <c r="G151" s="3" t="s">
        <v>25</v>
      </c>
      <c r="H151">
        <v>4.2</v>
      </c>
      <c r="I151">
        <v>59.34</v>
      </c>
      <c r="J151">
        <v>249.21</v>
      </c>
      <c r="K151" t="s">
        <v>105</v>
      </c>
      <c r="L151" t="b">
        <v>0</v>
      </c>
    </row>
    <row r="152" spans="1:13" ht="68" x14ac:dyDescent="0.2">
      <c r="A152" t="s">
        <v>377</v>
      </c>
      <c r="B152" t="s">
        <v>378</v>
      </c>
      <c r="C152" t="s">
        <v>219</v>
      </c>
      <c r="D152" s="1">
        <v>45496</v>
      </c>
      <c r="E152" s="6" t="s">
        <v>78</v>
      </c>
      <c r="F152" t="s">
        <v>50</v>
      </c>
      <c r="G152" s="3" t="s">
        <v>51</v>
      </c>
      <c r="H152">
        <v>5.7</v>
      </c>
      <c r="I152">
        <v>30.17</v>
      </c>
      <c r="J152">
        <v>171.99</v>
      </c>
      <c r="K152" t="s">
        <v>26</v>
      </c>
      <c r="L152" t="b">
        <v>0</v>
      </c>
    </row>
    <row r="153" spans="1:13" ht="34" x14ac:dyDescent="0.2">
      <c r="A153" t="s">
        <v>379</v>
      </c>
      <c r="B153" t="s">
        <v>223</v>
      </c>
      <c r="C153" t="s">
        <v>380</v>
      </c>
      <c r="D153" s="1">
        <v>45289</v>
      </c>
      <c r="E153" s="6" t="s">
        <v>89</v>
      </c>
      <c r="F153" t="s">
        <v>61</v>
      </c>
      <c r="G153" s="3" t="s">
        <v>62</v>
      </c>
      <c r="H153">
        <v>8</v>
      </c>
      <c r="I153">
        <v>68.13</v>
      </c>
      <c r="J153">
        <v>545.05999999999995</v>
      </c>
      <c r="K153" t="s">
        <v>36</v>
      </c>
      <c r="L153" t="b">
        <v>0</v>
      </c>
    </row>
    <row r="154" spans="1:13" ht="34" x14ac:dyDescent="0.2">
      <c r="A154" t="s">
        <v>381</v>
      </c>
      <c r="B154" t="s">
        <v>325</v>
      </c>
      <c r="C154" t="s">
        <v>133</v>
      </c>
      <c r="D154" s="1">
        <v>44991</v>
      </c>
      <c r="E154" s="6" t="s">
        <v>44</v>
      </c>
      <c r="F154" t="s">
        <v>61</v>
      </c>
      <c r="G154" s="3" t="s">
        <v>62</v>
      </c>
      <c r="H154">
        <v>6.6</v>
      </c>
      <c r="I154">
        <v>74.400000000000006</v>
      </c>
      <c r="J154">
        <v>491.04</v>
      </c>
      <c r="K154" t="s">
        <v>36</v>
      </c>
      <c r="L154" t="b">
        <v>0</v>
      </c>
    </row>
    <row r="155" spans="1:13" ht="68" x14ac:dyDescent="0.2">
      <c r="A155" t="s">
        <v>382</v>
      </c>
      <c r="B155" t="s">
        <v>140</v>
      </c>
      <c r="C155" t="s">
        <v>293</v>
      </c>
      <c r="D155" s="1">
        <v>45617</v>
      </c>
      <c r="E155" s="6" t="s">
        <v>60</v>
      </c>
      <c r="F155" t="s">
        <v>50</v>
      </c>
      <c r="G155" s="3" t="s">
        <v>51</v>
      </c>
      <c r="H155">
        <v>39.299999999999997</v>
      </c>
      <c r="I155">
        <v>63.54</v>
      </c>
      <c r="J155">
        <v>2500</v>
      </c>
      <c r="K155" t="s">
        <v>36</v>
      </c>
      <c r="L155" t="b">
        <v>1</v>
      </c>
      <c r="M155" s="3" t="s">
        <v>40</v>
      </c>
    </row>
    <row r="156" spans="1:13" ht="17" x14ac:dyDescent="0.2">
      <c r="A156" t="s">
        <v>383</v>
      </c>
      <c r="B156" t="s">
        <v>384</v>
      </c>
      <c r="C156" t="s">
        <v>274</v>
      </c>
      <c r="D156" s="1">
        <v>45446</v>
      </c>
      <c r="E156" s="6" t="s">
        <v>89</v>
      </c>
      <c r="F156" t="s">
        <v>17</v>
      </c>
      <c r="G156" s="3" t="s">
        <v>18</v>
      </c>
      <c r="H156">
        <v>6.1</v>
      </c>
      <c r="I156">
        <v>45.67</v>
      </c>
      <c r="J156">
        <v>278.58999999999997</v>
      </c>
      <c r="K156" t="s">
        <v>92</v>
      </c>
      <c r="L156" t="b">
        <v>0</v>
      </c>
    </row>
    <row r="157" spans="1:13" ht="68" x14ac:dyDescent="0.2">
      <c r="A157" t="s">
        <v>385</v>
      </c>
      <c r="B157" t="s">
        <v>386</v>
      </c>
      <c r="C157" t="s">
        <v>65</v>
      </c>
      <c r="D157" s="1">
        <v>45550</v>
      </c>
      <c r="E157" s="6" t="s">
        <v>89</v>
      </c>
      <c r="F157" t="s">
        <v>50</v>
      </c>
      <c r="G157" s="3" t="s">
        <v>51</v>
      </c>
      <c r="H157">
        <v>6.6</v>
      </c>
      <c r="I157">
        <v>32.74</v>
      </c>
      <c r="J157">
        <v>216.1</v>
      </c>
      <c r="K157" t="s">
        <v>26</v>
      </c>
      <c r="L157" t="b">
        <v>0</v>
      </c>
    </row>
    <row r="158" spans="1:13" ht="34" x14ac:dyDescent="0.2">
      <c r="A158" t="s">
        <v>387</v>
      </c>
      <c r="B158" t="s">
        <v>388</v>
      </c>
      <c r="C158" t="s">
        <v>175</v>
      </c>
      <c r="D158" s="1">
        <v>45229</v>
      </c>
      <c r="E158" s="6" t="s">
        <v>78</v>
      </c>
      <c r="F158" t="s">
        <v>24</v>
      </c>
      <c r="G158" s="3" t="s">
        <v>25</v>
      </c>
      <c r="H158">
        <v>7</v>
      </c>
      <c r="I158">
        <v>56.09</v>
      </c>
      <c r="J158">
        <v>392.6</v>
      </c>
      <c r="K158" t="s">
        <v>56</v>
      </c>
      <c r="L158" t="b">
        <v>0</v>
      </c>
    </row>
    <row r="159" spans="1:13" ht="68" x14ac:dyDescent="0.2">
      <c r="A159" t="s">
        <v>389</v>
      </c>
      <c r="B159" t="s">
        <v>390</v>
      </c>
      <c r="C159" t="s">
        <v>391</v>
      </c>
      <c r="D159" s="1">
        <v>45389</v>
      </c>
      <c r="E159" s="6" t="s">
        <v>23</v>
      </c>
      <c r="F159" t="s">
        <v>50</v>
      </c>
      <c r="G159" s="3" t="s">
        <v>51</v>
      </c>
      <c r="H159">
        <v>18.8</v>
      </c>
      <c r="I159">
        <v>81.08</v>
      </c>
      <c r="J159">
        <v>1524.3</v>
      </c>
      <c r="K159" t="s">
        <v>96</v>
      </c>
      <c r="L159" t="b">
        <v>1</v>
      </c>
      <c r="M159" s="3" t="s">
        <v>79</v>
      </c>
    </row>
    <row r="160" spans="1:13" ht="34" x14ac:dyDescent="0.2">
      <c r="A160" t="s">
        <v>392</v>
      </c>
      <c r="B160" t="s">
        <v>306</v>
      </c>
      <c r="C160" t="s">
        <v>22</v>
      </c>
      <c r="D160" s="1">
        <v>45273</v>
      </c>
      <c r="E160" s="6" t="s">
        <v>78</v>
      </c>
      <c r="F160" t="s">
        <v>54</v>
      </c>
      <c r="G160" s="3" t="s">
        <v>55</v>
      </c>
      <c r="H160">
        <v>7.7</v>
      </c>
      <c r="I160">
        <v>56.13</v>
      </c>
      <c r="J160">
        <v>432.23</v>
      </c>
      <c r="K160" t="s">
        <v>82</v>
      </c>
      <c r="L160" t="b">
        <v>1</v>
      </c>
      <c r="M160" s="3" t="s">
        <v>102</v>
      </c>
    </row>
    <row r="161" spans="1:13" ht="34" x14ac:dyDescent="0.2">
      <c r="A161" t="s">
        <v>393</v>
      </c>
      <c r="B161" t="s">
        <v>394</v>
      </c>
      <c r="C161" t="s">
        <v>391</v>
      </c>
      <c r="D161" s="1">
        <v>45283</v>
      </c>
      <c r="E161" s="6" t="s">
        <v>89</v>
      </c>
      <c r="F161" t="s">
        <v>90</v>
      </c>
      <c r="G161" s="3" t="s">
        <v>91</v>
      </c>
      <c r="H161">
        <v>3.5</v>
      </c>
      <c r="I161">
        <v>63.1</v>
      </c>
      <c r="J161">
        <v>220.86</v>
      </c>
      <c r="K161" t="s">
        <v>32</v>
      </c>
      <c r="L161" t="b">
        <v>0</v>
      </c>
    </row>
    <row r="162" spans="1:13" ht="34" x14ac:dyDescent="0.2">
      <c r="A162" t="s">
        <v>395</v>
      </c>
      <c r="B162" t="s">
        <v>396</v>
      </c>
      <c r="C162" t="s">
        <v>110</v>
      </c>
      <c r="D162" s="1">
        <v>45265</v>
      </c>
      <c r="E162" s="6" t="s">
        <v>89</v>
      </c>
      <c r="F162" t="s">
        <v>45</v>
      </c>
      <c r="G162" s="3" t="s">
        <v>46</v>
      </c>
      <c r="H162">
        <v>2.8</v>
      </c>
      <c r="I162">
        <v>43.17</v>
      </c>
      <c r="J162">
        <v>120.87</v>
      </c>
      <c r="K162" t="s">
        <v>92</v>
      </c>
      <c r="L162" t="b">
        <v>0</v>
      </c>
    </row>
    <row r="163" spans="1:13" ht="34" x14ac:dyDescent="0.2">
      <c r="A163" t="s">
        <v>397</v>
      </c>
      <c r="B163" t="s">
        <v>398</v>
      </c>
      <c r="C163" t="s">
        <v>95</v>
      </c>
      <c r="D163" s="1">
        <v>45164</v>
      </c>
      <c r="E163" s="6" t="s">
        <v>89</v>
      </c>
      <c r="F163" t="s">
        <v>90</v>
      </c>
      <c r="G163" s="3" t="s">
        <v>91</v>
      </c>
      <c r="H163">
        <v>5</v>
      </c>
      <c r="I163">
        <v>35.119999999999997</v>
      </c>
      <c r="J163">
        <v>175.59</v>
      </c>
      <c r="K163" t="s">
        <v>92</v>
      </c>
      <c r="L163" t="b">
        <v>0</v>
      </c>
    </row>
    <row r="164" spans="1:13" ht="68" x14ac:dyDescent="0.2">
      <c r="A164" t="s">
        <v>399</v>
      </c>
      <c r="B164" t="s">
        <v>152</v>
      </c>
      <c r="C164" t="s">
        <v>353</v>
      </c>
      <c r="D164" s="1">
        <v>45117</v>
      </c>
      <c r="E164" s="6" t="s">
        <v>89</v>
      </c>
      <c r="F164" t="s">
        <v>50</v>
      </c>
      <c r="G164" s="3" t="s">
        <v>51</v>
      </c>
      <c r="H164">
        <v>20.9</v>
      </c>
      <c r="I164">
        <v>62.47</v>
      </c>
      <c r="J164">
        <v>1305.6199999999999</v>
      </c>
      <c r="K164" t="s">
        <v>96</v>
      </c>
      <c r="L164" t="b">
        <v>1</v>
      </c>
      <c r="M164" s="3" t="s">
        <v>79</v>
      </c>
    </row>
    <row r="165" spans="1:13" ht="34" x14ac:dyDescent="0.2">
      <c r="A165" t="s">
        <v>400</v>
      </c>
      <c r="B165" t="s">
        <v>121</v>
      </c>
      <c r="C165" t="s">
        <v>380</v>
      </c>
      <c r="D165" s="1">
        <v>45531</v>
      </c>
      <c r="E165" s="6" t="s">
        <v>44</v>
      </c>
      <c r="F165" t="s">
        <v>54</v>
      </c>
      <c r="G165" s="3" t="s">
        <v>55</v>
      </c>
      <c r="H165">
        <v>7.1</v>
      </c>
      <c r="I165">
        <v>58.82</v>
      </c>
      <c r="J165">
        <v>417.6</v>
      </c>
      <c r="K165" t="s">
        <v>92</v>
      </c>
      <c r="L165" t="b">
        <v>0</v>
      </c>
    </row>
    <row r="166" spans="1:13" ht="34" x14ac:dyDescent="0.2">
      <c r="A166" t="s">
        <v>401</v>
      </c>
      <c r="B166" t="s">
        <v>402</v>
      </c>
      <c r="C166" t="s">
        <v>145</v>
      </c>
      <c r="D166" s="1">
        <v>45429</v>
      </c>
      <c r="E166" s="6" t="s">
        <v>89</v>
      </c>
      <c r="F166" t="s">
        <v>90</v>
      </c>
      <c r="G166" s="3" t="s">
        <v>91</v>
      </c>
      <c r="H166">
        <v>2.2999999999999998</v>
      </c>
      <c r="I166">
        <v>63.49</v>
      </c>
      <c r="J166">
        <v>146.02000000000001</v>
      </c>
      <c r="K166" t="s">
        <v>96</v>
      </c>
      <c r="L166" t="b">
        <v>0</v>
      </c>
    </row>
    <row r="167" spans="1:13" ht="34" x14ac:dyDescent="0.2">
      <c r="A167" t="s">
        <v>403</v>
      </c>
      <c r="B167" t="s">
        <v>404</v>
      </c>
      <c r="C167" t="s">
        <v>175</v>
      </c>
      <c r="D167" s="1">
        <v>45381</v>
      </c>
      <c r="E167" s="6" t="s">
        <v>60</v>
      </c>
      <c r="F167" t="s">
        <v>45</v>
      </c>
      <c r="G167" s="3" t="s">
        <v>46</v>
      </c>
      <c r="H167">
        <v>5.9</v>
      </c>
      <c r="I167">
        <v>71.02</v>
      </c>
      <c r="J167">
        <v>419</v>
      </c>
      <c r="K167" t="s">
        <v>92</v>
      </c>
      <c r="L167" t="b">
        <v>0</v>
      </c>
    </row>
    <row r="168" spans="1:13" ht="34" x14ac:dyDescent="0.2">
      <c r="A168" t="s">
        <v>405</v>
      </c>
      <c r="B168" t="s">
        <v>406</v>
      </c>
      <c r="C168" t="s">
        <v>191</v>
      </c>
      <c r="D168" s="1">
        <v>45276</v>
      </c>
      <c r="E168" s="6" t="s">
        <v>78</v>
      </c>
      <c r="F168" t="s">
        <v>24</v>
      </c>
      <c r="G168" s="3" t="s">
        <v>25</v>
      </c>
      <c r="H168">
        <v>5</v>
      </c>
      <c r="I168">
        <v>62.63</v>
      </c>
      <c r="J168">
        <v>313.14999999999998</v>
      </c>
      <c r="K168" t="s">
        <v>82</v>
      </c>
      <c r="L168" t="b">
        <v>0</v>
      </c>
    </row>
    <row r="169" spans="1:13" ht="34" x14ac:dyDescent="0.2">
      <c r="A169" t="s">
        <v>407</v>
      </c>
      <c r="B169" t="s">
        <v>408</v>
      </c>
      <c r="C169" t="s">
        <v>49</v>
      </c>
      <c r="D169" s="1">
        <v>45570</v>
      </c>
      <c r="E169" s="6" t="s">
        <v>16</v>
      </c>
      <c r="F169" t="s">
        <v>45</v>
      </c>
      <c r="G169" s="3" t="s">
        <v>46</v>
      </c>
      <c r="H169">
        <v>4.9000000000000004</v>
      </c>
      <c r="I169">
        <v>73.28</v>
      </c>
      <c r="J169">
        <v>359.08</v>
      </c>
      <c r="K169" t="s">
        <v>26</v>
      </c>
      <c r="L169" t="b">
        <v>0</v>
      </c>
    </row>
    <row r="170" spans="1:13" ht="34" x14ac:dyDescent="0.2">
      <c r="A170" t="s">
        <v>409</v>
      </c>
      <c r="B170" t="s">
        <v>410</v>
      </c>
      <c r="C170" t="s">
        <v>274</v>
      </c>
      <c r="D170" s="1">
        <v>45299</v>
      </c>
      <c r="E170" s="6" t="s">
        <v>44</v>
      </c>
      <c r="F170" t="s">
        <v>61</v>
      </c>
      <c r="G170" s="3" t="s">
        <v>62</v>
      </c>
      <c r="H170">
        <v>3.8</v>
      </c>
      <c r="I170">
        <v>29.38</v>
      </c>
      <c r="J170">
        <v>111.64</v>
      </c>
      <c r="K170" t="s">
        <v>96</v>
      </c>
      <c r="L170" t="b">
        <v>0</v>
      </c>
    </row>
    <row r="171" spans="1:13" ht="68" x14ac:dyDescent="0.2">
      <c r="A171" t="s">
        <v>411</v>
      </c>
      <c r="B171" t="s">
        <v>182</v>
      </c>
      <c r="C171" t="s">
        <v>119</v>
      </c>
      <c r="D171" s="1">
        <v>45634</v>
      </c>
      <c r="E171" s="6" t="s">
        <v>23</v>
      </c>
      <c r="F171" t="s">
        <v>50</v>
      </c>
      <c r="G171" s="3" t="s">
        <v>51</v>
      </c>
      <c r="H171">
        <v>4.5999999999999996</v>
      </c>
      <c r="I171">
        <v>54.06</v>
      </c>
      <c r="J171">
        <v>248.65</v>
      </c>
      <c r="K171" t="s">
        <v>92</v>
      </c>
      <c r="L171" t="b">
        <v>0</v>
      </c>
    </row>
    <row r="172" spans="1:13" ht="34" x14ac:dyDescent="0.2">
      <c r="A172" t="s">
        <v>412</v>
      </c>
      <c r="B172" t="s">
        <v>218</v>
      </c>
      <c r="C172" t="s">
        <v>207</v>
      </c>
      <c r="D172" s="1">
        <v>45282</v>
      </c>
      <c r="E172" s="6" t="s">
        <v>16</v>
      </c>
      <c r="F172" t="s">
        <v>54</v>
      </c>
      <c r="G172" s="3" t="s">
        <v>55</v>
      </c>
      <c r="H172">
        <v>5.6</v>
      </c>
      <c r="I172">
        <v>43.75</v>
      </c>
      <c r="J172">
        <v>245.03</v>
      </c>
      <c r="K172" t="s">
        <v>19</v>
      </c>
      <c r="L172" t="b">
        <v>0</v>
      </c>
    </row>
    <row r="173" spans="1:13" ht="34" x14ac:dyDescent="0.2">
      <c r="A173" t="s">
        <v>413</v>
      </c>
      <c r="B173" t="s">
        <v>414</v>
      </c>
      <c r="C173" t="s">
        <v>365</v>
      </c>
      <c r="D173" s="1">
        <v>45070</v>
      </c>
      <c r="E173" s="6" t="s">
        <v>60</v>
      </c>
      <c r="F173" t="s">
        <v>54</v>
      </c>
      <c r="G173" s="3" t="s">
        <v>55</v>
      </c>
      <c r="H173">
        <v>6.4</v>
      </c>
      <c r="I173">
        <v>76.650000000000006</v>
      </c>
      <c r="J173">
        <v>490.54</v>
      </c>
      <c r="K173" t="s">
        <v>56</v>
      </c>
      <c r="L173" t="b">
        <v>0</v>
      </c>
    </row>
    <row r="174" spans="1:13" ht="68" x14ac:dyDescent="0.2">
      <c r="A174" t="s">
        <v>415</v>
      </c>
      <c r="B174" t="s">
        <v>73</v>
      </c>
      <c r="C174" t="s">
        <v>122</v>
      </c>
      <c r="D174" s="1">
        <v>45339</v>
      </c>
      <c r="E174" s="6" t="s">
        <v>44</v>
      </c>
      <c r="F174" t="s">
        <v>50</v>
      </c>
      <c r="G174" s="3" t="s">
        <v>51</v>
      </c>
      <c r="H174">
        <v>6.6</v>
      </c>
      <c r="I174">
        <v>55.9</v>
      </c>
      <c r="J174">
        <v>368.93</v>
      </c>
      <c r="K174" t="s">
        <v>19</v>
      </c>
      <c r="L174" t="b">
        <v>0</v>
      </c>
    </row>
    <row r="175" spans="1:13" ht="34" x14ac:dyDescent="0.2">
      <c r="A175" t="s">
        <v>416</v>
      </c>
      <c r="B175" t="s">
        <v>417</v>
      </c>
      <c r="C175" t="s">
        <v>138</v>
      </c>
      <c r="D175" s="1">
        <v>45072</v>
      </c>
      <c r="E175" s="6" t="s">
        <v>60</v>
      </c>
      <c r="F175" t="s">
        <v>54</v>
      </c>
      <c r="G175" s="3" t="s">
        <v>55</v>
      </c>
      <c r="H175">
        <v>23.4</v>
      </c>
      <c r="I175">
        <v>32.35</v>
      </c>
      <c r="J175">
        <v>756.99</v>
      </c>
      <c r="K175" t="s">
        <v>56</v>
      </c>
      <c r="L175" t="b">
        <v>1</v>
      </c>
      <c r="M175" s="3" t="s">
        <v>79</v>
      </c>
    </row>
    <row r="176" spans="1:13" ht="17" x14ac:dyDescent="0.2">
      <c r="A176" t="s">
        <v>418</v>
      </c>
      <c r="B176" t="s">
        <v>419</v>
      </c>
      <c r="C176" t="s">
        <v>29</v>
      </c>
      <c r="D176" s="1">
        <v>45447</v>
      </c>
      <c r="E176" s="6" t="s">
        <v>60</v>
      </c>
      <c r="F176" t="s">
        <v>30</v>
      </c>
      <c r="G176" s="3" t="s">
        <v>31</v>
      </c>
      <c r="H176">
        <v>2.8</v>
      </c>
      <c r="I176">
        <v>28.04</v>
      </c>
      <c r="J176">
        <v>78.5</v>
      </c>
      <c r="K176" t="s">
        <v>113</v>
      </c>
      <c r="L176" t="b">
        <v>0</v>
      </c>
    </row>
    <row r="177" spans="1:13" ht="34" x14ac:dyDescent="0.2">
      <c r="A177" t="s">
        <v>420</v>
      </c>
      <c r="B177" t="s">
        <v>302</v>
      </c>
      <c r="C177" t="s">
        <v>138</v>
      </c>
      <c r="D177" s="1">
        <v>45375</v>
      </c>
      <c r="E177" s="6" t="s">
        <v>23</v>
      </c>
      <c r="F177" t="s">
        <v>61</v>
      </c>
      <c r="G177" s="3" t="s">
        <v>62</v>
      </c>
      <c r="H177">
        <v>3.5</v>
      </c>
      <c r="I177">
        <v>76.92</v>
      </c>
      <c r="J177">
        <v>269.20999999999998</v>
      </c>
      <c r="K177" t="s">
        <v>96</v>
      </c>
      <c r="L177" t="b">
        <v>0</v>
      </c>
    </row>
    <row r="178" spans="1:13" ht="34" x14ac:dyDescent="0.2">
      <c r="A178" t="s">
        <v>421</v>
      </c>
      <c r="B178" t="s">
        <v>121</v>
      </c>
      <c r="C178" t="s">
        <v>145</v>
      </c>
      <c r="D178" s="1">
        <v>45519</v>
      </c>
      <c r="E178" s="6" t="s">
        <v>23</v>
      </c>
      <c r="F178" t="s">
        <v>54</v>
      </c>
      <c r="G178" s="3" t="s">
        <v>55</v>
      </c>
      <c r="H178">
        <v>7.6</v>
      </c>
      <c r="I178">
        <v>68.27</v>
      </c>
      <c r="J178">
        <v>518.83000000000004</v>
      </c>
      <c r="K178" t="s">
        <v>92</v>
      </c>
      <c r="L178" t="b">
        <v>0</v>
      </c>
    </row>
    <row r="179" spans="1:13" ht="68" x14ac:dyDescent="0.2">
      <c r="A179" t="s">
        <v>422</v>
      </c>
      <c r="B179" t="s">
        <v>70</v>
      </c>
      <c r="C179" t="s">
        <v>194</v>
      </c>
      <c r="D179" s="1">
        <v>45345</v>
      </c>
      <c r="E179" s="6" t="s">
        <v>60</v>
      </c>
      <c r="F179" t="s">
        <v>50</v>
      </c>
      <c r="G179" s="3" t="s">
        <v>51</v>
      </c>
      <c r="H179">
        <v>5</v>
      </c>
      <c r="I179">
        <v>55.88</v>
      </c>
      <c r="J179">
        <v>279.42</v>
      </c>
      <c r="K179" t="s">
        <v>26</v>
      </c>
      <c r="L179" t="b">
        <v>0</v>
      </c>
    </row>
    <row r="180" spans="1:13" ht="34" x14ac:dyDescent="0.2">
      <c r="A180" t="s">
        <v>423</v>
      </c>
      <c r="B180" t="s">
        <v>424</v>
      </c>
      <c r="C180" t="s">
        <v>274</v>
      </c>
      <c r="D180" s="1">
        <v>45465</v>
      </c>
      <c r="E180" s="6" t="s">
        <v>60</v>
      </c>
      <c r="F180" t="s">
        <v>45</v>
      </c>
      <c r="G180" s="3" t="s">
        <v>46</v>
      </c>
      <c r="H180">
        <v>20.8</v>
      </c>
      <c r="I180">
        <v>30.4</v>
      </c>
      <c r="J180">
        <v>632.32000000000005</v>
      </c>
      <c r="K180" t="s">
        <v>32</v>
      </c>
      <c r="L180" t="b">
        <v>1</v>
      </c>
      <c r="M180" s="3" t="s">
        <v>79</v>
      </c>
    </row>
    <row r="181" spans="1:13" ht="17" x14ac:dyDescent="0.2">
      <c r="A181" t="s">
        <v>425</v>
      </c>
      <c r="B181" t="s">
        <v>155</v>
      </c>
      <c r="C181" t="s">
        <v>15</v>
      </c>
      <c r="D181" s="1">
        <v>45312</v>
      </c>
      <c r="E181" s="6" t="s">
        <v>78</v>
      </c>
      <c r="F181" t="s">
        <v>17</v>
      </c>
      <c r="G181" s="3" t="s">
        <v>18</v>
      </c>
      <c r="H181">
        <v>7.8</v>
      </c>
      <c r="I181">
        <v>37.909999999999997</v>
      </c>
      <c r="J181">
        <v>295.69</v>
      </c>
      <c r="K181" t="s">
        <v>113</v>
      </c>
      <c r="L181" t="b">
        <v>0</v>
      </c>
    </row>
    <row r="182" spans="1:13" ht="34" x14ac:dyDescent="0.2">
      <c r="A182" t="s">
        <v>426</v>
      </c>
      <c r="B182" t="s">
        <v>53</v>
      </c>
      <c r="C182" t="s">
        <v>183</v>
      </c>
      <c r="D182" s="1">
        <v>45630</v>
      </c>
      <c r="E182" s="6" t="s">
        <v>16</v>
      </c>
      <c r="F182" t="s">
        <v>24</v>
      </c>
      <c r="G182" s="3" t="s">
        <v>25</v>
      </c>
      <c r="H182">
        <v>2.2999999999999998</v>
      </c>
      <c r="I182">
        <v>54.69</v>
      </c>
      <c r="J182">
        <v>125.8</v>
      </c>
      <c r="K182" t="s">
        <v>56</v>
      </c>
      <c r="L182" t="b">
        <v>0</v>
      </c>
    </row>
    <row r="183" spans="1:13" ht="17" x14ac:dyDescent="0.2">
      <c r="A183" t="s">
        <v>427</v>
      </c>
      <c r="B183" t="s">
        <v>265</v>
      </c>
      <c r="C183" t="s">
        <v>116</v>
      </c>
      <c r="D183" s="1">
        <v>45300</v>
      </c>
      <c r="E183" s="6" t="s">
        <v>44</v>
      </c>
      <c r="F183" t="s">
        <v>17</v>
      </c>
      <c r="G183" s="3" t="s">
        <v>18</v>
      </c>
      <c r="H183">
        <v>3.7</v>
      </c>
      <c r="I183">
        <v>25.49</v>
      </c>
      <c r="J183">
        <v>94.32</v>
      </c>
      <c r="K183" t="s">
        <v>26</v>
      </c>
      <c r="L183" t="b">
        <v>0</v>
      </c>
    </row>
    <row r="184" spans="1:13" ht="34" x14ac:dyDescent="0.2">
      <c r="A184" t="s">
        <v>428</v>
      </c>
      <c r="B184" t="s">
        <v>429</v>
      </c>
      <c r="C184" t="s">
        <v>71</v>
      </c>
      <c r="D184" s="1">
        <v>45617</v>
      </c>
      <c r="E184" s="6" t="s">
        <v>78</v>
      </c>
      <c r="F184" t="s">
        <v>61</v>
      </c>
      <c r="G184" s="3" t="s">
        <v>62</v>
      </c>
      <c r="H184">
        <v>2.8</v>
      </c>
      <c r="I184">
        <v>40.869999999999997</v>
      </c>
      <c r="J184">
        <v>114.43</v>
      </c>
      <c r="K184" t="s">
        <v>92</v>
      </c>
      <c r="L184" t="b">
        <v>1</v>
      </c>
      <c r="M184" s="3" t="s">
        <v>102</v>
      </c>
    </row>
    <row r="185" spans="1:13" ht="34" x14ac:dyDescent="0.2">
      <c r="A185" t="s">
        <v>430</v>
      </c>
      <c r="B185" t="s">
        <v>70</v>
      </c>
      <c r="C185" t="s">
        <v>110</v>
      </c>
      <c r="D185" s="1">
        <v>45438</v>
      </c>
      <c r="E185" s="6" t="s">
        <v>89</v>
      </c>
      <c r="F185" t="s">
        <v>61</v>
      </c>
      <c r="G185" s="3" t="s">
        <v>62</v>
      </c>
      <c r="H185">
        <v>4.2</v>
      </c>
      <c r="I185">
        <v>49.03</v>
      </c>
      <c r="J185">
        <v>205.95</v>
      </c>
      <c r="K185" t="s">
        <v>26</v>
      </c>
      <c r="L185" t="b">
        <v>0</v>
      </c>
    </row>
    <row r="186" spans="1:13" ht="17" x14ac:dyDescent="0.2">
      <c r="A186" t="s">
        <v>431</v>
      </c>
      <c r="B186" t="s">
        <v>378</v>
      </c>
      <c r="C186" t="s">
        <v>153</v>
      </c>
      <c r="D186" s="1">
        <v>45215</v>
      </c>
      <c r="E186" s="6" t="s">
        <v>60</v>
      </c>
      <c r="F186" t="s">
        <v>30</v>
      </c>
      <c r="G186" s="3" t="s">
        <v>31</v>
      </c>
      <c r="H186">
        <v>17.3</v>
      </c>
      <c r="I186">
        <v>42.32</v>
      </c>
      <c r="J186">
        <v>732.14</v>
      </c>
      <c r="K186" t="s">
        <v>26</v>
      </c>
      <c r="L186" t="b">
        <v>1</v>
      </c>
      <c r="M186" s="3" t="s">
        <v>79</v>
      </c>
    </row>
    <row r="187" spans="1:13" ht="17" x14ac:dyDescent="0.2">
      <c r="A187" t="s">
        <v>432</v>
      </c>
      <c r="B187" t="s">
        <v>302</v>
      </c>
      <c r="C187" t="s">
        <v>178</v>
      </c>
      <c r="D187" s="1">
        <v>45475</v>
      </c>
      <c r="E187" s="6" t="s">
        <v>89</v>
      </c>
      <c r="F187" t="s">
        <v>17</v>
      </c>
      <c r="G187" s="3" t="s">
        <v>18</v>
      </c>
      <c r="H187">
        <v>6.6</v>
      </c>
      <c r="I187">
        <v>41.78</v>
      </c>
      <c r="J187">
        <v>275.77</v>
      </c>
      <c r="K187" t="s">
        <v>96</v>
      </c>
      <c r="L187" t="b">
        <v>0</v>
      </c>
    </row>
    <row r="188" spans="1:13" ht="34" x14ac:dyDescent="0.2">
      <c r="A188" t="s">
        <v>433</v>
      </c>
      <c r="B188" t="s">
        <v>434</v>
      </c>
      <c r="C188" t="s">
        <v>211</v>
      </c>
      <c r="D188" s="1">
        <v>44987</v>
      </c>
      <c r="E188" s="6" t="s">
        <v>78</v>
      </c>
      <c r="F188" t="s">
        <v>90</v>
      </c>
      <c r="G188" s="3" t="s">
        <v>91</v>
      </c>
      <c r="H188">
        <v>2.8</v>
      </c>
      <c r="I188">
        <v>30.8</v>
      </c>
      <c r="J188">
        <v>86.24</v>
      </c>
      <c r="K188" t="s">
        <v>32</v>
      </c>
      <c r="L188" t="b">
        <v>0</v>
      </c>
    </row>
    <row r="189" spans="1:13" ht="34" x14ac:dyDescent="0.2">
      <c r="A189" t="s">
        <v>435</v>
      </c>
      <c r="B189" t="s">
        <v>241</v>
      </c>
      <c r="C189" t="s">
        <v>148</v>
      </c>
      <c r="D189" s="1">
        <v>45409</v>
      </c>
      <c r="E189" s="6" t="s">
        <v>23</v>
      </c>
      <c r="F189" t="s">
        <v>54</v>
      </c>
      <c r="G189" s="3" t="s">
        <v>55</v>
      </c>
      <c r="H189">
        <v>5.3</v>
      </c>
      <c r="I189">
        <v>46.94</v>
      </c>
      <c r="J189">
        <v>248.76</v>
      </c>
      <c r="K189" t="s">
        <v>105</v>
      </c>
      <c r="L189" t="b">
        <v>0</v>
      </c>
    </row>
    <row r="190" spans="1:13" ht="17" x14ac:dyDescent="0.2">
      <c r="A190" t="s">
        <v>436</v>
      </c>
      <c r="B190" t="s">
        <v>437</v>
      </c>
      <c r="C190" t="s">
        <v>332</v>
      </c>
      <c r="D190" s="1">
        <v>45401</v>
      </c>
      <c r="E190" s="6" t="s">
        <v>44</v>
      </c>
      <c r="F190" t="s">
        <v>30</v>
      </c>
      <c r="G190" s="3" t="s">
        <v>31</v>
      </c>
      <c r="H190">
        <v>5.6</v>
      </c>
      <c r="I190">
        <v>49.08</v>
      </c>
      <c r="J190">
        <v>274.87</v>
      </c>
      <c r="K190" t="s">
        <v>113</v>
      </c>
      <c r="L190" t="b">
        <v>0</v>
      </c>
    </row>
    <row r="191" spans="1:13" ht="34" x14ac:dyDescent="0.2">
      <c r="A191" t="s">
        <v>438</v>
      </c>
      <c r="B191" t="s">
        <v>107</v>
      </c>
      <c r="C191" t="s">
        <v>194</v>
      </c>
      <c r="D191" s="1">
        <v>45171</v>
      </c>
      <c r="E191" s="6" t="s">
        <v>60</v>
      </c>
      <c r="F191" t="s">
        <v>24</v>
      </c>
      <c r="G191" s="3" t="s">
        <v>25</v>
      </c>
      <c r="H191">
        <v>2.2000000000000002</v>
      </c>
      <c r="I191">
        <v>67.819999999999993</v>
      </c>
      <c r="J191">
        <v>149.19</v>
      </c>
      <c r="K191" t="s">
        <v>92</v>
      </c>
      <c r="L191" t="b">
        <v>0</v>
      </c>
    </row>
    <row r="192" spans="1:13" ht="17" x14ac:dyDescent="0.2">
      <c r="A192" t="s">
        <v>439</v>
      </c>
      <c r="B192" t="s">
        <v>42</v>
      </c>
      <c r="C192" t="s">
        <v>127</v>
      </c>
      <c r="D192" s="1">
        <v>45259</v>
      </c>
      <c r="E192" s="6" t="s">
        <v>23</v>
      </c>
      <c r="F192" t="s">
        <v>17</v>
      </c>
      <c r="G192" s="3" t="s">
        <v>18</v>
      </c>
      <c r="H192">
        <v>2.9</v>
      </c>
      <c r="I192">
        <v>78.59</v>
      </c>
      <c r="J192">
        <v>227.9</v>
      </c>
      <c r="K192" t="s">
        <v>19</v>
      </c>
      <c r="L192" t="b">
        <v>0</v>
      </c>
    </row>
    <row r="193" spans="1:13" ht="34" x14ac:dyDescent="0.2">
      <c r="A193" t="s">
        <v>440</v>
      </c>
      <c r="B193" t="s">
        <v>210</v>
      </c>
      <c r="C193" t="s">
        <v>191</v>
      </c>
      <c r="D193" s="1">
        <v>45074</v>
      </c>
      <c r="E193" s="6" t="s">
        <v>60</v>
      </c>
      <c r="F193" t="s">
        <v>54</v>
      </c>
      <c r="G193" s="3" t="s">
        <v>55</v>
      </c>
      <c r="H193">
        <v>23.8</v>
      </c>
      <c r="I193">
        <v>44.11</v>
      </c>
      <c r="J193">
        <v>1049.82</v>
      </c>
      <c r="K193" t="s">
        <v>96</v>
      </c>
      <c r="L193" t="b">
        <v>1</v>
      </c>
      <c r="M193" s="3" t="s">
        <v>79</v>
      </c>
    </row>
    <row r="194" spans="1:13" ht="34" x14ac:dyDescent="0.2">
      <c r="A194" t="s">
        <v>441</v>
      </c>
      <c r="B194" t="s">
        <v>442</v>
      </c>
      <c r="C194" t="s">
        <v>119</v>
      </c>
      <c r="D194" s="1">
        <v>45052</v>
      </c>
      <c r="E194" s="6" t="s">
        <v>89</v>
      </c>
      <c r="F194" t="s">
        <v>45</v>
      </c>
      <c r="G194" s="3" t="s">
        <v>46</v>
      </c>
      <c r="H194">
        <v>5.6</v>
      </c>
      <c r="I194">
        <v>55.44</v>
      </c>
      <c r="J194">
        <v>310.45999999999998</v>
      </c>
      <c r="K194" t="s">
        <v>56</v>
      </c>
      <c r="L194" t="b">
        <v>0</v>
      </c>
    </row>
    <row r="195" spans="1:13" ht="17" x14ac:dyDescent="0.2">
      <c r="A195" t="s">
        <v>443</v>
      </c>
      <c r="B195" t="s">
        <v>48</v>
      </c>
      <c r="C195" t="s">
        <v>350</v>
      </c>
      <c r="D195" s="1">
        <v>45044</v>
      </c>
      <c r="E195" s="6" t="s">
        <v>44</v>
      </c>
      <c r="F195" t="s">
        <v>17</v>
      </c>
      <c r="G195" s="3" t="s">
        <v>18</v>
      </c>
      <c r="H195">
        <v>6.3</v>
      </c>
      <c r="I195">
        <v>42.99</v>
      </c>
      <c r="J195">
        <v>270.82</v>
      </c>
      <c r="K195" t="s">
        <v>32</v>
      </c>
      <c r="L195" t="b">
        <v>0</v>
      </c>
    </row>
    <row r="196" spans="1:13" ht="34" x14ac:dyDescent="0.2">
      <c r="A196" t="s">
        <v>444</v>
      </c>
      <c r="B196" t="s">
        <v>245</v>
      </c>
      <c r="C196" t="s">
        <v>178</v>
      </c>
      <c r="D196" s="1">
        <v>45482</v>
      </c>
      <c r="E196" s="6" t="s">
        <v>60</v>
      </c>
      <c r="F196" t="s">
        <v>54</v>
      </c>
      <c r="G196" s="3" t="s">
        <v>55</v>
      </c>
      <c r="H196">
        <v>4</v>
      </c>
      <c r="I196">
        <v>31.58</v>
      </c>
      <c r="J196">
        <v>126.31</v>
      </c>
      <c r="K196" t="s">
        <v>32</v>
      </c>
      <c r="L196" t="b">
        <v>0</v>
      </c>
    </row>
    <row r="197" spans="1:13" ht="34" x14ac:dyDescent="0.2">
      <c r="A197" t="s">
        <v>445</v>
      </c>
      <c r="B197" t="s">
        <v>396</v>
      </c>
      <c r="C197" t="s">
        <v>49</v>
      </c>
      <c r="D197" s="1">
        <v>45346</v>
      </c>
      <c r="E197" s="6" t="s">
        <v>16</v>
      </c>
      <c r="F197" t="s">
        <v>45</v>
      </c>
      <c r="G197" s="3" t="s">
        <v>46</v>
      </c>
      <c r="H197">
        <v>6.8</v>
      </c>
      <c r="I197">
        <v>68.52</v>
      </c>
      <c r="J197">
        <v>465.93</v>
      </c>
      <c r="K197" t="s">
        <v>92</v>
      </c>
      <c r="L197" t="b">
        <v>1</v>
      </c>
      <c r="M197" s="3" t="s">
        <v>102</v>
      </c>
    </row>
    <row r="198" spans="1:13" ht="34" x14ac:dyDescent="0.2">
      <c r="A198" t="s">
        <v>446</v>
      </c>
      <c r="B198" t="s">
        <v>447</v>
      </c>
      <c r="C198" t="s">
        <v>175</v>
      </c>
      <c r="D198" s="1">
        <v>45236</v>
      </c>
      <c r="E198" s="6" t="s">
        <v>16</v>
      </c>
      <c r="F198" t="s">
        <v>24</v>
      </c>
      <c r="G198" s="3" t="s">
        <v>25</v>
      </c>
      <c r="H198">
        <v>5.6</v>
      </c>
      <c r="I198">
        <v>40.93</v>
      </c>
      <c r="J198">
        <v>229.22</v>
      </c>
      <c r="K198" t="s">
        <v>19</v>
      </c>
      <c r="L198" t="b">
        <v>0</v>
      </c>
    </row>
    <row r="199" spans="1:13" ht="17" x14ac:dyDescent="0.2">
      <c r="A199" t="s">
        <v>448</v>
      </c>
      <c r="B199" t="s">
        <v>449</v>
      </c>
      <c r="C199" t="s">
        <v>450</v>
      </c>
      <c r="D199" s="1">
        <v>45303</v>
      </c>
      <c r="E199" s="6" t="s">
        <v>23</v>
      </c>
      <c r="F199" t="s">
        <v>30</v>
      </c>
      <c r="G199" s="3" t="s">
        <v>31</v>
      </c>
      <c r="H199">
        <v>6.3</v>
      </c>
      <c r="I199">
        <v>60.01</v>
      </c>
      <c r="J199">
        <v>378.07</v>
      </c>
      <c r="K199" t="s">
        <v>36</v>
      </c>
      <c r="L199" t="b">
        <v>0</v>
      </c>
    </row>
    <row r="200" spans="1:13" ht="34" x14ac:dyDescent="0.2">
      <c r="A200" t="s">
        <v>451</v>
      </c>
      <c r="B200" t="s">
        <v>452</v>
      </c>
      <c r="C200" t="s">
        <v>153</v>
      </c>
      <c r="D200" s="1">
        <v>45329</v>
      </c>
      <c r="E200" s="6" t="s">
        <v>44</v>
      </c>
      <c r="F200" t="s">
        <v>61</v>
      </c>
      <c r="G200" s="3" t="s">
        <v>62</v>
      </c>
      <c r="H200">
        <v>2.9</v>
      </c>
      <c r="I200">
        <v>65.84</v>
      </c>
      <c r="J200">
        <v>190.95</v>
      </c>
      <c r="K200" t="s">
        <v>82</v>
      </c>
      <c r="L200" t="b">
        <v>0</v>
      </c>
    </row>
    <row r="201" spans="1:13" ht="34" x14ac:dyDescent="0.2">
      <c r="A201" t="s">
        <v>453</v>
      </c>
      <c r="B201" t="s">
        <v>454</v>
      </c>
      <c r="C201" t="s">
        <v>124</v>
      </c>
      <c r="D201" s="1">
        <v>45322</v>
      </c>
      <c r="E201" s="6" t="s">
        <v>60</v>
      </c>
      <c r="F201" t="s">
        <v>90</v>
      </c>
      <c r="G201" s="3" t="s">
        <v>91</v>
      </c>
      <c r="H201">
        <v>3.1</v>
      </c>
      <c r="I201">
        <v>51.46</v>
      </c>
      <c r="J201">
        <v>159.53</v>
      </c>
      <c r="K201" t="s">
        <v>26</v>
      </c>
      <c r="L201" t="b">
        <v>0</v>
      </c>
    </row>
    <row r="202" spans="1:13" ht="68" x14ac:dyDescent="0.2">
      <c r="A202" t="s">
        <v>455</v>
      </c>
      <c r="B202" t="s">
        <v>456</v>
      </c>
      <c r="C202" t="s">
        <v>122</v>
      </c>
      <c r="D202" s="1">
        <v>45007</v>
      </c>
      <c r="E202" s="6" t="s">
        <v>89</v>
      </c>
      <c r="F202" t="s">
        <v>50</v>
      </c>
      <c r="G202" s="3" t="s">
        <v>51</v>
      </c>
      <c r="H202">
        <v>4.5</v>
      </c>
      <c r="I202">
        <v>37.229999999999997</v>
      </c>
      <c r="J202">
        <v>167.55</v>
      </c>
      <c r="K202" t="s">
        <v>92</v>
      </c>
      <c r="L202" t="b">
        <v>1</v>
      </c>
      <c r="M202" s="3" t="s">
        <v>102</v>
      </c>
    </row>
    <row r="203" spans="1:13" ht="17" x14ac:dyDescent="0.2">
      <c r="A203" t="s">
        <v>457</v>
      </c>
      <c r="B203" t="s">
        <v>458</v>
      </c>
      <c r="C203" t="s">
        <v>194</v>
      </c>
      <c r="D203" s="1">
        <v>45552</v>
      </c>
      <c r="E203" s="6" t="s">
        <v>44</v>
      </c>
      <c r="F203" t="s">
        <v>17</v>
      </c>
      <c r="G203" s="3" t="s">
        <v>18</v>
      </c>
      <c r="H203">
        <v>7.2</v>
      </c>
      <c r="I203">
        <v>69.150000000000006</v>
      </c>
      <c r="J203">
        <v>497.88</v>
      </c>
      <c r="K203" t="s">
        <v>56</v>
      </c>
      <c r="L203" t="b">
        <v>0</v>
      </c>
    </row>
    <row r="204" spans="1:13" ht="68" x14ac:dyDescent="0.2">
      <c r="A204" t="s">
        <v>459</v>
      </c>
      <c r="B204" t="s">
        <v>460</v>
      </c>
      <c r="C204" t="s">
        <v>130</v>
      </c>
      <c r="D204" s="1">
        <v>38319</v>
      </c>
      <c r="E204" s="6" t="s">
        <v>16</v>
      </c>
      <c r="F204" t="s">
        <v>50</v>
      </c>
      <c r="G204" s="3" t="s">
        <v>51</v>
      </c>
      <c r="H204">
        <v>5.0999999999999996</v>
      </c>
      <c r="I204">
        <v>58.65</v>
      </c>
      <c r="J204">
        <v>299.13</v>
      </c>
      <c r="K204" t="s">
        <v>19</v>
      </c>
      <c r="L204" t="b">
        <v>1</v>
      </c>
      <c r="M204" s="3" t="s">
        <v>99</v>
      </c>
    </row>
    <row r="205" spans="1:13" ht="17" x14ac:dyDescent="0.2">
      <c r="A205" t="s">
        <v>461</v>
      </c>
      <c r="B205" t="s">
        <v>462</v>
      </c>
      <c r="C205" t="s">
        <v>211</v>
      </c>
      <c r="D205" s="1">
        <v>45279</v>
      </c>
      <c r="E205" s="6" t="s">
        <v>23</v>
      </c>
      <c r="F205" t="s">
        <v>17</v>
      </c>
      <c r="G205" s="3" t="s">
        <v>18</v>
      </c>
      <c r="H205">
        <v>5.2</v>
      </c>
      <c r="I205">
        <v>43.83</v>
      </c>
      <c r="J205">
        <v>227.89</v>
      </c>
      <c r="K205" t="s">
        <v>92</v>
      </c>
      <c r="L205" t="b">
        <v>0</v>
      </c>
    </row>
    <row r="206" spans="1:13" ht="17" x14ac:dyDescent="0.2">
      <c r="A206" t="s">
        <v>463</v>
      </c>
      <c r="B206" t="s">
        <v>464</v>
      </c>
      <c r="C206" t="s">
        <v>119</v>
      </c>
      <c r="D206" s="1">
        <v>44968</v>
      </c>
      <c r="E206" s="6" t="s">
        <v>78</v>
      </c>
      <c r="F206" t="s">
        <v>17</v>
      </c>
      <c r="G206" s="3" t="s">
        <v>18</v>
      </c>
      <c r="H206">
        <v>7.5</v>
      </c>
      <c r="I206">
        <v>45.54</v>
      </c>
      <c r="J206">
        <v>341.55</v>
      </c>
      <c r="K206" t="s">
        <v>92</v>
      </c>
      <c r="L206" t="b">
        <v>0</v>
      </c>
    </row>
    <row r="207" spans="1:13" ht="34" x14ac:dyDescent="0.2">
      <c r="A207" t="s">
        <v>465</v>
      </c>
      <c r="B207" t="s">
        <v>466</v>
      </c>
      <c r="C207" t="s">
        <v>365</v>
      </c>
      <c r="D207" s="1">
        <v>45245</v>
      </c>
      <c r="E207" s="6" t="s">
        <v>23</v>
      </c>
      <c r="F207" t="s">
        <v>45</v>
      </c>
      <c r="G207" s="3" t="s">
        <v>46</v>
      </c>
      <c r="H207">
        <v>5.7</v>
      </c>
      <c r="I207">
        <v>36.54</v>
      </c>
      <c r="J207">
        <v>208.25</v>
      </c>
      <c r="K207" t="s">
        <v>113</v>
      </c>
      <c r="L207" t="b">
        <v>0</v>
      </c>
    </row>
    <row r="208" spans="1:13" ht="34" x14ac:dyDescent="0.2">
      <c r="A208" t="s">
        <v>467</v>
      </c>
      <c r="B208" t="s">
        <v>468</v>
      </c>
      <c r="C208" t="s">
        <v>148</v>
      </c>
      <c r="D208" s="1">
        <v>45095</v>
      </c>
      <c r="E208" s="6" t="s">
        <v>78</v>
      </c>
      <c r="F208" t="s">
        <v>45</v>
      </c>
      <c r="G208" s="3" t="s">
        <v>46</v>
      </c>
      <c r="H208">
        <v>5.3</v>
      </c>
      <c r="I208">
        <v>38.49</v>
      </c>
      <c r="J208">
        <v>204.01</v>
      </c>
      <c r="K208" t="s">
        <v>96</v>
      </c>
      <c r="L208" t="b">
        <v>0</v>
      </c>
    </row>
    <row r="209" spans="1:13" ht="34" x14ac:dyDescent="0.2">
      <c r="A209" t="s">
        <v>469</v>
      </c>
      <c r="B209" t="s">
        <v>470</v>
      </c>
      <c r="C209" t="s">
        <v>219</v>
      </c>
      <c r="D209" s="1">
        <v>45093</v>
      </c>
      <c r="E209" s="6" t="s">
        <v>60</v>
      </c>
      <c r="F209" t="s">
        <v>45</v>
      </c>
      <c r="G209" s="3" t="s">
        <v>46</v>
      </c>
      <c r="H209">
        <v>18.8</v>
      </c>
      <c r="I209">
        <v>66.41</v>
      </c>
      <c r="J209">
        <v>1250</v>
      </c>
      <c r="K209" t="s">
        <v>19</v>
      </c>
      <c r="L209" t="b">
        <v>1</v>
      </c>
      <c r="M209" s="3" t="s">
        <v>40</v>
      </c>
    </row>
    <row r="210" spans="1:13" ht="34" x14ac:dyDescent="0.2">
      <c r="A210" t="s">
        <v>471</v>
      </c>
      <c r="B210" t="s">
        <v>472</v>
      </c>
      <c r="C210" t="s">
        <v>370</v>
      </c>
      <c r="D210" s="1">
        <v>44939</v>
      </c>
      <c r="E210" s="6" t="s">
        <v>16</v>
      </c>
      <c r="F210" t="s">
        <v>54</v>
      </c>
      <c r="G210" s="3" t="s">
        <v>55</v>
      </c>
      <c r="H210">
        <v>4.9000000000000004</v>
      </c>
      <c r="I210">
        <v>58.63</v>
      </c>
      <c r="J210">
        <v>287.27999999999997</v>
      </c>
      <c r="K210" t="s">
        <v>92</v>
      </c>
      <c r="L210" t="b">
        <v>0</v>
      </c>
    </row>
    <row r="211" spans="1:13" ht="34" x14ac:dyDescent="0.2">
      <c r="A211" t="s">
        <v>473</v>
      </c>
      <c r="B211" t="s">
        <v>140</v>
      </c>
      <c r="C211" t="s">
        <v>183</v>
      </c>
      <c r="D211" s="1">
        <v>45633</v>
      </c>
      <c r="E211" s="6" t="s">
        <v>89</v>
      </c>
      <c r="F211" t="s">
        <v>45</v>
      </c>
      <c r="G211" s="3" t="s">
        <v>46</v>
      </c>
      <c r="H211">
        <v>3.7</v>
      </c>
      <c r="I211">
        <v>59.41</v>
      </c>
      <c r="J211">
        <v>219.81</v>
      </c>
      <c r="K211" t="s">
        <v>36</v>
      </c>
      <c r="L211" t="b">
        <v>0</v>
      </c>
    </row>
    <row r="212" spans="1:13" ht="34" x14ac:dyDescent="0.2">
      <c r="A212" t="s">
        <v>474</v>
      </c>
      <c r="B212" t="s">
        <v>302</v>
      </c>
      <c r="C212" t="s">
        <v>207</v>
      </c>
      <c r="D212" s="1">
        <v>45480</v>
      </c>
      <c r="E212" s="6" t="s">
        <v>78</v>
      </c>
      <c r="F212" t="s">
        <v>61</v>
      </c>
      <c r="G212" s="3" t="s">
        <v>62</v>
      </c>
      <c r="H212">
        <v>7.4</v>
      </c>
      <c r="I212">
        <v>48.67</v>
      </c>
      <c r="J212">
        <v>360.17</v>
      </c>
      <c r="K212" t="s">
        <v>96</v>
      </c>
      <c r="L212" t="b">
        <v>0</v>
      </c>
    </row>
    <row r="213" spans="1:13" ht="68" x14ac:dyDescent="0.2">
      <c r="A213" t="s">
        <v>475</v>
      </c>
      <c r="B213" t="s">
        <v>476</v>
      </c>
      <c r="C213" t="s">
        <v>145</v>
      </c>
      <c r="D213" s="1">
        <v>45246</v>
      </c>
      <c r="E213" s="6" t="s">
        <v>16</v>
      </c>
      <c r="F213" t="s">
        <v>50</v>
      </c>
      <c r="G213" s="3" t="s">
        <v>51</v>
      </c>
      <c r="H213">
        <v>3.7</v>
      </c>
      <c r="I213">
        <v>42.26</v>
      </c>
      <c r="J213">
        <v>156.35</v>
      </c>
      <c r="K213" t="s">
        <v>105</v>
      </c>
      <c r="L213" t="b">
        <v>0</v>
      </c>
    </row>
    <row r="214" spans="1:13" ht="34" x14ac:dyDescent="0.2">
      <c r="A214" t="s">
        <v>477</v>
      </c>
      <c r="B214" t="s">
        <v>325</v>
      </c>
      <c r="C214" t="s">
        <v>148</v>
      </c>
      <c r="D214" s="1">
        <v>45328</v>
      </c>
      <c r="E214" s="6" t="s">
        <v>78</v>
      </c>
      <c r="F214" t="s">
        <v>90</v>
      </c>
      <c r="G214" s="3" t="s">
        <v>91</v>
      </c>
      <c r="H214">
        <v>4.0999999999999996</v>
      </c>
      <c r="I214">
        <v>51.54</v>
      </c>
      <c r="J214">
        <v>211.32</v>
      </c>
      <c r="K214" t="s">
        <v>36</v>
      </c>
      <c r="L214" t="b">
        <v>0</v>
      </c>
    </row>
    <row r="215" spans="1:13" ht="17" x14ac:dyDescent="0.2">
      <c r="A215" t="s">
        <v>478</v>
      </c>
      <c r="B215" t="s">
        <v>236</v>
      </c>
      <c r="C215" t="s">
        <v>39</v>
      </c>
      <c r="D215" s="1">
        <v>45559</v>
      </c>
      <c r="E215" s="6" t="s">
        <v>78</v>
      </c>
      <c r="F215" t="s">
        <v>17</v>
      </c>
      <c r="G215" s="3" t="s">
        <v>18</v>
      </c>
      <c r="H215">
        <v>3.3</v>
      </c>
      <c r="I215">
        <v>74.680000000000007</v>
      </c>
      <c r="J215">
        <v>246.43</v>
      </c>
      <c r="K215" t="s">
        <v>19</v>
      </c>
      <c r="L215" t="b">
        <v>0</v>
      </c>
    </row>
    <row r="216" spans="1:13" ht="34" x14ac:dyDescent="0.2">
      <c r="A216" t="s">
        <v>479</v>
      </c>
      <c r="B216" t="s">
        <v>317</v>
      </c>
      <c r="C216" t="s">
        <v>256</v>
      </c>
      <c r="D216" s="1">
        <v>45455</v>
      </c>
      <c r="E216" s="6" t="s">
        <v>89</v>
      </c>
      <c r="F216" t="s">
        <v>45</v>
      </c>
      <c r="G216" s="3" t="s">
        <v>46</v>
      </c>
      <c r="H216">
        <v>2.8</v>
      </c>
      <c r="I216">
        <v>61.94</v>
      </c>
      <c r="J216">
        <v>173.43</v>
      </c>
      <c r="K216" t="s">
        <v>113</v>
      </c>
      <c r="L216" t="b">
        <v>0</v>
      </c>
    </row>
    <row r="217" spans="1:13" ht="34" x14ac:dyDescent="0.2">
      <c r="A217" t="s">
        <v>480</v>
      </c>
      <c r="B217" t="s">
        <v>81</v>
      </c>
      <c r="C217" t="s">
        <v>178</v>
      </c>
      <c r="D217" s="1">
        <v>45534</v>
      </c>
      <c r="E217" s="6" t="s">
        <v>89</v>
      </c>
      <c r="F217" t="s">
        <v>30</v>
      </c>
      <c r="G217" s="3" t="s">
        <v>31</v>
      </c>
      <c r="H217">
        <v>3.5</v>
      </c>
      <c r="I217">
        <v>65.19</v>
      </c>
      <c r="J217">
        <v>228.17</v>
      </c>
      <c r="K217" t="s">
        <v>82</v>
      </c>
      <c r="L217" t="b">
        <v>1</v>
      </c>
      <c r="M217" s="3" t="s">
        <v>102</v>
      </c>
    </row>
    <row r="218" spans="1:13" ht="17" x14ac:dyDescent="0.2">
      <c r="A218" t="s">
        <v>481</v>
      </c>
      <c r="B218" t="s">
        <v>482</v>
      </c>
      <c r="C218" t="s">
        <v>39</v>
      </c>
      <c r="D218" s="1">
        <v>45591</v>
      </c>
      <c r="E218" s="6" t="s">
        <v>60</v>
      </c>
      <c r="F218" t="s">
        <v>30</v>
      </c>
      <c r="G218" s="3" t="s">
        <v>31</v>
      </c>
      <c r="H218">
        <v>5.8</v>
      </c>
      <c r="I218">
        <v>28.15</v>
      </c>
      <c r="J218">
        <v>163.27000000000001</v>
      </c>
      <c r="K218" t="s">
        <v>92</v>
      </c>
      <c r="L218" t="b">
        <v>0</v>
      </c>
    </row>
    <row r="219" spans="1:13" ht="34" x14ac:dyDescent="0.2">
      <c r="A219" t="s">
        <v>483</v>
      </c>
      <c r="B219" t="s">
        <v>484</v>
      </c>
      <c r="C219" t="s">
        <v>391</v>
      </c>
      <c r="D219" s="1">
        <v>45275</v>
      </c>
      <c r="E219" s="6" t="s">
        <v>23</v>
      </c>
      <c r="F219" t="s">
        <v>54</v>
      </c>
      <c r="G219" s="3" t="s">
        <v>55</v>
      </c>
      <c r="H219">
        <v>6.3</v>
      </c>
      <c r="I219">
        <v>31.03</v>
      </c>
      <c r="J219">
        <v>195.51</v>
      </c>
      <c r="K219" t="s">
        <v>26</v>
      </c>
      <c r="L219" t="b">
        <v>0</v>
      </c>
    </row>
    <row r="220" spans="1:13" ht="34" x14ac:dyDescent="0.2">
      <c r="A220" t="s">
        <v>485</v>
      </c>
      <c r="B220" t="s">
        <v>486</v>
      </c>
      <c r="C220" t="s">
        <v>268</v>
      </c>
      <c r="D220" s="1">
        <v>44927</v>
      </c>
      <c r="E220" s="6" t="s">
        <v>23</v>
      </c>
      <c r="F220" t="s">
        <v>24</v>
      </c>
      <c r="G220" s="3" t="s">
        <v>25</v>
      </c>
      <c r="H220">
        <v>7.8</v>
      </c>
      <c r="I220">
        <v>83.67</v>
      </c>
      <c r="J220">
        <v>652.66</v>
      </c>
      <c r="K220" t="s">
        <v>56</v>
      </c>
      <c r="L220" t="b">
        <v>0</v>
      </c>
    </row>
    <row r="221" spans="1:13" ht="34" x14ac:dyDescent="0.2">
      <c r="A221" t="s">
        <v>487</v>
      </c>
      <c r="B221" t="s">
        <v>488</v>
      </c>
      <c r="C221" t="s">
        <v>119</v>
      </c>
      <c r="D221" s="1">
        <v>45625</v>
      </c>
      <c r="E221" s="6" t="s">
        <v>60</v>
      </c>
      <c r="F221" t="s">
        <v>61</v>
      </c>
      <c r="G221" s="3" t="s">
        <v>62</v>
      </c>
      <c r="H221">
        <v>12.8</v>
      </c>
      <c r="I221">
        <v>77.84</v>
      </c>
      <c r="J221">
        <v>1000</v>
      </c>
      <c r="K221" t="s">
        <v>56</v>
      </c>
      <c r="L221" t="b">
        <v>1</v>
      </c>
      <c r="M221" s="3" t="s">
        <v>40</v>
      </c>
    </row>
    <row r="222" spans="1:13" ht="17" x14ac:dyDescent="0.2">
      <c r="A222" t="s">
        <v>489</v>
      </c>
      <c r="B222" t="s">
        <v>490</v>
      </c>
      <c r="C222" t="s">
        <v>256</v>
      </c>
      <c r="D222" s="1">
        <v>45001</v>
      </c>
      <c r="E222" s="6" t="s">
        <v>78</v>
      </c>
      <c r="F222" t="s">
        <v>17</v>
      </c>
      <c r="G222" s="3" t="s">
        <v>18</v>
      </c>
      <c r="H222">
        <v>5.9</v>
      </c>
      <c r="I222">
        <v>70.349999999999994</v>
      </c>
      <c r="J222">
        <v>415.09</v>
      </c>
      <c r="K222" t="s">
        <v>92</v>
      </c>
      <c r="L222" t="b">
        <v>0</v>
      </c>
    </row>
    <row r="223" spans="1:13" ht="34" x14ac:dyDescent="0.2">
      <c r="A223" t="s">
        <v>491</v>
      </c>
      <c r="B223" t="s">
        <v>188</v>
      </c>
      <c r="C223" t="s">
        <v>71</v>
      </c>
      <c r="D223" s="1">
        <v>45277</v>
      </c>
      <c r="E223" s="6" t="s">
        <v>44</v>
      </c>
      <c r="F223" t="s">
        <v>54</v>
      </c>
      <c r="G223" s="3" t="s">
        <v>55</v>
      </c>
      <c r="H223">
        <v>3.7</v>
      </c>
      <c r="I223">
        <v>28.55</v>
      </c>
      <c r="J223">
        <v>105.63</v>
      </c>
      <c r="K223" t="s">
        <v>36</v>
      </c>
      <c r="L223" t="b">
        <v>0</v>
      </c>
    </row>
    <row r="224" spans="1:13" ht="17" x14ac:dyDescent="0.2">
      <c r="A224" t="s">
        <v>492</v>
      </c>
      <c r="B224" t="s">
        <v>493</v>
      </c>
      <c r="C224" t="s">
        <v>110</v>
      </c>
      <c r="D224" s="1">
        <v>45104</v>
      </c>
      <c r="E224" s="6" t="s">
        <v>44</v>
      </c>
      <c r="F224" t="s">
        <v>30</v>
      </c>
      <c r="G224" s="3" t="s">
        <v>31</v>
      </c>
      <c r="H224">
        <v>5.2</v>
      </c>
      <c r="I224">
        <v>68.39</v>
      </c>
      <c r="J224">
        <v>355.61</v>
      </c>
      <c r="K224" t="s">
        <v>19</v>
      </c>
      <c r="L224" t="b">
        <v>0</v>
      </c>
    </row>
    <row r="225" spans="1:13" ht="68" x14ac:dyDescent="0.2">
      <c r="A225" t="s">
        <v>494</v>
      </c>
      <c r="B225" t="s">
        <v>278</v>
      </c>
      <c r="C225" t="s">
        <v>127</v>
      </c>
      <c r="D225" s="1">
        <v>45232</v>
      </c>
      <c r="E225" s="6" t="s">
        <v>44</v>
      </c>
      <c r="F225" t="s">
        <v>50</v>
      </c>
      <c r="G225" s="3" t="s">
        <v>51</v>
      </c>
      <c r="H225">
        <v>4.5</v>
      </c>
      <c r="I225">
        <v>75.260000000000005</v>
      </c>
      <c r="J225">
        <v>338.65</v>
      </c>
      <c r="K225" t="s">
        <v>32</v>
      </c>
      <c r="L225" t="b">
        <v>0</v>
      </c>
    </row>
    <row r="226" spans="1:13" ht="34" x14ac:dyDescent="0.2">
      <c r="A226" t="s">
        <v>495</v>
      </c>
      <c r="B226" t="s">
        <v>331</v>
      </c>
      <c r="C226" t="s">
        <v>274</v>
      </c>
      <c r="D226" s="1">
        <v>45365</v>
      </c>
      <c r="E226" s="6" t="s">
        <v>16</v>
      </c>
      <c r="F226" t="s">
        <v>61</v>
      </c>
      <c r="G226" s="3" t="s">
        <v>62</v>
      </c>
      <c r="H226">
        <v>6.7</v>
      </c>
      <c r="I226">
        <v>36.18</v>
      </c>
      <c r="J226">
        <v>242.4</v>
      </c>
      <c r="K226" t="s">
        <v>19</v>
      </c>
      <c r="L226" t="b">
        <v>0</v>
      </c>
    </row>
    <row r="227" spans="1:13" ht="34" x14ac:dyDescent="0.2">
      <c r="A227" t="s">
        <v>496</v>
      </c>
      <c r="B227" t="s">
        <v>497</v>
      </c>
      <c r="C227" t="s">
        <v>166</v>
      </c>
      <c r="D227" s="1">
        <v>45389</v>
      </c>
      <c r="E227" s="6" t="s">
        <v>89</v>
      </c>
      <c r="F227" t="s">
        <v>45</v>
      </c>
      <c r="G227" s="3" t="s">
        <v>46</v>
      </c>
      <c r="H227">
        <v>7.3</v>
      </c>
      <c r="I227">
        <v>25.56</v>
      </c>
      <c r="J227">
        <v>186.56</v>
      </c>
      <c r="K227" t="s">
        <v>26</v>
      </c>
      <c r="L227" t="b">
        <v>1</v>
      </c>
      <c r="M227" s="3" t="s">
        <v>102</v>
      </c>
    </row>
    <row r="228" spans="1:13" ht="34" x14ac:dyDescent="0.2">
      <c r="A228" t="s">
        <v>498</v>
      </c>
      <c r="B228" t="s">
        <v>406</v>
      </c>
      <c r="C228" t="s">
        <v>499</v>
      </c>
      <c r="D228" s="1">
        <v>45480</v>
      </c>
      <c r="E228" s="6" t="s">
        <v>60</v>
      </c>
      <c r="F228" t="s">
        <v>90</v>
      </c>
      <c r="G228" s="3" t="s">
        <v>91</v>
      </c>
      <c r="H228">
        <v>7.6</v>
      </c>
      <c r="I228">
        <v>45.1</v>
      </c>
      <c r="J228">
        <v>342.78</v>
      </c>
      <c r="K228" t="s">
        <v>82</v>
      </c>
      <c r="L228" t="b">
        <v>0</v>
      </c>
    </row>
    <row r="229" spans="1:13" ht="17" x14ac:dyDescent="0.2">
      <c r="A229" t="s">
        <v>500</v>
      </c>
      <c r="B229" t="s">
        <v>94</v>
      </c>
      <c r="C229" t="s">
        <v>43</v>
      </c>
      <c r="D229" s="1">
        <v>45452</v>
      </c>
      <c r="E229" s="6" t="s">
        <v>89</v>
      </c>
      <c r="F229" t="s">
        <v>17</v>
      </c>
      <c r="G229" s="3" t="s">
        <v>18</v>
      </c>
      <c r="H229">
        <v>7.3</v>
      </c>
      <c r="I229">
        <v>33.049999999999997</v>
      </c>
      <c r="J229">
        <v>241.28</v>
      </c>
      <c r="K229" t="s">
        <v>96</v>
      </c>
      <c r="L229" t="b">
        <v>0</v>
      </c>
    </row>
    <row r="230" spans="1:13" ht="17" x14ac:dyDescent="0.2">
      <c r="A230" t="s">
        <v>501</v>
      </c>
      <c r="B230" t="s">
        <v>502</v>
      </c>
      <c r="C230" t="s">
        <v>88</v>
      </c>
      <c r="D230" s="1">
        <v>45273</v>
      </c>
      <c r="E230" s="6" t="s">
        <v>78</v>
      </c>
      <c r="F230" t="s">
        <v>17</v>
      </c>
      <c r="G230" s="3" t="s">
        <v>18</v>
      </c>
      <c r="H230">
        <v>3.6</v>
      </c>
      <c r="I230">
        <v>73.53</v>
      </c>
      <c r="J230">
        <v>264.7</v>
      </c>
      <c r="K230" t="s">
        <v>96</v>
      </c>
      <c r="L230" t="b">
        <v>0</v>
      </c>
    </row>
    <row r="231" spans="1:13" ht="68" x14ac:dyDescent="0.2">
      <c r="A231" t="s">
        <v>503</v>
      </c>
      <c r="B231" t="s">
        <v>504</v>
      </c>
      <c r="C231" t="s">
        <v>391</v>
      </c>
      <c r="D231" s="1">
        <v>45390</v>
      </c>
      <c r="E231" s="6" t="s">
        <v>16</v>
      </c>
      <c r="F231" t="s">
        <v>50</v>
      </c>
      <c r="G231" s="3" t="s">
        <v>51</v>
      </c>
      <c r="H231">
        <v>6.4</v>
      </c>
      <c r="I231">
        <v>63.9</v>
      </c>
      <c r="J231">
        <v>408.94</v>
      </c>
      <c r="K231" t="s">
        <v>105</v>
      </c>
      <c r="L231" t="b">
        <v>0</v>
      </c>
    </row>
    <row r="232" spans="1:13" ht="68" x14ac:dyDescent="0.2">
      <c r="A232" t="s">
        <v>505</v>
      </c>
      <c r="B232" t="s">
        <v>470</v>
      </c>
      <c r="C232" t="s">
        <v>323</v>
      </c>
      <c r="D232" s="1">
        <v>45424</v>
      </c>
      <c r="E232" s="6" t="s">
        <v>78</v>
      </c>
      <c r="F232" t="s">
        <v>50</v>
      </c>
      <c r="G232" s="3" t="s">
        <v>51</v>
      </c>
      <c r="H232">
        <v>2.1</v>
      </c>
      <c r="I232">
        <v>45.23</v>
      </c>
      <c r="J232">
        <v>94.98</v>
      </c>
      <c r="K232" t="s">
        <v>19</v>
      </c>
      <c r="L232" t="b">
        <v>0</v>
      </c>
    </row>
    <row r="233" spans="1:13" ht="34" x14ac:dyDescent="0.2">
      <c r="A233" t="s">
        <v>506</v>
      </c>
      <c r="B233" t="s">
        <v>252</v>
      </c>
      <c r="C233" t="s">
        <v>178</v>
      </c>
      <c r="D233" s="1">
        <v>45646</v>
      </c>
      <c r="E233" s="6" t="s">
        <v>60</v>
      </c>
      <c r="F233" t="s">
        <v>30</v>
      </c>
      <c r="G233" s="3" t="s">
        <v>31</v>
      </c>
      <c r="H233">
        <v>6.5</v>
      </c>
      <c r="I233">
        <v>76.37</v>
      </c>
      <c r="J233">
        <v>500</v>
      </c>
      <c r="K233" t="s">
        <v>113</v>
      </c>
      <c r="L233" t="b">
        <v>1</v>
      </c>
      <c r="M233" s="3" t="s">
        <v>40</v>
      </c>
    </row>
    <row r="234" spans="1:13" ht="34" x14ac:dyDescent="0.2">
      <c r="A234" t="s">
        <v>507</v>
      </c>
      <c r="B234" t="s">
        <v>470</v>
      </c>
      <c r="C234" t="s">
        <v>116</v>
      </c>
      <c r="D234" s="1">
        <v>45564</v>
      </c>
      <c r="E234" s="6" t="s">
        <v>16</v>
      </c>
      <c r="F234" t="s">
        <v>61</v>
      </c>
      <c r="G234" s="3" t="s">
        <v>62</v>
      </c>
      <c r="H234">
        <v>5.0999999999999996</v>
      </c>
      <c r="I234">
        <v>30.2</v>
      </c>
      <c r="J234">
        <v>154.04</v>
      </c>
      <c r="K234" t="s">
        <v>19</v>
      </c>
      <c r="L234" t="b">
        <v>0</v>
      </c>
    </row>
    <row r="235" spans="1:13" ht="34" x14ac:dyDescent="0.2">
      <c r="A235" t="s">
        <v>508</v>
      </c>
      <c r="B235" t="s">
        <v>502</v>
      </c>
      <c r="C235" t="s">
        <v>266</v>
      </c>
      <c r="D235" s="1">
        <v>45106</v>
      </c>
      <c r="E235" s="6" t="s">
        <v>78</v>
      </c>
      <c r="F235" t="s">
        <v>90</v>
      </c>
      <c r="G235" s="3" t="s">
        <v>91</v>
      </c>
      <c r="H235">
        <v>3.1</v>
      </c>
      <c r="I235">
        <v>33.44</v>
      </c>
      <c r="J235">
        <v>103.65</v>
      </c>
      <c r="K235" t="s">
        <v>96</v>
      </c>
      <c r="L235" t="b">
        <v>0</v>
      </c>
    </row>
    <row r="236" spans="1:13" ht="17" x14ac:dyDescent="0.2">
      <c r="A236" t="s">
        <v>509</v>
      </c>
      <c r="B236" t="s">
        <v>398</v>
      </c>
      <c r="C236" t="s">
        <v>365</v>
      </c>
      <c r="D236" s="1">
        <v>45134</v>
      </c>
      <c r="E236" s="6" t="s">
        <v>60</v>
      </c>
      <c r="F236" t="s">
        <v>30</v>
      </c>
      <c r="G236" s="3" t="s">
        <v>31</v>
      </c>
      <c r="H236">
        <v>2</v>
      </c>
      <c r="I236">
        <v>48.01</v>
      </c>
      <c r="J236">
        <v>96.03</v>
      </c>
      <c r="K236" t="s">
        <v>92</v>
      </c>
      <c r="L236" t="b">
        <v>0</v>
      </c>
    </row>
    <row r="237" spans="1:13" ht="34" x14ac:dyDescent="0.2">
      <c r="A237" t="s">
        <v>510</v>
      </c>
      <c r="B237" t="s">
        <v>470</v>
      </c>
      <c r="C237" t="s">
        <v>391</v>
      </c>
      <c r="D237" s="1">
        <v>45148</v>
      </c>
      <c r="E237" s="6" t="s">
        <v>16</v>
      </c>
      <c r="F237" t="s">
        <v>45</v>
      </c>
      <c r="G237" s="3" t="s">
        <v>46</v>
      </c>
      <c r="H237">
        <v>7.7</v>
      </c>
      <c r="I237">
        <v>43.12</v>
      </c>
      <c r="J237">
        <v>332</v>
      </c>
      <c r="K237" t="s">
        <v>19</v>
      </c>
      <c r="L237" t="b">
        <v>0</v>
      </c>
    </row>
    <row r="238" spans="1:13" ht="34" x14ac:dyDescent="0.2">
      <c r="A238" t="s">
        <v>511</v>
      </c>
      <c r="B238" t="s">
        <v>188</v>
      </c>
      <c r="C238" t="s">
        <v>95</v>
      </c>
      <c r="D238" s="1">
        <v>45286</v>
      </c>
      <c r="E238" s="6" t="s">
        <v>23</v>
      </c>
      <c r="F238" t="s">
        <v>24</v>
      </c>
      <c r="G238" s="3" t="s">
        <v>25</v>
      </c>
      <c r="H238">
        <v>3.6</v>
      </c>
      <c r="I238">
        <v>46.57</v>
      </c>
      <c r="J238">
        <v>167.66</v>
      </c>
      <c r="K238" t="s">
        <v>36</v>
      </c>
      <c r="L238" t="b">
        <v>0</v>
      </c>
    </row>
    <row r="239" spans="1:13" ht="34" x14ac:dyDescent="0.2">
      <c r="A239" t="s">
        <v>512</v>
      </c>
      <c r="B239" t="s">
        <v>417</v>
      </c>
      <c r="C239" t="s">
        <v>119</v>
      </c>
      <c r="D239" s="1">
        <v>45306</v>
      </c>
      <c r="E239" s="6" t="s">
        <v>23</v>
      </c>
      <c r="F239" t="s">
        <v>24</v>
      </c>
      <c r="G239" s="3" t="s">
        <v>25</v>
      </c>
      <c r="H239">
        <v>6</v>
      </c>
      <c r="I239">
        <v>52.92</v>
      </c>
      <c r="J239">
        <v>317.54000000000002</v>
      </c>
      <c r="K239" t="s">
        <v>56</v>
      </c>
      <c r="L239" t="b">
        <v>0</v>
      </c>
    </row>
    <row r="240" spans="1:13" ht="34" x14ac:dyDescent="0.2">
      <c r="A240" t="s">
        <v>513</v>
      </c>
      <c r="B240" t="s">
        <v>14</v>
      </c>
      <c r="C240" t="s">
        <v>280</v>
      </c>
      <c r="D240" s="1">
        <v>45558</v>
      </c>
      <c r="E240" s="6" t="s">
        <v>16</v>
      </c>
      <c r="F240" t="s">
        <v>61</v>
      </c>
      <c r="G240" s="3" t="s">
        <v>62</v>
      </c>
      <c r="H240">
        <v>6.1</v>
      </c>
      <c r="I240">
        <v>80.39</v>
      </c>
      <c r="J240">
        <v>490.36</v>
      </c>
      <c r="K240" t="s">
        <v>19</v>
      </c>
      <c r="L240" t="b">
        <v>0</v>
      </c>
    </row>
    <row r="241" spans="1:13" ht="34" x14ac:dyDescent="0.2">
      <c r="A241" t="s">
        <v>514</v>
      </c>
      <c r="B241" t="s">
        <v>515</v>
      </c>
      <c r="C241" t="s">
        <v>65</v>
      </c>
      <c r="D241" s="1">
        <v>45453</v>
      </c>
      <c r="E241" s="6" t="s">
        <v>78</v>
      </c>
      <c r="F241" t="s">
        <v>45</v>
      </c>
      <c r="G241" s="3" t="s">
        <v>46</v>
      </c>
      <c r="H241">
        <v>6.1</v>
      </c>
      <c r="I241">
        <v>63.32</v>
      </c>
      <c r="J241">
        <v>386.27</v>
      </c>
      <c r="K241" t="s">
        <v>105</v>
      </c>
      <c r="L241" t="b">
        <v>0</v>
      </c>
    </row>
    <row r="242" spans="1:13" ht="34" x14ac:dyDescent="0.2">
      <c r="A242" t="s">
        <v>516</v>
      </c>
      <c r="B242" t="s">
        <v>517</v>
      </c>
      <c r="C242" t="s">
        <v>211</v>
      </c>
      <c r="D242" s="1">
        <v>45656</v>
      </c>
      <c r="E242" s="6" t="s">
        <v>23</v>
      </c>
      <c r="F242" t="s">
        <v>54</v>
      </c>
      <c r="G242" s="3" t="s">
        <v>55</v>
      </c>
      <c r="H242">
        <v>5.7</v>
      </c>
      <c r="I242">
        <v>38.15</v>
      </c>
      <c r="J242">
        <v>217.44</v>
      </c>
      <c r="K242" t="s">
        <v>82</v>
      </c>
      <c r="L242" t="b">
        <v>0</v>
      </c>
    </row>
    <row r="243" spans="1:13" ht="34" x14ac:dyDescent="0.2">
      <c r="A243" t="s">
        <v>518</v>
      </c>
      <c r="B243" t="s">
        <v>519</v>
      </c>
      <c r="C243" t="s">
        <v>178</v>
      </c>
      <c r="D243" s="1">
        <v>45428</v>
      </c>
      <c r="E243" s="6" t="s">
        <v>89</v>
      </c>
      <c r="F243" t="s">
        <v>17</v>
      </c>
      <c r="G243" s="3" t="s">
        <v>18</v>
      </c>
      <c r="H243">
        <v>7.2</v>
      </c>
      <c r="I243">
        <v>69.86</v>
      </c>
      <c r="J243">
        <v>500</v>
      </c>
      <c r="K243" t="s">
        <v>19</v>
      </c>
      <c r="L243" t="b">
        <v>1</v>
      </c>
      <c r="M243" s="3" t="s">
        <v>40</v>
      </c>
    </row>
    <row r="244" spans="1:13" ht="34" x14ac:dyDescent="0.2">
      <c r="A244" t="s">
        <v>520</v>
      </c>
      <c r="B244" t="s">
        <v>521</v>
      </c>
      <c r="C244" t="s">
        <v>119</v>
      </c>
      <c r="D244" s="1">
        <v>45123</v>
      </c>
      <c r="E244" s="6" t="s">
        <v>60</v>
      </c>
      <c r="F244" t="s">
        <v>54</v>
      </c>
      <c r="G244" s="3" t="s">
        <v>55</v>
      </c>
      <c r="H244">
        <v>4.5</v>
      </c>
      <c r="I244">
        <v>57.95</v>
      </c>
      <c r="J244">
        <v>260.79000000000002</v>
      </c>
      <c r="K244" t="s">
        <v>36</v>
      </c>
      <c r="L244" t="b">
        <v>0</v>
      </c>
    </row>
    <row r="245" spans="1:13" ht="17" x14ac:dyDescent="0.2">
      <c r="A245" t="s">
        <v>522</v>
      </c>
      <c r="B245" t="s">
        <v>523</v>
      </c>
      <c r="C245" t="s">
        <v>122</v>
      </c>
      <c r="D245" s="1">
        <v>45501</v>
      </c>
      <c r="E245" s="6" t="s">
        <v>89</v>
      </c>
      <c r="F245" t="s">
        <v>30</v>
      </c>
      <c r="G245" s="3" t="s">
        <v>31</v>
      </c>
      <c r="H245">
        <v>6.6</v>
      </c>
      <c r="I245">
        <v>65.819999999999993</v>
      </c>
      <c r="J245">
        <v>434.42</v>
      </c>
      <c r="K245" t="s">
        <v>92</v>
      </c>
      <c r="L245" t="b">
        <v>0</v>
      </c>
    </row>
    <row r="246" spans="1:13" ht="34" x14ac:dyDescent="0.2">
      <c r="A246" t="s">
        <v>524</v>
      </c>
      <c r="B246" t="s">
        <v>525</v>
      </c>
      <c r="C246" t="s">
        <v>43</v>
      </c>
      <c r="D246" s="1">
        <v>45639</v>
      </c>
      <c r="E246" s="6" t="s">
        <v>78</v>
      </c>
      <c r="F246" t="s">
        <v>90</v>
      </c>
      <c r="G246" s="3" t="s">
        <v>91</v>
      </c>
      <c r="H246">
        <v>5.2</v>
      </c>
      <c r="I246">
        <v>56.69</v>
      </c>
      <c r="J246">
        <v>294.79000000000002</v>
      </c>
      <c r="K246" t="s">
        <v>32</v>
      </c>
      <c r="L246" t="b">
        <v>0</v>
      </c>
    </row>
    <row r="247" spans="1:13" ht="34" x14ac:dyDescent="0.2">
      <c r="A247" t="s">
        <v>526</v>
      </c>
      <c r="B247" t="s">
        <v>527</v>
      </c>
      <c r="C247" t="s">
        <v>68</v>
      </c>
      <c r="D247" s="1">
        <v>45006</v>
      </c>
      <c r="E247" s="6" t="s">
        <v>89</v>
      </c>
      <c r="F247" t="s">
        <v>90</v>
      </c>
      <c r="G247" s="3" t="s">
        <v>91</v>
      </c>
      <c r="H247">
        <v>7.5</v>
      </c>
      <c r="I247">
        <v>31.73</v>
      </c>
      <c r="J247">
        <v>237.99</v>
      </c>
      <c r="K247" t="s">
        <v>82</v>
      </c>
      <c r="L247" t="b">
        <v>0</v>
      </c>
    </row>
    <row r="248" spans="1:13" ht="17" x14ac:dyDescent="0.2">
      <c r="A248" t="s">
        <v>528</v>
      </c>
      <c r="B248" t="s">
        <v>529</v>
      </c>
      <c r="C248" t="s">
        <v>380</v>
      </c>
      <c r="D248" s="1">
        <v>45207</v>
      </c>
      <c r="E248" s="6" t="s">
        <v>78</v>
      </c>
      <c r="F248" t="s">
        <v>30</v>
      </c>
      <c r="G248" s="3" t="s">
        <v>31</v>
      </c>
      <c r="H248">
        <v>5.4</v>
      </c>
      <c r="I248">
        <v>33.99</v>
      </c>
      <c r="J248">
        <v>183.55</v>
      </c>
      <c r="K248" t="s">
        <v>92</v>
      </c>
      <c r="L248" t="b">
        <v>0</v>
      </c>
    </row>
    <row r="249" spans="1:13" ht="17" x14ac:dyDescent="0.2">
      <c r="A249" t="s">
        <v>530</v>
      </c>
      <c r="B249" t="s">
        <v>531</v>
      </c>
      <c r="C249" t="s">
        <v>71</v>
      </c>
      <c r="D249" s="1">
        <v>44936</v>
      </c>
      <c r="E249" s="6" t="s">
        <v>89</v>
      </c>
      <c r="F249" t="s">
        <v>17</v>
      </c>
      <c r="G249" s="3" t="s">
        <v>18</v>
      </c>
      <c r="H249">
        <v>2.7</v>
      </c>
      <c r="I249">
        <v>37.32</v>
      </c>
      <c r="J249">
        <v>100.78</v>
      </c>
      <c r="K249" t="s">
        <v>113</v>
      </c>
      <c r="L249" t="b">
        <v>0</v>
      </c>
    </row>
    <row r="250" spans="1:13" ht="17" x14ac:dyDescent="0.2">
      <c r="A250" t="s">
        <v>532</v>
      </c>
      <c r="B250" t="s">
        <v>140</v>
      </c>
      <c r="C250" t="s">
        <v>191</v>
      </c>
      <c r="D250" s="1">
        <v>45537</v>
      </c>
      <c r="E250" s="6" t="s">
        <v>44</v>
      </c>
      <c r="F250" t="s">
        <v>17</v>
      </c>
      <c r="G250" s="3" t="s">
        <v>18</v>
      </c>
      <c r="H250">
        <v>2.5</v>
      </c>
      <c r="I250">
        <v>55.62</v>
      </c>
      <c r="J250">
        <v>139.06</v>
      </c>
      <c r="K250" t="s">
        <v>36</v>
      </c>
      <c r="L250" t="b">
        <v>0</v>
      </c>
    </row>
    <row r="251" spans="1:13" ht="17" x14ac:dyDescent="0.2">
      <c r="A251" t="s">
        <v>533</v>
      </c>
      <c r="B251" t="s">
        <v>534</v>
      </c>
      <c r="C251" t="s">
        <v>159</v>
      </c>
      <c r="D251" s="1">
        <v>45605</v>
      </c>
      <c r="E251" s="6" t="s">
        <v>89</v>
      </c>
      <c r="F251" t="s">
        <v>17</v>
      </c>
      <c r="G251" s="3" t="s">
        <v>18</v>
      </c>
      <c r="H251">
        <v>2.8</v>
      </c>
      <c r="I251">
        <v>49.93</v>
      </c>
      <c r="J251">
        <v>139.79</v>
      </c>
      <c r="K251" t="s">
        <v>32</v>
      </c>
      <c r="L251" t="b">
        <v>0</v>
      </c>
    </row>
    <row r="252" spans="1:13" ht="34" x14ac:dyDescent="0.2">
      <c r="A252" t="s">
        <v>535</v>
      </c>
      <c r="B252" t="s">
        <v>536</v>
      </c>
      <c r="C252" t="s">
        <v>293</v>
      </c>
      <c r="D252" s="1">
        <v>44982</v>
      </c>
      <c r="E252" s="6" t="s">
        <v>78</v>
      </c>
      <c r="F252" t="s">
        <v>24</v>
      </c>
      <c r="G252" s="3" t="s">
        <v>25</v>
      </c>
      <c r="H252">
        <v>5.4</v>
      </c>
      <c r="I252">
        <v>65.37</v>
      </c>
      <c r="J252">
        <v>352.98</v>
      </c>
      <c r="K252" t="s">
        <v>113</v>
      </c>
      <c r="L252" t="b">
        <v>0</v>
      </c>
    </row>
    <row r="253" spans="1:13" ht="34" x14ac:dyDescent="0.2">
      <c r="A253" t="s">
        <v>537</v>
      </c>
      <c r="B253" t="s">
        <v>223</v>
      </c>
      <c r="C253" t="s">
        <v>22</v>
      </c>
      <c r="D253" s="1">
        <v>45168</v>
      </c>
      <c r="E253" s="6" t="s">
        <v>16</v>
      </c>
      <c r="F253" t="s">
        <v>24</v>
      </c>
      <c r="G253" s="3" t="s">
        <v>25</v>
      </c>
      <c r="H253">
        <v>4.4000000000000004</v>
      </c>
      <c r="I253">
        <v>73.989999999999995</v>
      </c>
      <c r="J253">
        <v>325.54000000000002</v>
      </c>
      <c r="K253" t="s">
        <v>36</v>
      </c>
      <c r="L253" t="b">
        <v>0</v>
      </c>
    </row>
    <row r="254" spans="1:13" ht="34" x14ac:dyDescent="0.2">
      <c r="A254" t="s">
        <v>538</v>
      </c>
      <c r="B254" t="s">
        <v>539</v>
      </c>
      <c r="C254" t="s">
        <v>127</v>
      </c>
      <c r="D254" s="1">
        <v>45056</v>
      </c>
      <c r="E254" s="6" t="s">
        <v>78</v>
      </c>
      <c r="F254" t="s">
        <v>30</v>
      </c>
      <c r="G254" s="3" t="s">
        <v>31</v>
      </c>
      <c r="H254">
        <v>5.5</v>
      </c>
      <c r="I254">
        <v>27.72</v>
      </c>
      <c r="J254">
        <v>152.44999999999999</v>
      </c>
      <c r="K254" t="s">
        <v>82</v>
      </c>
      <c r="L254" t="b">
        <v>1</v>
      </c>
      <c r="M254" s="3" t="s">
        <v>102</v>
      </c>
    </row>
    <row r="255" spans="1:13" ht="34" x14ac:dyDescent="0.2">
      <c r="A255" t="s">
        <v>540</v>
      </c>
      <c r="B255" t="s">
        <v>329</v>
      </c>
      <c r="C255" t="s">
        <v>59</v>
      </c>
      <c r="D255" s="1">
        <v>44993</v>
      </c>
      <c r="E255" s="6" t="s">
        <v>44</v>
      </c>
      <c r="F255" t="s">
        <v>90</v>
      </c>
      <c r="G255" s="3" t="s">
        <v>91</v>
      </c>
      <c r="H255">
        <v>43.7</v>
      </c>
      <c r="I255">
        <v>28.62</v>
      </c>
      <c r="J255">
        <v>1250</v>
      </c>
      <c r="K255" t="s">
        <v>26</v>
      </c>
      <c r="L255" t="b">
        <v>1</v>
      </c>
      <c r="M255" s="3" t="s">
        <v>40</v>
      </c>
    </row>
    <row r="256" spans="1:13" ht="17" x14ac:dyDescent="0.2">
      <c r="A256" t="s">
        <v>541</v>
      </c>
      <c r="B256" t="s">
        <v>152</v>
      </c>
      <c r="C256" t="s">
        <v>391</v>
      </c>
      <c r="D256" s="1">
        <v>45612</v>
      </c>
      <c r="E256" s="6" t="s">
        <v>23</v>
      </c>
      <c r="F256" t="s">
        <v>17</v>
      </c>
      <c r="G256" s="3" t="s">
        <v>18</v>
      </c>
      <c r="H256">
        <v>2.2000000000000002</v>
      </c>
      <c r="I256">
        <v>49.53</v>
      </c>
      <c r="J256">
        <v>108.97</v>
      </c>
      <c r="K256" t="s">
        <v>96</v>
      </c>
      <c r="L256" t="b">
        <v>0</v>
      </c>
    </row>
    <row r="257" spans="1:13" ht="34" x14ac:dyDescent="0.2">
      <c r="A257" t="s">
        <v>542</v>
      </c>
      <c r="B257" t="s">
        <v>543</v>
      </c>
      <c r="C257" t="s">
        <v>138</v>
      </c>
      <c r="D257" s="1">
        <v>45022</v>
      </c>
      <c r="E257" s="6" t="s">
        <v>60</v>
      </c>
      <c r="F257" t="s">
        <v>61</v>
      </c>
      <c r="G257" s="3" t="s">
        <v>62</v>
      </c>
      <c r="H257">
        <v>4.2</v>
      </c>
      <c r="I257">
        <v>78.48</v>
      </c>
      <c r="J257">
        <v>329.62</v>
      </c>
      <c r="K257" t="s">
        <v>92</v>
      </c>
      <c r="L257" t="b">
        <v>1</v>
      </c>
      <c r="M257" s="3" t="s">
        <v>102</v>
      </c>
    </row>
    <row r="258" spans="1:13" ht="34" x14ac:dyDescent="0.2">
      <c r="A258" t="s">
        <v>544</v>
      </c>
      <c r="B258" t="s">
        <v>390</v>
      </c>
      <c r="C258" t="s">
        <v>191</v>
      </c>
      <c r="D258" s="1">
        <v>45628</v>
      </c>
      <c r="E258" s="6" t="s">
        <v>16</v>
      </c>
      <c r="F258" t="s">
        <v>61</v>
      </c>
      <c r="G258" s="3" t="s">
        <v>62</v>
      </c>
      <c r="H258">
        <v>4.3</v>
      </c>
      <c r="I258">
        <v>65.959999999999994</v>
      </c>
      <c r="J258">
        <v>283.64</v>
      </c>
      <c r="K258" t="s">
        <v>96</v>
      </c>
      <c r="L258" t="b">
        <v>0</v>
      </c>
    </row>
    <row r="259" spans="1:13" ht="68" x14ac:dyDescent="0.2">
      <c r="A259" t="s">
        <v>545</v>
      </c>
      <c r="B259" t="s">
        <v>546</v>
      </c>
      <c r="C259" t="s">
        <v>274</v>
      </c>
      <c r="D259" s="1">
        <v>45065</v>
      </c>
      <c r="E259" s="6" t="s">
        <v>23</v>
      </c>
      <c r="F259" t="s">
        <v>50</v>
      </c>
      <c r="G259" s="3" t="s">
        <v>51</v>
      </c>
      <c r="H259">
        <v>5.9</v>
      </c>
      <c r="I259">
        <v>45.87</v>
      </c>
      <c r="J259">
        <v>270.61</v>
      </c>
      <c r="K259" t="s">
        <v>105</v>
      </c>
      <c r="L259" t="b">
        <v>0</v>
      </c>
    </row>
    <row r="260" spans="1:13" ht="34" x14ac:dyDescent="0.2">
      <c r="A260" t="s">
        <v>547</v>
      </c>
      <c r="B260" t="s">
        <v>338</v>
      </c>
      <c r="C260" t="s">
        <v>59</v>
      </c>
      <c r="D260" s="1">
        <v>45634</v>
      </c>
      <c r="E260" s="6" t="s">
        <v>23</v>
      </c>
      <c r="F260" t="s">
        <v>61</v>
      </c>
      <c r="G260" s="3" t="s">
        <v>62</v>
      </c>
      <c r="H260">
        <v>19.899999999999999</v>
      </c>
      <c r="I260">
        <v>68.67</v>
      </c>
      <c r="J260">
        <v>1366.53</v>
      </c>
      <c r="K260" t="s">
        <v>92</v>
      </c>
      <c r="L260" t="b">
        <v>1</v>
      </c>
      <c r="M260" s="3" t="s">
        <v>79</v>
      </c>
    </row>
    <row r="261" spans="1:13" ht="34" x14ac:dyDescent="0.2">
      <c r="A261" t="s">
        <v>548</v>
      </c>
      <c r="B261" t="s">
        <v>549</v>
      </c>
      <c r="C261" t="s">
        <v>391</v>
      </c>
      <c r="D261" s="1">
        <v>45203</v>
      </c>
      <c r="E261" s="6" t="s">
        <v>60</v>
      </c>
      <c r="F261" t="s">
        <v>24</v>
      </c>
      <c r="G261" s="3" t="s">
        <v>25</v>
      </c>
      <c r="H261">
        <v>6.5</v>
      </c>
      <c r="I261">
        <v>83.71</v>
      </c>
      <c r="J261">
        <v>544.11</v>
      </c>
      <c r="K261" t="s">
        <v>36</v>
      </c>
      <c r="L261" t="b">
        <v>0</v>
      </c>
    </row>
    <row r="262" spans="1:13" ht="34" x14ac:dyDescent="0.2">
      <c r="A262" t="s">
        <v>550</v>
      </c>
      <c r="B262" t="s">
        <v>523</v>
      </c>
      <c r="C262" t="s">
        <v>183</v>
      </c>
      <c r="D262" s="1">
        <v>44982</v>
      </c>
      <c r="E262" s="6" t="s">
        <v>23</v>
      </c>
      <c r="F262" t="s">
        <v>61</v>
      </c>
      <c r="G262" s="3" t="s">
        <v>62</v>
      </c>
      <c r="H262">
        <v>5.2</v>
      </c>
      <c r="I262">
        <v>74.400000000000006</v>
      </c>
      <c r="J262">
        <v>386.89</v>
      </c>
      <c r="K262" t="s">
        <v>92</v>
      </c>
      <c r="L262" t="b">
        <v>0</v>
      </c>
    </row>
    <row r="263" spans="1:13" ht="34" x14ac:dyDescent="0.2">
      <c r="A263" t="s">
        <v>551</v>
      </c>
      <c r="B263" t="s">
        <v>21</v>
      </c>
      <c r="C263" t="s">
        <v>175</v>
      </c>
      <c r="D263" s="1">
        <v>49036</v>
      </c>
      <c r="E263" s="6" t="s">
        <v>16</v>
      </c>
      <c r="F263" t="s">
        <v>17</v>
      </c>
      <c r="G263" s="3" t="s">
        <v>18</v>
      </c>
      <c r="H263">
        <v>4.0999999999999996</v>
      </c>
      <c r="I263">
        <v>41.54</v>
      </c>
      <c r="J263">
        <v>170.31</v>
      </c>
      <c r="K263" t="s">
        <v>96</v>
      </c>
      <c r="L263" t="b">
        <v>1</v>
      </c>
      <c r="M263" s="3" t="s">
        <v>99</v>
      </c>
    </row>
    <row r="264" spans="1:13" ht="34" x14ac:dyDescent="0.2">
      <c r="A264" t="s">
        <v>552</v>
      </c>
      <c r="B264" t="s">
        <v>386</v>
      </c>
      <c r="C264" t="s">
        <v>293</v>
      </c>
      <c r="D264" s="1">
        <v>45287</v>
      </c>
      <c r="E264" s="6" t="s">
        <v>89</v>
      </c>
      <c r="F264" t="s">
        <v>90</v>
      </c>
      <c r="G264" s="3" t="s">
        <v>91</v>
      </c>
      <c r="H264">
        <v>2.2000000000000002</v>
      </c>
      <c r="I264">
        <v>64.61</v>
      </c>
      <c r="J264">
        <v>142.15</v>
      </c>
      <c r="K264" t="s">
        <v>26</v>
      </c>
      <c r="L264" t="b">
        <v>0</v>
      </c>
    </row>
    <row r="265" spans="1:13" ht="34" x14ac:dyDescent="0.2">
      <c r="A265" t="s">
        <v>553</v>
      </c>
      <c r="B265" t="s">
        <v>258</v>
      </c>
      <c r="C265" t="s">
        <v>450</v>
      </c>
      <c r="D265" s="1">
        <v>45082</v>
      </c>
      <c r="E265" s="6" t="s">
        <v>89</v>
      </c>
      <c r="F265" t="s">
        <v>24</v>
      </c>
      <c r="G265" s="3" t="s">
        <v>25</v>
      </c>
      <c r="H265">
        <v>3.4</v>
      </c>
      <c r="I265">
        <v>29.04</v>
      </c>
      <c r="J265">
        <v>98.73</v>
      </c>
      <c r="K265" t="s">
        <v>56</v>
      </c>
      <c r="L265" t="b">
        <v>0</v>
      </c>
    </row>
    <row r="266" spans="1:13" ht="34" x14ac:dyDescent="0.2">
      <c r="A266" t="s">
        <v>554</v>
      </c>
      <c r="B266" t="s">
        <v>523</v>
      </c>
      <c r="C266" t="s">
        <v>211</v>
      </c>
      <c r="D266" s="1">
        <v>45461</v>
      </c>
      <c r="E266" s="6" t="s">
        <v>44</v>
      </c>
      <c r="F266" t="s">
        <v>24</v>
      </c>
      <c r="G266" s="3" t="s">
        <v>25</v>
      </c>
      <c r="H266">
        <v>4.7</v>
      </c>
      <c r="I266">
        <v>65.319999999999993</v>
      </c>
      <c r="J266">
        <v>307.01</v>
      </c>
      <c r="K266" t="s">
        <v>92</v>
      </c>
      <c r="L266" t="b">
        <v>0</v>
      </c>
    </row>
    <row r="267" spans="1:13" ht="17" x14ac:dyDescent="0.2">
      <c r="A267" t="s">
        <v>555</v>
      </c>
      <c r="B267" t="s">
        <v>556</v>
      </c>
      <c r="C267" t="s">
        <v>189</v>
      </c>
      <c r="D267" s="1">
        <v>45053</v>
      </c>
      <c r="E267" s="6" t="s">
        <v>23</v>
      </c>
      <c r="F267" t="s">
        <v>30</v>
      </c>
      <c r="G267" s="3" t="s">
        <v>31</v>
      </c>
      <c r="H267">
        <v>6.4</v>
      </c>
      <c r="I267">
        <v>49.14</v>
      </c>
      <c r="J267">
        <v>314.47000000000003</v>
      </c>
      <c r="K267" t="s">
        <v>56</v>
      </c>
      <c r="L267" t="b">
        <v>0</v>
      </c>
    </row>
    <row r="268" spans="1:13" ht="17" x14ac:dyDescent="0.2">
      <c r="A268" t="s">
        <v>557</v>
      </c>
      <c r="B268" t="s">
        <v>558</v>
      </c>
      <c r="C268" t="s">
        <v>183</v>
      </c>
      <c r="D268" s="1">
        <v>45397</v>
      </c>
      <c r="E268" s="6" t="s">
        <v>23</v>
      </c>
      <c r="F268" t="s">
        <v>30</v>
      </c>
      <c r="G268" s="3" t="s">
        <v>31</v>
      </c>
      <c r="H268">
        <v>6.5</v>
      </c>
      <c r="I268">
        <v>71.56</v>
      </c>
      <c r="J268">
        <v>465.16</v>
      </c>
      <c r="K268" t="s">
        <v>26</v>
      </c>
      <c r="L268" t="b">
        <v>0</v>
      </c>
    </row>
    <row r="269" spans="1:13" ht="34" x14ac:dyDescent="0.2">
      <c r="A269" t="s">
        <v>559</v>
      </c>
      <c r="B269" t="s">
        <v>112</v>
      </c>
      <c r="C269" t="s">
        <v>268</v>
      </c>
      <c r="D269" s="1">
        <v>45394</v>
      </c>
      <c r="E269" s="6" t="s">
        <v>89</v>
      </c>
      <c r="F269" t="s">
        <v>45</v>
      </c>
      <c r="G269" s="3" t="s">
        <v>46</v>
      </c>
      <c r="H269">
        <v>3.4</v>
      </c>
      <c r="I269">
        <v>79.98</v>
      </c>
      <c r="J269">
        <v>271.94</v>
      </c>
      <c r="K269" t="s">
        <v>113</v>
      </c>
      <c r="L269" t="b">
        <v>0</v>
      </c>
    </row>
    <row r="270" spans="1:13" ht="34" x14ac:dyDescent="0.2">
      <c r="A270" t="s">
        <v>560</v>
      </c>
      <c r="B270" t="s">
        <v>561</v>
      </c>
      <c r="C270" t="s">
        <v>256</v>
      </c>
      <c r="D270" s="1">
        <v>45325</v>
      </c>
      <c r="E270" s="6" t="s">
        <v>78</v>
      </c>
      <c r="F270" t="s">
        <v>54</v>
      </c>
      <c r="G270" s="3" t="s">
        <v>55</v>
      </c>
      <c r="H270">
        <v>5.5</v>
      </c>
      <c r="I270">
        <v>71.349999999999994</v>
      </c>
      <c r="J270">
        <v>392.44</v>
      </c>
      <c r="K270" t="s">
        <v>105</v>
      </c>
      <c r="L270" t="b">
        <v>0</v>
      </c>
    </row>
    <row r="271" spans="1:13" ht="17" x14ac:dyDescent="0.2">
      <c r="A271" t="s">
        <v>562</v>
      </c>
      <c r="B271" t="s">
        <v>563</v>
      </c>
      <c r="C271" t="s">
        <v>122</v>
      </c>
      <c r="D271" s="1">
        <v>45010</v>
      </c>
      <c r="E271" s="6" t="s">
        <v>16</v>
      </c>
      <c r="F271" t="s">
        <v>30</v>
      </c>
      <c r="G271" s="3" t="s">
        <v>31</v>
      </c>
      <c r="H271">
        <v>3.8</v>
      </c>
      <c r="I271">
        <v>33.6</v>
      </c>
      <c r="J271">
        <v>127.66</v>
      </c>
      <c r="K271" t="s">
        <v>56</v>
      </c>
      <c r="L271" t="b">
        <v>0</v>
      </c>
    </row>
    <row r="272" spans="1:13" ht="17" x14ac:dyDescent="0.2">
      <c r="A272" t="s">
        <v>564</v>
      </c>
      <c r="B272" t="s">
        <v>424</v>
      </c>
      <c r="C272" t="s">
        <v>194</v>
      </c>
      <c r="D272" s="1">
        <v>45607</v>
      </c>
      <c r="E272" s="6" t="s">
        <v>89</v>
      </c>
      <c r="F272" t="s">
        <v>30</v>
      </c>
      <c r="G272" s="3" t="s">
        <v>31</v>
      </c>
      <c r="H272">
        <v>4.5</v>
      </c>
      <c r="I272">
        <v>41.51</v>
      </c>
      <c r="J272">
        <v>186.79</v>
      </c>
      <c r="K272" t="s">
        <v>32</v>
      </c>
      <c r="L272" t="b">
        <v>0</v>
      </c>
    </row>
    <row r="273" spans="1:13" ht="68" x14ac:dyDescent="0.2">
      <c r="A273" t="s">
        <v>565</v>
      </c>
      <c r="B273" t="s">
        <v>216</v>
      </c>
      <c r="C273" t="s">
        <v>29</v>
      </c>
      <c r="D273" s="1">
        <v>45573</v>
      </c>
      <c r="E273" s="6" t="s">
        <v>60</v>
      </c>
      <c r="F273" t="s">
        <v>50</v>
      </c>
      <c r="G273" s="3" t="s">
        <v>51</v>
      </c>
      <c r="H273">
        <v>5.8</v>
      </c>
      <c r="I273">
        <v>50.63</v>
      </c>
      <c r="J273">
        <v>293.67</v>
      </c>
      <c r="K273" t="s">
        <v>92</v>
      </c>
      <c r="L273" t="b">
        <v>0</v>
      </c>
    </row>
    <row r="274" spans="1:13" ht="34" x14ac:dyDescent="0.2">
      <c r="A274" t="s">
        <v>566</v>
      </c>
      <c r="B274" t="s">
        <v>556</v>
      </c>
      <c r="C274" t="s">
        <v>138</v>
      </c>
      <c r="D274" s="1">
        <v>45560</v>
      </c>
      <c r="E274" s="6" t="s">
        <v>16</v>
      </c>
      <c r="F274" t="s">
        <v>24</v>
      </c>
      <c r="G274" s="3" t="s">
        <v>25</v>
      </c>
      <c r="H274">
        <v>7.8</v>
      </c>
      <c r="I274">
        <v>81.5</v>
      </c>
      <c r="J274">
        <v>635.66</v>
      </c>
      <c r="K274" t="s">
        <v>56</v>
      </c>
      <c r="L274" t="b">
        <v>0</v>
      </c>
    </row>
    <row r="275" spans="1:13" ht="34" x14ac:dyDescent="0.2">
      <c r="A275" t="s">
        <v>567</v>
      </c>
      <c r="B275" t="s">
        <v>204</v>
      </c>
      <c r="C275" t="s">
        <v>159</v>
      </c>
      <c r="D275" s="1">
        <v>45585</v>
      </c>
      <c r="E275" s="6" t="s">
        <v>60</v>
      </c>
      <c r="F275" t="s">
        <v>61</v>
      </c>
      <c r="G275" s="3" t="s">
        <v>62</v>
      </c>
      <c r="H275">
        <v>11.3</v>
      </c>
      <c r="I275">
        <v>44.12</v>
      </c>
      <c r="J275">
        <v>500</v>
      </c>
      <c r="K275" t="s">
        <v>113</v>
      </c>
      <c r="L275" t="b">
        <v>1</v>
      </c>
      <c r="M275" s="3" t="s">
        <v>40</v>
      </c>
    </row>
    <row r="276" spans="1:13" ht="34" x14ac:dyDescent="0.2">
      <c r="A276" t="s">
        <v>568</v>
      </c>
      <c r="B276" t="s">
        <v>386</v>
      </c>
      <c r="C276" t="s">
        <v>266</v>
      </c>
      <c r="D276" s="1">
        <v>44945</v>
      </c>
      <c r="E276" s="6" t="s">
        <v>89</v>
      </c>
      <c r="F276" t="s">
        <v>61</v>
      </c>
      <c r="G276" s="3" t="s">
        <v>62</v>
      </c>
      <c r="H276">
        <v>2.9</v>
      </c>
      <c r="I276">
        <v>47.59</v>
      </c>
      <c r="J276">
        <v>138</v>
      </c>
      <c r="K276" t="s">
        <v>26</v>
      </c>
      <c r="L276" t="b">
        <v>0</v>
      </c>
    </row>
    <row r="277" spans="1:13" ht="17" x14ac:dyDescent="0.2">
      <c r="A277" t="s">
        <v>569</v>
      </c>
      <c r="B277" t="s">
        <v>247</v>
      </c>
      <c r="C277" t="s">
        <v>293</v>
      </c>
      <c r="D277" s="1">
        <v>45060</v>
      </c>
      <c r="E277" s="6" t="s">
        <v>16</v>
      </c>
      <c r="F277" t="s">
        <v>17</v>
      </c>
      <c r="G277" s="3" t="s">
        <v>18</v>
      </c>
      <c r="H277">
        <v>3.4</v>
      </c>
      <c r="I277">
        <v>38.520000000000003</v>
      </c>
      <c r="J277">
        <v>130.97</v>
      </c>
      <c r="K277" t="s">
        <v>105</v>
      </c>
      <c r="L277" t="b">
        <v>0</v>
      </c>
    </row>
    <row r="278" spans="1:13" ht="68" x14ac:dyDescent="0.2">
      <c r="A278" t="s">
        <v>570</v>
      </c>
      <c r="B278" t="s">
        <v>77</v>
      </c>
      <c r="C278" t="s">
        <v>295</v>
      </c>
      <c r="D278" s="1">
        <v>45153</v>
      </c>
      <c r="E278" s="6" t="s">
        <v>89</v>
      </c>
      <c r="F278" t="s">
        <v>50</v>
      </c>
      <c r="G278" s="3" t="s">
        <v>51</v>
      </c>
      <c r="H278">
        <v>6.8</v>
      </c>
      <c r="I278">
        <v>79.88</v>
      </c>
      <c r="J278">
        <v>543.21</v>
      </c>
      <c r="K278" t="s">
        <v>26</v>
      </c>
      <c r="L278" t="b">
        <v>0</v>
      </c>
    </row>
    <row r="279" spans="1:13" ht="34" x14ac:dyDescent="0.2">
      <c r="A279" t="s">
        <v>571</v>
      </c>
      <c r="B279" t="s">
        <v>98</v>
      </c>
      <c r="C279" t="s">
        <v>211</v>
      </c>
      <c r="D279" s="1">
        <v>45129</v>
      </c>
      <c r="E279" s="6" t="s">
        <v>23</v>
      </c>
      <c r="F279" t="s">
        <v>61</v>
      </c>
      <c r="G279" s="3" t="s">
        <v>62</v>
      </c>
      <c r="H279">
        <v>7.8</v>
      </c>
      <c r="I279">
        <v>58.44</v>
      </c>
      <c r="J279">
        <v>455.81</v>
      </c>
      <c r="K279" t="s">
        <v>113</v>
      </c>
      <c r="L279" t="b">
        <v>0</v>
      </c>
    </row>
    <row r="280" spans="1:13" ht="34" x14ac:dyDescent="0.2">
      <c r="A280" t="s">
        <v>572</v>
      </c>
      <c r="B280" t="s">
        <v>573</v>
      </c>
      <c r="C280" t="s">
        <v>191</v>
      </c>
      <c r="D280" s="1">
        <v>45565</v>
      </c>
      <c r="E280" s="6" t="s">
        <v>16</v>
      </c>
      <c r="F280" t="s">
        <v>61</v>
      </c>
      <c r="G280" s="3" t="s">
        <v>62</v>
      </c>
      <c r="H280">
        <v>3.5</v>
      </c>
      <c r="I280">
        <v>37.200000000000003</v>
      </c>
      <c r="J280">
        <v>130.19999999999999</v>
      </c>
      <c r="K280" t="s">
        <v>32</v>
      </c>
      <c r="L280" t="b">
        <v>0</v>
      </c>
    </row>
    <row r="281" spans="1:13" ht="34" x14ac:dyDescent="0.2">
      <c r="A281" t="s">
        <v>574</v>
      </c>
      <c r="B281" t="s">
        <v>147</v>
      </c>
      <c r="C281" t="s">
        <v>95</v>
      </c>
      <c r="D281" s="1">
        <v>45608</v>
      </c>
      <c r="E281" s="6" t="s">
        <v>44</v>
      </c>
      <c r="F281" t="s">
        <v>90</v>
      </c>
      <c r="G281" s="3" t="s">
        <v>91</v>
      </c>
      <c r="H281">
        <v>23.1</v>
      </c>
      <c r="I281">
        <v>75.83</v>
      </c>
      <c r="J281">
        <v>1751.67</v>
      </c>
      <c r="K281" t="s">
        <v>32</v>
      </c>
      <c r="L281" t="b">
        <v>1</v>
      </c>
      <c r="M281" s="3" t="s">
        <v>79</v>
      </c>
    </row>
    <row r="282" spans="1:13" ht="17" x14ac:dyDescent="0.2">
      <c r="A282" t="s">
        <v>575</v>
      </c>
      <c r="B282" t="s">
        <v>225</v>
      </c>
      <c r="C282" t="s">
        <v>119</v>
      </c>
      <c r="D282" s="1">
        <v>45638</v>
      </c>
      <c r="E282" s="6" t="s">
        <v>89</v>
      </c>
      <c r="F282" t="s">
        <v>30</v>
      </c>
      <c r="G282" s="3" t="s">
        <v>31</v>
      </c>
      <c r="H282">
        <v>2.2999999999999998</v>
      </c>
      <c r="I282">
        <v>47.63</v>
      </c>
      <c r="J282">
        <v>109.55</v>
      </c>
      <c r="K282" t="s">
        <v>36</v>
      </c>
      <c r="L282" t="b">
        <v>0</v>
      </c>
    </row>
    <row r="283" spans="1:13" ht="34" x14ac:dyDescent="0.2">
      <c r="A283" t="s">
        <v>576</v>
      </c>
      <c r="B283" t="s">
        <v>404</v>
      </c>
      <c r="C283" t="s">
        <v>35</v>
      </c>
      <c r="D283" s="1">
        <v>45336</v>
      </c>
      <c r="E283" s="6" t="s">
        <v>89</v>
      </c>
      <c r="F283" t="s">
        <v>24</v>
      </c>
      <c r="G283" s="3" t="s">
        <v>25</v>
      </c>
      <c r="H283">
        <v>7.2</v>
      </c>
      <c r="I283">
        <v>36.29</v>
      </c>
      <c r="J283">
        <v>261.29000000000002</v>
      </c>
      <c r="K283" t="s">
        <v>92</v>
      </c>
      <c r="L283" t="b">
        <v>0</v>
      </c>
    </row>
    <row r="284" spans="1:13" ht="17" x14ac:dyDescent="0.2">
      <c r="A284" t="s">
        <v>577</v>
      </c>
      <c r="B284" t="s">
        <v>404</v>
      </c>
      <c r="C284" t="s">
        <v>22</v>
      </c>
      <c r="D284" s="1">
        <v>44990</v>
      </c>
      <c r="E284" s="6" t="s">
        <v>78</v>
      </c>
      <c r="F284" t="s">
        <v>30</v>
      </c>
      <c r="G284" s="3" t="s">
        <v>31</v>
      </c>
      <c r="H284">
        <v>4.9000000000000004</v>
      </c>
      <c r="I284">
        <v>77.17</v>
      </c>
      <c r="J284">
        <v>378.13</v>
      </c>
      <c r="K284" t="s">
        <v>92</v>
      </c>
      <c r="L284" t="b">
        <v>0</v>
      </c>
    </row>
    <row r="285" spans="1:13" ht="34" x14ac:dyDescent="0.2">
      <c r="A285" t="s">
        <v>578</v>
      </c>
      <c r="B285" t="s">
        <v>278</v>
      </c>
      <c r="C285" t="s">
        <v>194</v>
      </c>
      <c r="D285" s="1">
        <v>45604</v>
      </c>
      <c r="E285" s="6" t="s">
        <v>23</v>
      </c>
      <c r="F285" t="s">
        <v>45</v>
      </c>
      <c r="G285" s="3" t="s">
        <v>46</v>
      </c>
      <c r="H285">
        <v>7.7</v>
      </c>
      <c r="I285">
        <v>25.92</v>
      </c>
      <c r="J285">
        <v>199.58</v>
      </c>
      <c r="K285" t="s">
        <v>32</v>
      </c>
      <c r="L285" t="b">
        <v>0</v>
      </c>
    </row>
    <row r="286" spans="1:13" ht="34" x14ac:dyDescent="0.2">
      <c r="A286" t="s">
        <v>579</v>
      </c>
      <c r="B286" t="s">
        <v>580</v>
      </c>
      <c r="C286" t="s">
        <v>88</v>
      </c>
      <c r="D286" s="1">
        <v>45293</v>
      </c>
      <c r="E286" s="6" t="s">
        <v>23</v>
      </c>
      <c r="F286" t="s">
        <v>90</v>
      </c>
      <c r="G286" s="3" t="s">
        <v>91</v>
      </c>
      <c r="H286">
        <v>6.5</v>
      </c>
      <c r="I286">
        <v>70.260000000000005</v>
      </c>
      <c r="J286">
        <v>456.69</v>
      </c>
      <c r="K286" t="s">
        <v>82</v>
      </c>
      <c r="L286" t="b">
        <v>0</v>
      </c>
    </row>
    <row r="287" spans="1:13" ht="17" x14ac:dyDescent="0.2">
      <c r="A287" t="s">
        <v>581</v>
      </c>
      <c r="B287" t="s">
        <v>582</v>
      </c>
      <c r="C287" t="s">
        <v>391</v>
      </c>
      <c r="D287" s="1">
        <v>45399</v>
      </c>
      <c r="E287" s="6" t="s">
        <v>78</v>
      </c>
      <c r="F287" t="s">
        <v>30</v>
      </c>
      <c r="G287" s="3" t="s">
        <v>31</v>
      </c>
      <c r="H287">
        <v>4.4000000000000004</v>
      </c>
      <c r="I287">
        <v>39.36</v>
      </c>
      <c r="J287">
        <v>173.18</v>
      </c>
      <c r="K287" t="s">
        <v>36</v>
      </c>
      <c r="L287" t="b">
        <v>0</v>
      </c>
    </row>
    <row r="288" spans="1:13" ht="34" x14ac:dyDescent="0.2">
      <c r="A288" t="s">
        <v>583</v>
      </c>
      <c r="B288" t="s">
        <v>419</v>
      </c>
      <c r="C288" t="s">
        <v>370</v>
      </c>
      <c r="D288" s="1">
        <v>44978</v>
      </c>
      <c r="E288" s="6" t="s">
        <v>78</v>
      </c>
      <c r="F288" t="s">
        <v>45</v>
      </c>
      <c r="G288" s="3" t="s">
        <v>46</v>
      </c>
      <c r="H288">
        <v>4.3</v>
      </c>
      <c r="I288">
        <v>57.02</v>
      </c>
      <c r="J288">
        <v>245.18</v>
      </c>
      <c r="K288" t="s">
        <v>113</v>
      </c>
      <c r="L288" t="b">
        <v>0</v>
      </c>
    </row>
    <row r="289" spans="1:13" ht="34" x14ac:dyDescent="0.2">
      <c r="A289" t="s">
        <v>584</v>
      </c>
      <c r="B289" t="s">
        <v>488</v>
      </c>
      <c r="C289" t="s">
        <v>256</v>
      </c>
      <c r="D289" s="1">
        <v>45399</v>
      </c>
      <c r="E289" s="6" t="s">
        <v>60</v>
      </c>
      <c r="F289" t="s">
        <v>45</v>
      </c>
      <c r="G289" s="3" t="s">
        <v>46</v>
      </c>
      <c r="H289">
        <v>3.6</v>
      </c>
      <c r="I289">
        <v>55.77</v>
      </c>
      <c r="J289">
        <v>200.77</v>
      </c>
      <c r="K289" t="s">
        <v>56</v>
      </c>
      <c r="L289" t="b">
        <v>0</v>
      </c>
    </row>
    <row r="290" spans="1:13" ht="17" x14ac:dyDescent="0.2">
      <c r="A290" t="s">
        <v>585</v>
      </c>
      <c r="B290" t="s">
        <v>586</v>
      </c>
      <c r="C290" t="s">
        <v>35</v>
      </c>
      <c r="D290" s="1">
        <v>45014</v>
      </c>
      <c r="E290" s="6" t="s">
        <v>60</v>
      </c>
      <c r="F290" t="s">
        <v>17</v>
      </c>
      <c r="G290" s="3" t="s">
        <v>18</v>
      </c>
      <c r="H290">
        <v>2.6</v>
      </c>
      <c r="I290">
        <v>83.88</v>
      </c>
      <c r="J290">
        <v>218.09</v>
      </c>
      <c r="K290" t="s">
        <v>19</v>
      </c>
      <c r="L290" t="b">
        <v>0</v>
      </c>
    </row>
    <row r="291" spans="1:13" ht="34" x14ac:dyDescent="0.2">
      <c r="A291" t="s">
        <v>587</v>
      </c>
      <c r="B291" t="s">
        <v>588</v>
      </c>
      <c r="C291" t="s">
        <v>127</v>
      </c>
      <c r="D291" s="1">
        <v>45222</v>
      </c>
      <c r="E291" s="6" t="s">
        <v>60</v>
      </c>
      <c r="F291" t="s">
        <v>54</v>
      </c>
      <c r="G291" s="3" t="s">
        <v>55</v>
      </c>
      <c r="H291">
        <v>7.5</v>
      </c>
      <c r="I291">
        <v>47.24</v>
      </c>
      <c r="J291">
        <v>354.32</v>
      </c>
      <c r="K291" t="s">
        <v>113</v>
      </c>
      <c r="L291" t="b">
        <v>0</v>
      </c>
    </row>
    <row r="292" spans="1:13" ht="34" x14ac:dyDescent="0.2">
      <c r="A292" t="s">
        <v>589</v>
      </c>
      <c r="B292" t="s">
        <v>298</v>
      </c>
      <c r="C292" t="s">
        <v>280</v>
      </c>
      <c r="D292" s="1">
        <v>45042</v>
      </c>
      <c r="E292" s="6" t="s">
        <v>23</v>
      </c>
      <c r="F292" t="s">
        <v>24</v>
      </c>
      <c r="G292" s="3" t="s">
        <v>25</v>
      </c>
      <c r="H292">
        <v>5.4</v>
      </c>
      <c r="I292">
        <v>38.28</v>
      </c>
      <c r="J292">
        <v>206.69</v>
      </c>
      <c r="K292" t="s">
        <v>92</v>
      </c>
      <c r="L292" t="b">
        <v>0</v>
      </c>
    </row>
    <row r="293" spans="1:13" ht="34" x14ac:dyDescent="0.2">
      <c r="A293" t="s">
        <v>590</v>
      </c>
      <c r="B293" t="s">
        <v>424</v>
      </c>
      <c r="C293" t="s">
        <v>295</v>
      </c>
      <c r="D293" s="1">
        <v>45286</v>
      </c>
      <c r="E293" s="6" t="s">
        <v>89</v>
      </c>
      <c r="F293" t="s">
        <v>24</v>
      </c>
      <c r="G293" s="3" t="s">
        <v>25</v>
      </c>
      <c r="H293">
        <v>3.6</v>
      </c>
      <c r="I293">
        <v>81.09</v>
      </c>
      <c r="J293">
        <v>291.91000000000003</v>
      </c>
      <c r="K293" t="s">
        <v>32</v>
      </c>
      <c r="L293" t="b">
        <v>0</v>
      </c>
    </row>
    <row r="294" spans="1:13" ht="34" x14ac:dyDescent="0.2">
      <c r="A294" t="s">
        <v>591</v>
      </c>
      <c r="B294" t="s">
        <v>137</v>
      </c>
      <c r="C294" t="s">
        <v>175</v>
      </c>
      <c r="D294" s="1">
        <v>45461</v>
      </c>
      <c r="E294" s="6" t="s">
        <v>23</v>
      </c>
      <c r="F294" t="s">
        <v>61</v>
      </c>
      <c r="G294" s="3" t="s">
        <v>62</v>
      </c>
      <c r="H294">
        <v>19.2</v>
      </c>
      <c r="I294">
        <v>36.770000000000003</v>
      </c>
      <c r="J294">
        <v>705.98</v>
      </c>
      <c r="K294" t="s">
        <v>105</v>
      </c>
      <c r="L294" t="b">
        <v>1</v>
      </c>
      <c r="M294" s="3" t="s">
        <v>79</v>
      </c>
    </row>
    <row r="295" spans="1:13" ht="34" x14ac:dyDescent="0.2">
      <c r="A295" t="s">
        <v>592</v>
      </c>
      <c r="B295" t="s">
        <v>593</v>
      </c>
      <c r="C295" t="s">
        <v>68</v>
      </c>
      <c r="D295" s="1">
        <v>45333</v>
      </c>
      <c r="E295" s="6" t="s">
        <v>89</v>
      </c>
      <c r="F295" t="s">
        <v>61</v>
      </c>
      <c r="G295" s="3" t="s">
        <v>62</v>
      </c>
      <c r="H295">
        <v>5.4</v>
      </c>
      <c r="I295">
        <v>39.74</v>
      </c>
      <c r="J295">
        <v>214.62</v>
      </c>
      <c r="K295" t="s">
        <v>96</v>
      </c>
      <c r="L295" t="b">
        <v>0</v>
      </c>
    </row>
    <row r="296" spans="1:13" ht="34" x14ac:dyDescent="0.2">
      <c r="A296" t="s">
        <v>594</v>
      </c>
      <c r="B296" t="s">
        <v>595</v>
      </c>
      <c r="C296" t="s">
        <v>274</v>
      </c>
      <c r="D296" s="1">
        <v>45016</v>
      </c>
      <c r="E296" s="6" t="s">
        <v>16</v>
      </c>
      <c r="F296" t="s">
        <v>54</v>
      </c>
      <c r="G296" s="3" t="s">
        <v>55</v>
      </c>
      <c r="H296">
        <v>3.5</v>
      </c>
      <c r="I296">
        <v>74.3</v>
      </c>
      <c r="J296">
        <v>260.02999999999997</v>
      </c>
      <c r="K296" t="s">
        <v>36</v>
      </c>
      <c r="L296" t="b">
        <v>0</v>
      </c>
    </row>
    <row r="297" spans="1:13" ht="17" x14ac:dyDescent="0.2">
      <c r="A297" t="s">
        <v>596</v>
      </c>
      <c r="B297" t="s">
        <v>519</v>
      </c>
      <c r="C297" t="s">
        <v>156</v>
      </c>
      <c r="D297" s="1">
        <v>45580</v>
      </c>
      <c r="E297" s="6" t="s">
        <v>78</v>
      </c>
      <c r="F297" t="s">
        <v>17</v>
      </c>
      <c r="G297" s="3" t="s">
        <v>18</v>
      </c>
      <c r="H297">
        <v>4.8</v>
      </c>
      <c r="I297">
        <v>68.97</v>
      </c>
      <c r="J297">
        <v>331.04</v>
      </c>
      <c r="K297" t="s">
        <v>19</v>
      </c>
      <c r="L297" t="b">
        <v>0</v>
      </c>
    </row>
    <row r="298" spans="1:13" ht="68" x14ac:dyDescent="0.2">
      <c r="A298" t="s">
        <v>597</v>
      </c>
      <c r="B298" t="s">
        <v>598</v>
      </c>
      <c r="C298" t="s">
        <v>350</v>
      </c>
      <c r="D298" s="1">
        <v>45498</v>
      </c>
      <c r="E298" s="6" t="s">
        <v>23</v>
      </c>
      <c r="F298" t="s">
        <v>50</v>
      </c>
      <c r="G298" s="3" t="s">
        <v>51</v>
      </c>
      <c r="H298">
        <v>2.8</v>
      </c>
      <c r="I298">
        <v>57.79</v>
      </c>
      <c r="J298">
        <v>161.82</v>
      </c>
      <c r="K298" t="s">
        <v>19</v>
      </c>
      <c r="L298" t="b">
        <v>0</v>
      </c>
    </row>
    <row r="299" spans="1:13" ht="34" x14ac:dyDescent="0.2">
      <c r="A299" t="s">
        <v>599</v>
      </c>
      <c r="B299" t="s">
        <v>98</v>
      </c>
      <c r="C299" t="s">
        <v>49</v>
      </c>
      <c r="D299" s="1">
        <v>45210</v>
      </c>
      <c r="E299" s="6" t="s">
        <v>44</v>
      </c>
      <c r="F299" t="s">
        <v>24</v>
      </c>
      <c r="G299" s="3" t="s">
        <v>25</v>
      </c>
      <c r="H299">
        <v>5.0999999999999996</v>
      </c>
      <c r="I299">
        <v>75.34</v>
      </c>
      <c r="J299">
        <v>384.25</v>
      </c>
      <c r="K299" t="s">
        <v>113</v>
      </c>
      <c r="L299" t="b">
        <v>0</v>
      </c>
    </row>
    <row r="300" spans="1:13" ht="34" x14ac:dyDescent="0.2">
      <c r="A300" t="s">
        <v>600</v>
      </c>
      <c r="B300" t="s">
        <v>322</v>
      </c>
      <c r="C300" t="s">
        <v>22</v>
      </c>
      <c r="D300" s="1">
        <v>45634</v>
      </c>
      <c r="E300" s="6" t="s">
        <v>16</v>
      </c>
      <c r="F300" t="s">
        <v>24</v>
      </c>
      <c r="G300" s="3" t="s">
        <v>25</v>
      </c>
      <c r="H300">
        <v>6.6</v>
      </c>
      <c r="I300">
        <v>49.74</v>
      </c>
      <c r="J300">
        <v>328.31</v>
      </c>
      <c r="K300" t="s">
        <v>36</v>
      </c>
      <c r="L300" t="b">
        <v>0</v>
      </c>
    </row>
    <row r="301" spans="1:13" ht="34" x14ac:dyDescent="0.2">
      <c r="A301" t="s">
        <v>601</v>
      </c>
      <c r="B301" t="s">
        <v>602</v>
      </c>
      <c r="C301" t="s">
        <v>15</v>
      </c>
      <c r="D301" s="1">
        <v>45171</v>
      </c>
      <c r="E301" s="6" t="s">
        <v>23</v>
      </c>
      <c r="F301" t="s">
        <v>30</v>
      </c>
      <c r="G301" s="3" t="s">
        <v>31</v>
      </c>
      <c r="H301">
        <v>2.4</v>
      </c>
      <c r="I301">
        <v>34.06</v>
      </c>
      <c r="J301">
        <v>81.75</v>
      </c>
      <c r="K301" t="s">
        <v>56</v>
      </c>
      <c r="L301" t="b">
        <v>1</v>
      </c>
      <c r="M301" s="3" t="s">
        <v>102</v>
      </c>
    </row>
    <row r="302" spans="1:13" ht="17" x14ac:dyDescent="0.2">
      <c r="A302" t="s">
        <v>603</v>
      </c>
      <c r="B302" t="s">
        <v>276</v>
      </c>
      <c r="C302" t="s">
        <v>71</v>
      </c>
      <c r="D302" s="1">
        <v>45456</v>
      </c>
      <c r="E302" s="6" t="s">
        <v>16</v>
      </c>
      <c r="F302" t="s">
        <v>17</v>
      </c>
      <c r="G302" s="3" t="s">
        <v>18</v>
      </c>
      <c r="H302">
        <v>4.2</v>
      </c>
      <c r="I302">
        <v>62.07</v>
      </c>
      <c r="J302">
        <v>260.69</v>
      </c>
      <c r="K302" t="s">
        <v>105</v>
      </c>
      <c r="L302" t="b">
        <v>0</v>
      </c>
    </row>
    <row r="303" spans="1:13" ht="17" x14ac:dyDescent="0.2">
      <c r="A303" t="s">
        <v>604</v>
      </c>
      <c r="B303" t="s">
        <v>605</v>
      </c>
      <c r="C303" t="s">
        <v>85</v>
      </c>
      <c r="D303" s="1">
        <v>45605</v>
      </c>
      <c r="E303" s="6" t="s">
        <v>89</v>
      </c>
      <c r="F303" t="s">
        <v>17</v>
      </c>
      <c r="G303" s="3" t="s">
        <v>18</v>
      </c>
      <c r="H303">
        <v>6</v>
      </c>
      <c r="I303">
        <v>25.94</v>
      </c>
      <c r="J303">
        <v>155.66</v>
      </c>
      <c r="K303" t="s">
        <v>36</v>
      </c>
      <c r="L303" t="b">
        <v>0</v>
      </c>
    </row>
    <row r="304" spans="1:13" ht="34" x14ac:dyDescent="0.2">
      <c r="A304" t="s">
        <v>606</v>
      </c>
      <c r="B304" t="s">
        <v>470</v>
      </c>
      <c r="C304" t="s">
        <v>43</v>
      </c>
      <c r="D304" s="1">
        <v>45363</v>
      </c>
      <c r="E304" s="6" t="s">
        <v>78</v>
      </c>
      <c r="F304" t="s">
        <v>61</v>
      </c>
      <c r="G304" s="3" t="s">
        <v>62</v>
      </c>
      <c r="H304">
        <v>2.1</v>
      </c>
      <c r="I304">
        <v>56.77</v>
      </c>
      <c r="J304">
        <v>119.21</v>
      </c>
      <c r="K304" t="s">
        <v>19</v>
      </c>
      <c r="L304" t="b">
        <v>0</v>
      </c>
    </row>
    <row r="305" spans="1:13" ht="34" x14ac:dyDescent="0.2">
      <c r="A305" t="s">
        <v>607</v>
      </c>
      <c r="B305" t="s">
        <v>374</v>
      </c>
      <c r="C305" t="s">
        <v>124</v>
      </c>
      <c r="D305" s="1">
        <v>45534</v>
      </c>
      <c r="E305" s="6" t="s">
        <v>16</v>
      </c>
      <c r="F305" t="s">
        <v>45</v>
      </c>
      <c r="G305" s="3" t="s">
        <v>46</v>
      </c>
      <c r="H305">
        <v>2.1</v>
      </c>
      <c r="I305">
        <v>73.790000000000006</v>
      </c>
      <c r="J305">
        <v>154.96</v>
      </c>
      <c r="K305" t="s">
        <v>19</v>
      </c>
      <c r="L305" t="b">
        <v>0</v>
      </c>
    </row>
    <row r="306" spans="1:13" ht="34" x14ac:dyDescent="0.2">
      <c r="A306" t="s">
        <v>608</v>
      </c>
      <c r="B306" t="s">
        <v>345</v>
      </c>
      <c r="C306" t="s">
        <v>175</v>
      </c>
      <c r="D306" s="1">
        <v>45459</v>
      </c>
      <c r="E306" s="6" t="s">
        <v>44</v>
      </c>
      <c r="F306" t="s">
        <v>61</v>
      </c>
      <c r="G306" s="3" t="s">
        <v>62</v>
      </c>
      <c r="H306">
        <v>6.8</v>
      </c>
      <c r="I306">
        <v>79.59</v>
      </c>
      <c r="J306">
        <v>541.19000000000005</v>
      </c>
      <c r="K306" t="s">
        <v>19</v>
      </c>
      <c r="L306" t="b">
        <v>0</v>
      </c>
    </row>
    <row r="307" spans="1:13" ht="34" x14ac:dyDescent="0.2">
      <c r="A307" t="s">
        <v>609</v>
      </c>
      <c r="B307" t="s">
        <v>610</v>
      </c>
      <c r="C307" t="s">
        <v>166</v>
      </c>
      <c r="D307" s="1">
        <v>45651</v>
      </c>
      <c r="E307" s="6" t="s">
        <v>89</v>
      </c>
      <c r="F307" t="s">
        <v>90</v>
      </c>
      <c r="G307" s="3" t="s">
        <v>91</v>
      </c>
      <c r="H307">
        <v>5.0999999999999996</v>
      </c>
      <c r="I307">
        <v>39.46</v>
      </c>
      <c r="J307">
        <v>201.24</v>
      </c>
      <c r="K307" t="s">
        <v>26</v>
      </c>
      <c r="L307" t="b">
        <v>0</v>
      </c>
    </row>
    <row r="308" spans="1:13" ht="34" x14ac:dyDescent="0.2">
      <c r="A308" t="s">
        <v>611</v>
      </c>
      <c r="B308" t="s">
        <v>109</v>
      </c>
      <c r="C308" t="s">
        <v>295</v>
      </c>
      <c r="D308" s="1">
        <v>45531</v>
      </c>
      <c r="E308" s="6" t="s">
        <v>60</v>
      </c>
      <c r="F308" t="s">
        <v>45</v>
      </c>
      <c r="G308" s="3" t="s">
        <v>46</v>
      </c>
      <c r="H308">
        <v>6.9</v>
      </c>
      <c r="I308">
        <v>41.04</v>
      </c>
      <c r="J308">
        <v>283.17</v>
      </c>
      <c r="K308" t="s">
        <v>92</v>
      </c>
      <c r="L308" t="b">
        <v>0</v>
      </c>
    </row>
    <row r="309" spans="1:13" ht="34" x14ac:dyDescent="0.2">
      <c r="A309" t="s">
        <v>612</v>
      </c>
      <c r="B309" t="s">
        <v>613</v>
      </c>
      <c r="C309" t="s">
        <v>22</v>
      </c>
      <c r="D309" s="1">
        <v>45373</v>
      </c>
      <c r="E309" s="6" t="s">
        <v>89</v>
      </c>
      <c r="F309" t="s">
        <v>90</v>
      </c>
      <c r="G309" s="3" t="s">
        <v>91</v>
      </c>
      <c r="H309">
        <v>4.2</v>
      </c>
      <c r="I309">
        <v>49.36</v>
      </c>
      <c r="J309">
        <v>207.32</v>
      </c>
      <c r="K309" t="s">
        <v>26</v>
      </c>
      <c r="L309" t="b">
        <v>0</v>
      </c>
    </row>
    <row r="310" spans="1:13" ht="17" x14ac:dyDescent="0.2">
      <c r="A310" t="s">
        <v>614</v>
      </c>
      <c r="B310" t="s">
        <v>582</v>
      </c>
      <c r="C310" t="s">
        <v>65</v>
      </c>
      <c r="D310" s="1">
        <v>45533</v>
      </c>
      <c r="E310" s="6" t="s">
        <v>16</v>
      </c>
      <c r="F310" t="s">
        <v>30</v>
      </c>
      <c r="G310" s="3" t="s">
        <v>31</v>
      </c>
      <c r="H310">
        <v>7.9</v>
      </c>
      <c r="I310">
        <v>38.549999999999997</v>
      </c>
      <c r="J310">
        <v>304.56</v>
      </c>
      <c r="K310" t="s">
        <v>36</v>
      </c>
      <c r="L310" t="b">
        <v>0</v>
      </c>
    </row>
    <row r="311" spans="1:13" ht="34" x14ac:dyDescent="0.2">
      <c r="A311" t="s">
        <v>615</v>
      </c>
      <c r="B311" t="s">
        <v>290</v>
      </c>
      <c r="C311" t="s">
        <v>130</v>
      </c>
      <c r="D311" s="1">
        <v>45620</v>
      </c>
      <c r="E311" s="6" t="s">
        <v>44</v>
      </c>
      <c r="F311" t="s">
        <v>90</v>
      </c>
      <c r="G311" s="3" t="s">
        <v>91</v>
      </c>
      <c r="H311">
        <v>5.9</v>
      </c>
      <c r="I311">
        <v>76.489999999999995</v>
      </c>
      <c r="J311">
        <v>451.31</v>
      </c>
      <c r="K311" t="s">
        <v>92</v>
      </c>
      <c r="L311" t="b">
        <v>0</v>
      </c>
    </row>
    <row r="312" spans="1:13" ht="34" x14ac:dyDescent="0.2">
      <c r="A312" t="s">
        <v>616</v>
      </c>
      <c r="B312" t="s">
        <v>617</v>
      </c>
      <c r="C312" t="s">
        <v>119</v>
      </c>
      <c r="D312" s="1">
        <v>45281</v>
      </c>
      <c r="E312" s="6" t="s">
        <v>60</v>
      </c>
      <c r="F312" t="s">
        <v>90</v>
      </c>
      <c r="G312" s="3" t="s">
        <v>91</v>
      </c>
      <c r="H312">
        <v>4.4000000000000004</v>
      </c>
      <c r="I312">
        <v>47.63</v>
      </c>
      <c r="J312">
        <v>209.57</v>
      </c>
      <c r="K312" t="s">
        <v>82</v>
      </c>
      <c r="L312" t="b">
        <v>0</v>
      </c>
    </row>
    <row r="313" spans="1:13" ht="34" x14ac:dyDescent="0.2">
      <c r="A313" t="s">
        <v>618</v>
      </c>
      <c r="B313" t="s">
        <v>288</v>
      </c>
      <c r="C313" t="s">
        <v>148</v>
      </c>
      <c r="D313" s="1">
        <v>45029</v>
      </c>
      <c r="E313" s="6" t="s">
        <v>44</v>
      </c>
      <c r="F313" t="s">
        <v>24</v>
      </c>
      <c r="G313" s="3" t="s">
        <v>25</v>
      </c>
      <c r="H313">
        <v>5.8</v>
      </c>
      <c r="I313">
        <v>67.17</v>
      </c>
      <c r="J313">
        <v>389.59</v>
      </c>
      <c r="K313" t="s">
        <v>32</v>
      </c>
      <c r="L313" t="b">
        <v>0</v>
      </c>
    </row>
    <row r="314" spans="1:13" ht="17" x14ac:dyDescent="0.2">
      <c r="A314" t="s">
        <v>619</v>
      </c>
      <c r="B314" t="s">
        <v>472</v>
      </c>
      <c r="C314" t="s">
        <v>159</v>
      </c>
      <c r="D314" s="1">
        <v>45216</v>
      </c>
      <c r="E314" s="6" t="s">
        <v>78</v>
      </c>
      <c r="F314" t="s">
        <v>17</v>
      </c>
      <c r="G314" s="3" t="s">
        <v>18</v>
      </c>
      <c r="H314">
        <v>7.1</v>
      </c>
      <c r="I314">
        <v>63.69</v>
      </c>
      <c r="J314">
        <v>452.23</v>
      </c>
      <c r="K314" t="s">
        <v>92</v>
      </c>
      <c r="L314" t="b">
        <v>0</v>
      </c>
    </row>
    <row r="315" spans="1:13" ht="34" x14ac:dyDescent="0.2">
      <c r="A315" t="s">
        <v>620</v>
      </c>
      <c r="B315" t="s">
        <v>352</v>
      </c>
      <c r="C315" t="s">
        <v>29</v>
      </c>
      <c r="D315" s="1">
        <v>44962</v>
      </c>
      <c r="E315" s="6" t="s">
        <v>23</v>
      </c>
      <c r="F315" t="s">
        <v>90</v>
      </c>
      <c r="G315" s="3" t="s">
        <v>91</v>
      </c>
      <c r="H315">
        <v>7.4</v>
      </c>
      <c r="I315">
        <v>80.150000000000006</v>
      </c>
      <c r="J315">
        <v>593.1</v>
      </c>
      <c r="K315" t="s">
        <v>56</v>
      </c>
      <c r="L315" t="b">
        <v>0</v>
      </c>
    </row>
    <row r="316" spans="1:13" ht="34" x14ac:dyDescent="0.2">
      <c r="A316" t="s">
        <v>621</v>
      </c>
      <c r="B316" t="s">
        <v>361</v>
      </c>
      <c r="C316" t="s">
        <v>156</v>
      </c>
      <c r="D316" s="1">
        <v>45343</v>
      </c>
      <c r="E316" s="6" t="s">
        <v>89</v>
      </c>
      <c r="F316" t="s">
        <v>30</v>
      </c>
      <c r="G316" s="3" t="s">
        <v>31</v>
      </c>
      <c r="H316">
        <v>7.4</v>
      </c>
      <c r="I316">
        <v>66.540000000000006</v>
      </c>
      <c r="J316">
        <v>492.38</v>
      </c>
      <c r="K316" t="s">
        <v>113</v>
      </c>
      <c r="L316" t="b">
        <v>1</v>
      </c>
      <c r="M316" s="3" t="s">
        <v>102</v>
      </c>
    </row>
    <row r="317" spans="1:13" ht="17" x14ac:dyDescent="0.2">
      <c r="A317" t="s">
        <v>622</v>
      </c>
      <c r="B317" t="s">
        <v>168</v>
      </c>
      <c r="C317" t="s">
        <v>207</v>
      </c>
      <c r="D317" s="1">
        <v>45064</v>
      </c>
      <c r="E317" s="6" t="s">
        <v>16</v>
      </c>
      <c r="F317" t="s">
        <v>17</v>
      </c>
      <c r="G317" s="3" t="s">
        <v>18</v>
      </c>
      <c r="H317">
        <v>3.6</v>
      </c>
      <c r="I317">
        <v>80.45</v>
      </c>
      <c r="J317">
        <v>289.62</v>
      </c>
      <c r="K317" t="s">
        <v>113</v>
      </c>
      <c r="L317" t="b">
        <v>0</v>
      </c>
    </row>
    <row r="318" spans="1:13" ht="34" x14ac:dyDescent="0.2">
      <c r="A318" t="s">
        <v>623</v>
      </c>
      <c r="B318" t="s">
        <v>624</v>
      </c>
      <c r="C318" t="s">
        <v>293</v>
      </c>
      <c r="D318" s="1">
        <v>45654</v>
      </c>
      <c r="E318" s="6" t="s">
        <v>44</v>
      </c>
      <c r="F318" t="s">
        <v>45</v>
      </c>
      <c r="G318" s="3" t="s">
        <v>46</v>
      </c>
      <c r="H318">
        <v>7.4</v>
      </c>
      <c r="I318">
        <v>58.81</v>
      </c>
      <c r="J318">
        <v>435.2</v>
      </c>
      <c r="K318" t="s">
        <v>19</v>
      </c>
      <c r="L318" t="b">
        <v>0</v>
      </c>
    </row>
    <row r="319" spans="1:13" ht="68" x14ac:dyDescent="0.2">
      <c r="A319" t="s">
        <v>625</v>
      </c>
      <c r="B319" t="s">
        <v>182</v>
      </c>
      <c r="C319" t="s">
        <v>194</v>
      </c>
      <c r="D319" s="1">
        <v>45382</v>
      </c>
      <c r="E319" s="6" t="s">
        <v>23</v>
      </c>
      <c r="F319" t="s">
        <v>50</v>
      </c>
      <c r="G319" s="3" t="s">
        <v>51</v>
      </c>
      <c r="H319">
        <v>7.6</v>
      </c>
      <c r="I319">
        <v>43.87</v>
      </c>
      <c r="J319">
        <v>333.41</v>
      </c>
      <c r="K319" t="s">
        <v>92</v>
      </c>
      <c r="L319" t="b">
        <v>0</v>
      </c>
    </row>
    <row r="320" spans="1:13" ht="68" x14ac:dyDescent="0.2">
      <c r="A320" t="s">
        <v>626</v>
      </c>
      <c r="B320" t="s">
        <v>390</v>
      </c>
      <c r="C320" t="s">
        <v>219</v>
      </c>
      <c r="D320" s="1">
        <v>45365</v>
      </c>
      <c r="E320" s="6" t="s">
        <v>60</v>
      </c>
      <c r="F320" t="s">
        <v>50</v>
      </c>
      <c r="G320" s="3" t="s">
        <v>51</v>
      </c>
      <c r="H320">
        <v>19.5</v>
      </c>
      <c r="I320">
        <v>67.760000000000005</v>
      </c>
      <c r="J320">
        <v>1321.32</v>
      </c>
      <c r="K320" t="s">
        <v>96</v>
      </c>
      <c r="L320" t="b">
        <v>1</v>
      </c>
      <c r="M320" s="3" t="s">
        <v>79</v>
      </c>
    </row>
    <row r="321" spans="1:12" ht="34" x14ac:dyDescent="0.2">
      <c r="A321" t="s">
        <v>627</v>
      </c>
      <c r="B321" t="s">
        <v>147</v>
      </c>
      <c r="C321" t="s">
        <v>196</v>
      </c>
      <c r="D321" s="1">
        <v>45198</v>
      </c>
      <c r="E321" s="6" t="s">
        <v>89</v>
      </c>
      <c r="F321" t="s">
        <v>90</v>
      </c>
      <c r="G321" s="3" t="s">
        <v>91</v>
      </c>
      <c r="H321">
        <v>3.8</v>
      </c>
      <c r="I321">
        <v>58.84</v>
      </c>
      <c r="J321">
        <v>223.58</v>
      </c>
      <c r="K321" t="s">
        <v>32</v>
      </c>
      <c r="L321" t="b">
        <v>0</v>
      </c>
    </row>
    <row r="322" spans="1:12" ht="34" x14ac:dyDescent="0.2">
      <c r="A322" t="s">
        <v>628</v>
      </c>
      <c r="B322" t="s">
        <v>617</v>
      </c>
      <c r="C322" t="s">
        <v>295</v>
      </c>
      <c r="D322" s="1">
        <v>45040</v>
      </c>
      <c r="E322" s="6" t="s">
        <v>60</v>
      </c>
      <c r="F322" t="s">
        <v>61</v>
      </c>
      <c r="G322" s="3" t="s">
        <v>62</v>
      </c>
      <c r="H322">
        <v>6.1</v>
      </c>
      <c r="I322">
        <v>57.43</v>
      </c>
      <c r="J322">
        <v>350.35</v>
      </c>
      <c r="K322" t="s">
        <v>82</v>
      </c>
      <c r="L322" t="b">
        <v>0</v>
      </c>
    </row>
    <row r="323" spans="1:12" ht="68" x14ac:dyDescent="0.2">
      <c r="A323" t="s">
        <v>629</v>
      </c>
      <c r="B323" t="s">
        <v>630</v>
      </c>
      <c r="C323" t="s">
        <v>175</v>
      </c>
      <c r="D323" s="1">
        <v>45501</v>
      </c>
      <c r="E323" s="6" t="s">
        <v>44</v>
      </c>
      <c r="F323" t="s">
        <v>50</v>
      </c>
      <c r="G323" s="3" t="s">
        <v>51</v>
      </c>
      <c r="H323">
        <v>6.7</v>
      </c>
      <c r="I323">
        <v>66.36</v>
      </c>
      <c r="J323">
        <v>444.6</v>
      </c>
      <c r="K323" t="s">
        <v>32</v>
      </c>
      <c r="L323" t="b">
        <v>0</v>
      </c>
    </row>
    <row r="324" spans="1:12" ht="34" x14ac:dyDescent="0.2">
      <c r="A324" t="s">
        <v>631</v>
      </c>
      <c r="B324" t="s">
        <v>42</v>
      </c>
      <c r="C324" t="s">
        <v>71</v>
      </c>
      <c r="D324" s="1">
        <v>45460</v>
      </c>
      <c r="E324" s="6" t="s">
        <v>44</v>
      </c>
      <c r="F324" t="s">
        <v>54</v>
      </c>
      <c r="G324" s="3" t="s">
        <v>55</v>
      </c>
      <c r="H324">
        <v>2.2999999999999998</v>
      </c>
      <c r="I324">
        <v>51.23</v>
      </c>
      <c r="J324">
        <v>117.82</v>
      </c>
      <c r="K324" t="s">
        <v>19</v>
      </c>
      <c r="L324" t="b">
        <v>0</v>
      </c>
    </row>
    <row r="325" spans="1:12" ht="34" x14ac:dyDescent="0.2">
      <c r="A325" t="s">
        <v>632</v>
      </c>
      <c r="B325" t="s">
        <v>633</v>
      </c>
      <c r="C325" t="s">
        <v>145</v>
      </c>
      <c r="D325" s="1">
        <v>45270</v>
      </c>
      <c r="E325" s="6" t="s">
        <v>89</v>
      </c>
      <c r="F325" t="s">
        <v>54</v>
      </c>
      <c r="G325" s="3" t="s">
        <v>55</v>
      </c>
      <c r="H325">
        <v>5.6</v>
      </c>
      <c r="I325">
        <v>61.83</v>
      </c>
      <c r="J325">
        <v>346.26</v>
      </c>
      <c r="K325" t="s">
        <v>19</v>
      </c>
      <c r="L325" t="b">
        <v>0</v>
      </c>
    </row>
    <row r="326" spans="1:12" ht="34" x14ac:dyDescent="0.2">
      <c r="A326" t="s">
        <v>634</v>
      </c>
      <c r="B326" t="s">
        <v>635</v>
      </c>
      <c r="C326" t="s">
        <v>280</v>
      </c>
      <c r="D326" s="1">
        <v>45578</v>
      </c>
      <c r="E326" s="6" t="s">
        <v>16</v>
      </c>
      <c r="F326" t="s">
        <v>61</v>
      </c>
      <c r="G326" s="3" t="s">
        <v>62</v>
      </c>
      <c r="H326">
        <v>7.8</v>
      </c>
      <c r="I326">
        <v>44.58</v>
      </c>
      <c r="J326">
        <v>347.74</v>
      </c>
      <c r="K326" t="s">
        <v>56</v>
      </c>
      <c r="L326" t="b">
        <v>0</v>
      </c>
    </row>
    <row r="327" spans="1:12" ht="34" x14ac:dyDescent="0.2">
      <c r="A327" t="s">
        <v>636</v>
      </c>
      <c r="B327" t="s">
        <v>288</v>
      </c>
      <c r="C327" t="s">
        <v>88</v>
      </c>
      <c r="D327" s="1">
        <v>45054</v>
      </c>
      <c r="E327" s="6" t="s">
        <v>23</v>
      </c>
      <c r="F327" t="s">
        <v>45</v>
      </c>
      <c r="G327" s="3" t="s">
        <v>46</v>
      </c>
      <c r="H327">
        <v>6.7</v>
      </c>
      <c r="I327">
        <v>52.03</v>
      </c>
      <c r="J327">
        <v>348.62</v>
      </c>
      <c r="K327" t="s">
        <v>32</v>
      </c>
      <c r="L327" t="b">
        <v>0</v>
      </c>
    </row>
    <row r="328" spans="1:12" ht="34" x14ac:dyDescent="0.2">
      <c r="A328" t="s">
        <v>637</v>
      </c>
      <c r="B328" t="s">
        <v>221</v>
      </c>
      <c r="C328" t="s">
        <v>186</v>
      </c>
      <c r="D328" s="1">
        <v>45365</v>
      </c>
      <c r="E328" s="6" t="s">
        <v>23</v>
      </c>
      <c r="F328" t="s">
        <v>54</v>
      </c>
      <c r="G328" s="3" t="s">
        <v>55</v>
      </c>
      <c r="H328">
        <v>5.3</v>
      </c>
      <c r="I328">
        <v>47.53</v>
      </c>
      <c r="J328">
        <v>251.89</v>
      </c>
      <c r="K328" t="s">
        <v>36</v>
      </c>
      <c r="L328" t="b">
        <v>0</v>
      </c>
    </row>
    <row r="329" spans="1:12" ht="34" x14ac:dyDescent="0.2">
      <c r="A329" t="s">
        <v>638</v>
      </c>
      <c r="B329" t="s">
        <v>218</v>
      </c>
      <c r="C329" t="s">
        <v>365</v>
      </c>
      <c r="D329" s="1">
        <v>44974</v>
      </c>
      <c r="E329" s="6" t="s">
        <v>23</v>
      </c>
      <c r="F329" t="s">
        <v>61</v>
      </c>
      <c r="G329" s="3" t="s">
        <v>62</v>
      </c>
      <c r="H329">
        <v>2.5</v>
      </c>
      <c r="I329">
        <v>62.12</v>
      </c>
      <c r="J329">
        <v>155.29</v>
      </c>
      <c r="K329" t="s">
        <v>19</v>
      </c>
      <c r="L329" t="b">
        <v>0</v>
      </c>
    </row>
    <row r="330" spans="1:12" ht="34" x14ac:dyDescent="0.2">
      <c r="A330" t="s">
        <v>639</v>
      </c>
      <c r="B330" t="s">
        <v>640</v>
      </c>
      <c r="C330" t="s">
        <v>71</v>
      </c>
      <c r="D330" s="1">
        <v>45585</v>
      </c>
      <c r="E330" s="6" t="s">
        <v>16</v>
      </c>
      <c r="F330" t="s">
        <v>90</v>
      </c>
      <c r="G330" s="3" t="s">
        <v>91</v>
      </c>
      <c r="H330">
        <v>2.5</v>
      </c>
      <c r="I330">
        <v>34.25</v>
      </c>
      <c r="J330">
        <v>85.63</v>
      </c>
      <c r="K330" t="s">
        <v>96</v>
      </c>
      <c r="L330" t="b">
        <v>0</v>
      </c>
    </row>
    <row r="331" spans="1:12" ht="68" x14ac:dyDescent="0.2">
      <c r="A331" t="s">
        <v>641</v>
      </c>
      <c r="B331" t="s">
        <v>642</v>
      </c>
      <c r="C331" t="s">
        <v>65</v>
      </c>
      <c r="D331" s="1">
        <v>45495</v>
      </c>
      <c r="E331" s="6" t="s">
        <v>44</v>
      </c>
      <c r="F331" t="s">
        <v>50</v>
      </c>
      <c r="G331" s="3" t="s">
        <v>51</v>
      </c>
      <c r="H331">
        <v>6.4</v>
      </c>
      <c r="I331">
        <v>44</v>
      </c>
      <c r="J331">
        <v>281.60000000000002</v>
      </c>
      <c r="K331" t="s">
        <v>96</v>
      </c>
      <c r="L331" t="b">
        <v>0</v>
      </c>
    </row>
    <row r="332" spans="1:12" ht="34" x14ac:dyDescent="0.2">
      <c r="A332" t="s">
        <v>643</v>
      </c>
      <c r="B332" t="s">
        <v>582</v>
      </c>
      <c r="C332" t="s">
        <v>71</v>
      </c>
      <c r="D332" s="1">
        <v>45457</v>
      </c>
      <c r="E332" s="6" t="s">
        <v>78</v>
      </c>
      <c r="F332" t="s">
        <v>90</v>
      </c>
      <c r="G332" s="3" t="s">
        <v>91</v>
      </c>
      <c r="H332">
        <v>2</v>
      </c>
      <c r="I332">
        <v>43.5</v>
      </c>
      <c r="J332">
        <v>86.99</v>
      </c>
      <c r="K332" t="s">
        <v>36</v>
      </c>
      <c r="L332" t="b">
        <v>0</v>
      </c>
    </row>
    <row r="333" spans="1:12" ht="34" x14ac:dyDescent="0.2">
      <c r="A333" t="s">
        <v>644</v>
      </c>
      <c r="B333" t="s">
        <v>245</v>
      </c>
      <c r="C333" t="s">
        <v>159</v>
      </c>
      <c r="D333" s="1">
        <v>45589</v>
      </c>
      <c r="E333" s="6" t="s">
        <v>60</v>
      </c>
      <c r="F333" t="s">
        <v>45</v>
      </c>
      <c r="G333" s="3" t="s">
        <v>46</v>
      </c>
      <c r="H333">
        <v>2.6</v>
      </c>
      <c r="I333">
        <v>30.24</v>
      </c>
      <c r="J333">
        <v>78.62</v>
      </c>
      <c r="K333" t="s">
        <v>32</v>
      </c>
      <c r="L333" t="b">
        <v>0</v>
      </c>
    </row>
    <row r="334" spans="1:12" ht="17" x14ac:dyDescent="0.2">
      <c r="A334" t="s">
        <v>645</v>
      </c>
      <c r="B334" t="s">
        <v>646</v>
      </c>
      <c r="C334" t="s">
        <v>343</v>
      </c>
      <c r="D334" s="1">
        <v>45284</v>
      </c>
      <c r="E334" s="6" t="s">
        <v>44</v>
      </c>
      <c r="F334" t="s">
        <v>17</v>
      </c>
      <c r="G334" s="3" t="s">
        <v>18</v>
      </c>
      <c r="H334">
        <v>5.3</v>
      </c>
      <c r="I334">
        <v>55.75</v>
      </c>
      <c r="J334">
        <v>295.45999999999998</v>
      </c>
      <c r="K334" t="s">
        <v>82</v>
      </c>
      <c r="L334" t="b">
        <v>0</v>
      </c>
    </row>
    <row r="335" spans="1:12" ht="34" x14ac:dyDescent="0.2">
      <c r="A335" t="s">
        <v>647</v>
      </c>
      <c r="B335" t="s">
        <v>527</v>
      </c>
      <c r="C335" t="s">
        <v>133</v>
      </c>
      <c r="D335" s="1">
        <v>45188</v>
      </c>
      <c r="E335" s="6" t="s">
        <v>89</v>
      </c>
      <c r="F335" t="s">
        <v>24</v>
      </c>
      <c r="G335" s="3" t="s">
        <v>25</v>
      </c>
      <c r="H335">
        <v>2.5</v>
      </c>
      <c r="I335">
        <v>58.25</v>
      </c>
      <c r="J335">
        <v>145.63</v>
      </c>
      <c r="K335" t="s">
        <v>82</v>
      </c>
      <c r="L335" t="b">
        <v>0</v>
      </c>
    </row>
    <row r="336" spans="1:12" ht="34" x14ac:dyDescent="0.2">
      <c r="A336" t="s">
        <v>648</v>
      </c>
      <c r="B336" t="s">
        <v>649</v>
      </c>
      <c r="C336" t="s">
        <v>35</v>
      </c>
      <c r="D336" s="1">
        <v>45594</v>
      </c>
      <c r="E336" s="6" t="s">
        <v>60</v>
      </c>
      <c r="F336" t="s">
        <v>54</v>
      </c>
      <c r="G336" s="3" t="s">
        <v>55</v>
      </c>
      <c r="H336">
        <v>7.2</v>
      </c>
      <c r="I336">
        <v>25.74</v>
      </c>
      <c r="J336">
        <v>185.33</v>
      </c>
      <c r="K336" t="s">
        <v>26</v>
      </c>
      <c r="L336" t="b">
        <v>0</v>
      </c>
    </row>
    <row r="337" spans="1:13" ht="34" x14ac:dyDescent="0.2">
      <c r="A337" t="s">
        <v>650</v>
      </c>
      <c r="B337" t="s">
        <v>543</v>
      </c>
      <c r="C337" t="s">
        <v>138</v>
      </c>
      <c r="D337" s="1">
        <v>45475</v>
      </c>
      <c r="E337" s="6" t="s">
        <v>89</v>
      </c>
      <c r="F337" t="s">
        <v>61</v>
      </c>
      <c r="G337" s="3" t="s">
        <v>62</v>
      </c>
      <c r="H337">
        <v>6.7</v>
      </c>
      <c r="I337">
        <v>68.489999999999995</v>
      </c>
      <c r="J337">
        <v>458.89</v>
      </c>
      <c r="K337" t="s">
        <v>92</v>
      </c>
      <c r="L337" t="b">
        <v>1</v>
      </c>
      <c r="M337" s="3" t="s">
        <v>102</v>
      </c>
    </row>
    <row r="338" spans="1:13" ht="17" x14ac:dyDescent="0.2">
      <c r="A338" t="s">
        <v>651</v>
      </c>
      <c r="B338" t="s">
        <v>652</v>
      </c>
      <c r="C338" t="s">
        <v>68</v>
      </c>
      <c r="D338" s="1">
        <v>45369</v>
      </c>
      <c r="E338" s="6" t="s">
        <v>60</v>
      </c>
      <c r="F338" t="s">
        <v>30</v>
      </c>
      <c r="G338" s="3" t="s">
        <v>31</v>
      </c>
      <c r="H338">
        <v>5.4</v>
      </c>
      <c r="I338">
        <v>35.17</v>
      </c>
      <c r="J338">
        <v>189.94</v>
      </c>
      <c r="K338" t="s">
        <v>82</v>
      </c>
      <c r="L338" t="b">
        <v>0</v>
      </c>
    </row>
    <row r="339" spans="1:13" ht="68" x14ac:dyDescent="0.2">
      <c r="A339" t="s">
        <v>653</v>
      </c>
      <c r="B339" t="s">
        <v>315</v>
      </c>
      <c r="C339" t="s">
        <v>95</v>
      </c>
      <c r="D339" s="1">
        <v>45205</v>
      </c>
      <c r="E339" s="6" t="s">
        <v>60</v>
      </c>
      <c r="F339" t="s">
        <v>50</v>
      </c>
      <c r="G339" s="3" t="s">
        <v>51</v>
      </c>
      <c r="H339">
        <v>2.8</v>
      </c>
      <c r="I339">
        <v>43.07</v>
      </c>
      <c r="J339">
        <v>120.59</v>
      </c>
      <c r="K339" t="s">
        <v>36</v>
      </c>
      <c r="L339" t="b">
        <v>0</v>
      </c>
    </row>
    <row r="340" spans="1:13" ht="68" x14ac:dyDescent="0.2">
      <c r="A340" t="s">
        <v>654</v>
      </c>
      <c r="B340" t="s">
        <v>580</v>
      </c>
      <c r="C340" t="s">
        <v>85</v>
      </c>
      <c r="D340" s="1">
        <v>45398</v>
      </c>
      <c r="E340" s="6" t="s">
        <v>60</v>
      </c>
      <c r="F340" t="s">
        <v>50</v>
      </c>
      <c r="G340" s="3" t="s">
        <v>51</v>
      </c>
      <c r="H340">
        <v>23.3</v>
      </c>
      <c r="I340">
        <v>51.08</v>
      </c>
      <c r="J340">
        <v>1190.1600000000001</v>
      </c>
      <c r="K340" t="s">
        <v>82</v>
      </c>
      <c r="L340" t="b">
        <v>1</v>
      </c>
      <c r="M340" s="3" t="s">
        <v>79</v>
      </c>
    </row>
    <row r="341" spans="1:13" ht="34" x14ac:dyDescent="0.2">
      <c r="A341" t="s">
        <v>655</v>
      </c>
      <c r="B341" t="s">
        <v>656</v>
      </c>
      <c r="C341" t="s">
        <v>85</v>
      </c>
      <c r="D341" s="1">
        <v>45226</v>
      </c>
      <c r="E341" s="6" t="s">
        <v>78</v>
      </c>
      <c r="F341" t="s">
        <v>45</v>
      </c>
      <c r="G341" s="3" t="s">
        <v>46</v>
      </c>
      <c r="H341">
        <v>4.9000000000000004</v>
      </c>
      <c r="I341">
        <v>29.62</v>
      </c>
      <c r="J341">
        <v>145.11000000000001</v>
      </c>
      <c r="K341" t="s">
        <v>56</v>
      </c>
      <c r="L341" t="b">
        <v>0</v>
      </c>
    </row>
    <row r="342" spans="1:13" ht="17" x14ac:dyDescent="0.2">
      <c r="A342" t="s">
        <v>657</v>
      </c>
      <c r="B342" t="s">
        <v>165</v>
      </c>
      <c r="C342" t="s">
        <v>365</v>
      </c>
      <c r="D342" s="1">
        <v>45530</v>
      </c>
      <c r="E342" s="6" t="s">
        <v>89</v>
      </c>
      <c r="F342" t="s">
        <v>30</v>
      </c>
      <c r="G342" s="3" t="s">
        <v>31</v>
      </c>
      <c r="H342">
        <v>6.3</v>
      </c>
      <c r="I342">
        <v>54.75</v>
      </c>
      <c r="J342">
        <v>344.91</v>
      </c>
      <c r="K342" t="s">
        <v>105</v>
      </c>
      <c r="L342" t="b">
        <v>0</v>
      </c>
    </row>
    <row r="343" spans="1:13" ht="17" x14ac:dyDescent="0.2">
      <c r="A343" t="s">
        <v>658</v>
      </c>
      <c r="B343" t="s">
        <v>659</v>
      </c>
      <c r="C343" t="s">
        <v>161</v>
      </c>
      <c r="D343" s="1">
        <v>45632</v>
      </c>
      <c r="E343" s="6" t="s">
        <v>44</v>
      </c>
      <c r="F343" t="s">
        <v>30</v>
      </c>
      <c r="G343" s="3" t="s">
        <v>31</v>
      </c>
      <c r="H343">
        <v>4.7</v>
      </c>
      <c r="I343">
        <v>33.130000000000003</v>
      </c>
      <c r="J343">
        <v>155.71</v>
      </c>
      <c r="K343" t="s">
        <v>92</v>
      </c>
      <c r="L343" t="b">
        <v>0</v>
      </c>
    </row>
    <row r="344" spans="1:13" ht="34" x14ac:dyDescent="0.2">
      <c r="A344" t="s">
        <v>660</v>
      </c>
      <c r="B344" t="s">
        <v>238</v>
      </c>
      <c r="C344" t="s">
        <v>178</v>
      </c>
      <c r="D344" s="1">
        <v>45404</v>
      </c>
      <c r="E344" s="6" t="s">
        <v>78</v>
      </c>
      <c r="F344" t="s">
        <v>61</v>
      </c>
      <c r="G344" s="3" t="s">
        <v>62</v>
      </c>
      <c r="H344">
        <v>4</v>
      </c>
      <c r="I344">
        <v>62.21</v>
      </c>
      <c r="J344">
        <v>248.85</v>
      </c>
      <c r="K344" t="s">
        <v>105</v>
      </c>
      <c r="L344" t="b">
        <v>0</v>
      </c>
    </row>
    <row r="345" spans="1:13" ht="17" x14ac:dyDescent="0.2">
      <c r="A345" t="s">
        <v>661</v>
      </c>
      <c r="B345" t="s">
        <v>352</v>
      </c>
      <c r="C345" t="s">
        <v>119</v>
      </c>
      <c r="D345" s="1">
        <v>45481</v>
      </c>
      <c r="E345" s="6" t="s">
        <v>16</v>
      </c>
      <c r="F345" t="s">
        <v>17</v>
      </c>
      <c r="G345" s="3" t="s">
        <v>18</v>
      </c>
      <c r="H345">
        <v>4</v>
      </c>
      <c r="I345">
        <v>73.930000000000007</v>
      </c>
      <c r="J345">
        <v>295.70999999999998</v>
      </c>
      <c r="K345" t="s">
        <v>56</v>
      </c>
      <c r="L345" t="b">
        <v>0</v>
      </c>
    </row>
    <row r="346" spans="1:13" ht="68" x14ac:dyDescent="0.2">
      <c r="A346" t="s">
        <v>662</v>
      </c>
      <c r="B346" t="s">
        <v>602</v>
      </c>
      <c r="C346" t="s">
        <v>274</v>
      </c>
      <c r="D346" s="1">
        <v>45618</v>
      </c>
      <c r="E346" s="6" t="s">
        <v>16</v>
      </c>
      <c r="F346" t="s">
        <v>50</v>
      </c>
      <c r="G346" s="3" t="s">
        <v>51</v>
      </c>
      <c r="H346">
        <v>3.8</v>
      </c>
      <c r="I346">
        <v>61.19</v>
      </c>
      <c r="J346">
        <v>232.53</v>
      </c>
      <c r="K346" t="s">
        <v>56</v>
      </c>
      <c r="L346" t="b">
        <v>0</v>
      </c>
    </row>
    <row r="347" spans="1:13" ht="34" x14ac:dyDescent="0.2">
      <c r="A347" t="s">
        <v>663</v>
      </c>
      <c r="B347" t="s">
        <v>664</v>
      </c>
      <c r="C347" t="s">
        <v>88</v>
      </c>
      <c r="D347" s="1">
        <v>45187</v>
      </c>
      <c r="E347" s="6" t="s">
        <v>60</v>
      </c>
      <c r="F347" t="s">
        <v>30</v>
      </c>
      <c r="G347" s="3" t="s">
        <v>31</v>
      </c>
      <c r="H347">
        <v>28</v>
      </c>
      <c r="I347">
        <v>35.659999999999997</v>
      </c>
      <c r="J347">
        <v>1000</v>
      </c>
      <c r="K347" t="s">
        <v>19</v>
      </c>
      <c r="L347" t="b">
        <v>1</v>
      </c>
      <c r="M347" s="3" t="s">
        <v>40</v>
      </c>
    </row>
    <row r="348" spans="1:13" ht="34" x14ac:dyDescent="0.2">
      <c r="A348" t="s">
        <v>665</v>
      </c>
      <c r="B348" t="s">
        <v>666</v>
      </c>
      <c r="C348" t="s">
        <v>211</v>
      </c>
      <c r="D348" s="1">
        <v>45015</v>
      </c>
      <c r="E348" s="6" t="s">
        <v>60</v>
      </c>
      <c r="F348" t="s">
        <v>54</v>
      </c>
      <c r="G348" s="3" t="s">
        <v>55</v>
      </c>
      <c r="H348">
        <v>3.7</v>
      </c>
      <c r="I348">
        <v>66.7</v>
      </c>
      <c r="J348">
        <v>246.78</v>
      </c>
      <c r="K348" t="s">
        <v>113</v>
      </c>
      <c r="L348" t="b">
        <v>0</v>
      </c>
    </row>
    <row r="349" spans="1:13" ht="17" x14ac:dyDescent="0.2">
      <c r="A349" t="s">
        <v>667</v>
      </c>
      <c r="B349" t="s">
        <v>317</v>
      </c>
      <c r="C349" t="s">
        <v>159</v>
      </c>
      <c r="D349" s="1">
        <v>45645</v>
      </c>
      <c r="E349" s="6" t="s">
        <v>60</v>
      </c>
      <c r="F349" t="s">
        <v>30</v>
      </c>
      <c r="G349" s="3" t="s">
        <v>31</v>
      </c>
      <c r="H349">
        <v>4</v>
      </c>
      <c r="I349">
        <v>41.82</v>
      </c>
      <c r="J349">
        <v>167.27</v>
      </c>
      <c r="K349" t="s">
        <v>113</v>
      </c>
      <c r="L349" t="b">
        <v>0</v>
      </c>
    </row>
    <row r="350" spans="1:13" ht="34" x14ac:dyDescent="0.2">
      <c r="A350" t="s">
        <v>668</v>
      </c>
      <c r="B350" t="s">
        <v>669</v>
      </c>
      <c r="C350" t="s">
        <v>130</v>
      </c>
      <c r="D350" s="1">
        <v>44930</v>
      </c>
      <c r="E350" s="6" t="s">
        <v>89</v>
      </c>
      <c r="F350" t="s">
        <v>54</v>
      </c>
      <c r="G350" s="3" t="s">
        <v>55</v>
      </c>
      <c r="H350">
        <v>2.7</v>
      </c>
      <c r="I350">
        <v>58.83</v>
      </c>
      <c r="J350">
        <v>158.84</v>
      </c>
      <c r="K350" t="s">
        <v>36</v>
      </c>
      <c r="L350" t="b">
        <v>0</v>
      </c>
    </row>
    <row r="351" spans="1:13" ht="68" x14ac:dyDescent="0.2">
      <c r="A351" t="s">
        <v>670</v>
      </c>
      <c r="B351" t="s">
        <v>336</v>
      </c>
      <c r="C351" t="s">
        <v>191</v>
      </c>
      <c r="D351" s="1">
        <v>38759</v>
      </c>
      <c r="E351" s="6" t="s">
        <v>16</v>
      </c>
      <c r="F351" t="s">
        <v>50</v>
      </c>
      <c r="G351" s="3" t="s">
        <v>51</v>
      </c>
      <c r="H351">
        <v>6.1</v>
      </c>
      <c r="I351">
        <v>58.01</v>
      </c>
      <c r="J351">
        <v>353.84</v>
      </c>
      <c r="K351" t="s">
        <v>105</v>
      </c>
      <c r="L351" t="b">
        <v>1</v>
      </c>
      <c r="M351" s="3" t="s">
        <v>99</v>
      </c>
    </row>
    <row r="352" spans="1:13" ht="17" x14ac:dyDescent="0.2">
      <c r="A352" t="s">
        <v>671</v>
      </c>
      <c r="B352" t="s">
        <v>672</v>
      </c>
      <c r="C352" t="s">
        <v>35</v>
      </c>
      <c r="D352" s="1">
        <v>44976</v>
      </c>
      <c r="E352" s="6" t="s">
        <v>78</v>
      </c>
      <c r="F352" t="s">
        <v>17</v>
      </c>
      <c r="G352" s="3" t="s">
        <v>18</v>
      </c>
      <c r="H352">
        <v>7.7</v>
      </c>
      <c r="I352">
        <v>37.58</v>
      </c>
      <c r="J352">
        <v>289.36</v>
      </c>
      <c r="K352" t="s">
        <v>92</v>
      </c>
      <c r="L352" t="b">
        <v>0</v>
      </c>
    </row>
    <row r="353" spans="1:13" ht="34" x14ac:dyDescent="0.2">
      <c r="A353" t="s">
        <v>673</v>
      </c>
      <c r="B353" t="s">
        <v>674</v>
      </c>
      <c r="C353" t="s">
        <v>161</v>
      </c>
      <c r="D353" s="1">
        <v>45312</v>
      </c>
      <c r="E353" s="6" t="s">
        <v>60</v>
      </c>
      <c r="F353" t="s">
        <v>90</v>
      </c>
      <c r="G353" s="3" t="s">
        <v>91</v>
      </c>
      <c r="H353">
        <v>6.9</v>
      </c>
      <c r="I353">
        <v>72.739999999999995</v>
      </c>
      <c r="J353">
        <v>501.9</v>
      </c>
      <c r="K353" t="s">
        <v>36</v>
      </c>
      <c r="L353" t="b">
        <v>0</v>
      </c>
    </row>
    <row r="354" spans="1:13" ht="17" x14ac:dyDescent="0.2">
      <c r="A354" t="s">
        <v>675</v>
      </c>
      <c r="B354" t="s">
        <v>300</v>
      </c>
      <c r="C354" t="s">
        <v>266</v>
      </c>
      <c r="D354" s="1">
        <v>45327</v>
      </c>
      <c r="E354" s="6" t="s">
        <v>78</v>
      </c>
      <c r="F354" t="s">
        <v>17</v>
      </c>
      <c r="G354" s="3" t="s">
        <v>18</v>
      </c>
      <c r="H354">
        <v>2.8</v>
      </c>
      <c r="I354">
        <v>43.17</v>
      </c>
      <c r="J354">
        <v>120.88</v>
      </c>
      <c r="K354" t="s">
        <v>32</v>
      </c>
      <c r="L354" t="b">
        <v>0</v>
      </c>
    </row>
    <row r="355" spans="1:13" ht="68" x14ac:dyDescent="0.2">
      <c r="A355" t="s">
        <v>676</v>
      </c>
      <c r="B355" t="s">
        <v>378</v>
      </c>
      <c r="C355" t="s">
        <v>370</v>
      </c>
      <c r="D355" s="1">
        <v>45618</v>
      </c>
      <c r="E355" s="6" t="s">
        <v>44</v>
      </c>
      <c r="F355" t="s">
        <v>50</v>
      </c>
      <c r="G355" s="3" t="s">
        <v>51</v>
      </c>
      <c r="H355">
        <v>6.3</v>
      </c>
      <c r="I355">
        <v>72.34</v>
      </c>
      <c r="J355">
        <v>455.77</v>
      </c>
      <c r="K355" t="s">
        <v>26</v>
      </c>
      <c r="L355" t="b">
        <v>0</v>
      </c>
    </row>
    <row r="356" spans="1:13" ht="17" x14ac:dyDescent="0.2">
      <c r="A356" t="s">
        <v>677</v>
      </c>
      <c r="B356" t="s">
        <v>561</v>
      </c>
      <c r="C356" t="s">
        <v>391</v>
      </c>
      <c r="D356" s="1">
        <v>45027</v>
      </c>
      <c r="E356" s="6" t="s">
        <v>60</v>
      </c>
      <c r="F356" t="s">
        <v>17</v>
      </c>
      <c r="G356" s="3" t="s">
        <v>18</v>
      </c>
      <c r="H356">
        <v>7.9</v>
      </c>
      <c r="I356">
        <v>53.75</v>
      </c>
      <c r="J356">
        <v>424.66</v>
      </c>
      <c r="K356" t="s">
        <v>105</v>
      </c>
      <c r="L356" t="b">
        <v>0</v>
      </c>
    </row>
    <row r="357" spans="1:13" ht="34" x14ac:dyDescent="0.2">
      <c r="A357" t="s">
        <v>678</v>
      </c>
      <c r="B357" t="s">
        <v>243</v>
      </c>
      <c r="C357" t="s">
        <v>156</v>
      </c>
      <c r="D357" s="1">
        <v>45519</v>
      </c>
      <c r="E357" s="6" t="s">
        <v>78</v>
      </c>
      <c r="F357" t="s">
        <v>61</v>
      </c>
      <c r="G357" s="3" t="s">
        <v>62</v>
      </c>
      <c r="H357">
        <v>5.3</v>
      </c>
      <c r="I357">
        <v>72.44</v>
      </c>
      <c r="J357">
        <v>383.95</v>
      </c>
      <c r="K357" t="s">
        <v>96</v>
      </c>
      <c r="L357" t="b">
        <v>0</v>
      </c>
    </row>
    <row r="358" spans="1:13" ht="34" x14ac:dyDescent="0.2">
      <c r="A358" t="s">
        <v>679</v>
      </c>
      <c r="B358" t="s">
        <v>449</v>
      </c>
      <c r="C358" t="s">
        <v>370</v>
      </c>
      <c r="D358" s="1">
        <v>44976</v>
      </c>
      <c r="E358" s="6" t="s">
        <v>16</v>
      </c>
      <c r="F358" t="s">
        <v>90</v>
      </c>
      <c r="G358" s="3" t="s">
        <v>91</v>
      </c>
      <c r="H358">
        <v>2.7</v>
      </c>
      <c r="I358">
        <v>39.89</v>
      </c>
      <c r="J358">
        <v>107.71</v>
      </c>
      <c r="K358" t="s">
        <v>36</v>
      </c>
      <c r="L358" t="b">
        <v>0</v>
      </c>
    </row>
    <row r="359" spans="1:13" ht="34" x14ac:dyDescent="0.2">
      <c r="A359" t="s">
        <v>680</v>
      </c>
      <c r="B359" t="s">
        <v>447</v>
      </c>
      <c r="C359" t="s">
        <v>391</v>
      </c>
      <c r="D359" s="1">
        <v>45288</v>
      </c>
      <c r="E359" s="6" t="s">
        <v>89</v>
      </c>
      <c r="F359" t="s">
        <v>54</v>
      </c>
      <c r="G359" s="3" t="s">
        <v>55</v>
      </c>
      <c r="H359">
        <v>3</v>
      </c>
      <c r="I359">
        <v>61.76</v>
      </c>
      <c r="J359">
        <v>185.28</v>
      </c>
      <c r="K359" t="s">
        <v>19</v>
      </c>
      <c r="L359" t="b">
        <v>0</v>
      </c>
    </row>
    <row r="360" spans="1:13" ht="34" x14ac:dyDescent="0.2">
      <c r="A360" t="s">
        <v>681</v>
      </c>
      <c r="B360" t="s">
        <v>174</v>
      </c>
      <c r="C360" t="s">
        <v>148</v>
      </c>
      <c r="D360" s="1">
        <v>45368</v>
      </c>
      <c r="E360" s="6" t="s">
        <v>60</v>
      </c>
      <c r="F360" t="s">
        <v>61</v>
      </c>
      <c r="G360" s="3" t="s">
        <v>62</v>
      </c>
      <c r="H360">
        <v>16.7</v>
      </c>
      <c r="I360">
        <v>44.9</v>
      </c>
      <c r="J360">
        <v>750</v>
      </c>
      <c r="K360" t="s">
        <v>113</v>
      </c>
      <c r="L360" t="b">
        <v>1</v>
      </c>
      <c r="M360" s="3" t="s">
        <v>40</v>
      </c>
    </row>
    <row r="361" spans="1:13" ht="34" x14ac:dyDescent="0.2">
      <c r="A361" t="s">
        <v>682</v>
      </c>
      <c r="B361" t="s">
        <v>683</v>
      </c>
      <c r="C361" t="s">
        <v>161</v>
      </c>
      <c r="D361" s="1">
        <v>45148</v>
      </c>
      <c r="E361" s="6" t="s">
        <v>89</v>
      </c>
      <c r="F361" t="s">
        <v>90</v>
      </c>
      <c r="G361" s="3" t="s">
        <v>91</v>
      </c>
      <c r="H361">
        <v>2.1</v>
      </c>
      <c r="I361">
        <v>40.520000000000003</v>
      </c>
      <c r="J361">
        <v>85.1</v>
      </c>
      <c r="K361" t="s">
        <v>96</v>
      </c>
      <c r="L361" t="b">
        <v>1</v>
      </c>
      <c r="M361" s="3" t="s">
        <v>102</v>
      </c>
    </row>
    <row r="362" spans="1:13" ht="17" x14ac:dyDescent="0.2">
      <c r="A362" t="s">
        <v>684</v>
      </c>
      <c r="B362" t="s">
        <v>685</v>
      </c>
      <c r="C362" t="s">
        <v>39</v>
      </c>
      <c r="D362" s="1">
        <v>45223</v>
      </c>
      <c r="E362" s="6" t="s">
        <v>16</v>
      </c>
      <c r="F362" t="s">
        <v>30</v>
      </c>
      <c r="G362" s="3" t="s">
        <v>31</v>
      </c>
      <c r="H362">
        <v>4.7</v>
      </c>
      <c r="I362">
        <v>48.47</v>
      </c>
      <c r="J362">
        <v>227.8</v>
      </c>
      <c r="K362" t="s">
        <v>92</v>
      </c>
      <c r="L362" t="b">
        <v>0</v>
      </c>
    </row>
    <row r="363" spans="1:13" ht="68" x14ac:dyDescent="0.2">
      <c r="A363" t="s">
        <v>686</v>
      </c>
      <c r="B363" t="s">
        <v>539</v>
      </c>
      <c r="C363" t="s">
        <v>211</v>
      </c>
      <c r="D363" s="1">
        <v>45353</v>
      </c>
      <c r="E363" s="6" t="s">
        <v>44</v>
      </c>
      <c r="F363" t="s">
        <v>50</v>
      </c>
      <c r="G363" s="3" t="s">
        <v>51</v>
      </c>
      <c r="H363">
        <v>4.0999999999999996</v>
      </c>
      <c r="I363">
        <v>26.47</v>
      </c>
      <c r="J363">
        <v>108.54</v>
      </c>
      <c r="K363" t="s">
        <v>82</v>
      </c>
      <c r="L363" t="b">
        <v>0</v>
      </c>
    </row>
    <row r="364" spans="1:13" ht="34" x14ac:dyDescent="0.2">
      <c r="A364" t="s">
        <v>687</v>
      </c>
      <c r="B364" t="s">
        <v>521</v>
      </c>
      <c r="C364" t="s">
        <v>85</v>
      </c>
      <c r="D364" s="1">
        <v>45271</v>
      </c>
      <c r="E364" s="6" t="s">
        <v>44</v>
      </c>
      <c r="F364" t="s">
        <v>45</v>
      </c>
      <c r="G364" s="3" t="s">
        <v>46</v>
      </c>
      <c r="H364">
        <v>4.5</v>
      </c>
      <c r="I364">
        <v>82.7</v>
      </c>
      <c r="J364">
        <v>372.17</v>
      </c>
      <c r="K364" t="s">
        <v>36</v>
      </c>
      <c r="L364" t="b">
        <v>0</v>
      </c>
    </row>
    <row r="365" spans="1:13" ht="68" x14ac:dyDescent="0.2">
      <c r="A365" t="s">
        <v>688</v>
      </c>
      <c r="B365" t="s">
        <v>470</v>
      </c>
      <c r="C365" t="s">
        <v>68</v>
      </c>
      <c r="D365" s="1">
        <v>45200</v>
      </c>
      <c r="E365" s="6" t="s">
        <v>23</v>
      </c>
      <c r="F365" t="s">
        <v>50</v>
      </c>
      <c r="G365" s="3" t="s">
        <v>51</v>
      </c>
      <c r="H365">
        <v>4.0999999999999996</v>
      </c>
      <c r="I365">
        <v>45.58</v>
      </c>
      <c r="J365">
        <v>186.89</v>
      </c>
      <c r="K365" t="s">
        <v>19</v>
      </c>
      <c r="L365" t="b">
        <v>0</v>
      </c>
    </row>
    <row r="366" spans="1:13" ht="17" x14ac:dyDescent="0.2">
      <c r="A366" t="s">
        <v>689</v>
      </c>
      <c r="B366" t="s">
        <v>690</v>
      </c>
      <c r="C366" t="s">
        <v>183</v>
      </c>
      <c r="D366" s="1">
        <v>45122</v>
      </c>
      <c r="E366" s="6" t="s">
        <v>16</v>
      </c>
      <c r="F366" t="s">
        <v>17</v>
      </c>
      <c r="G366" s="3" t="s">
        <v>18</v>
      </c>
      <c r="H366">
        <v>4.0999999999999996</v>
      </c>
      <c r="I366">
        <v>30.86</v>
      </c>
      <c r="J366">
        <v>126.52</v>
      </c>
      <c r="K366" t="s">
        <v>82</v>
      </c>
      <c r="L366" t="b">
        <v>0</v>
      </c>
    </row>
    <row r="367" spans="1:13" ht="17" x14ac:dyDescent="0.2">
      <c r="A367" t="s">
        <v>691</v>
      </c>
      <c r="B367" t="s">
        <v>53</v>
      </c>
      <c r="C367" t="s">
        <v>156</v>
      </c>
      <c r="D367" s="1">
        <v>45172</v>
      </c>
      <c r="E367" s="6" t="s">
        <v>16</v>
      </c>
      <c r="F367" t="s">
        <v>17</v>
      </c>
      <c r="G367" s="3" t="s">
        <v>18</v>
      </c>
      <c r="H367">
        <v>3.9</v>
      </c>
      <c r="I367">
        <v>43.02</v>
      </c>
      <c r="J367">
        <v>167.76</v>
      </c>
      <c r="K367" t="s">
        <v>56</v>
      </c>
      <c r="L367" t="b">
        <v>0</v>
      </c>
    </row>
    <row r="368" spans="1:13" ht="34" x14ac:dyDescent="0.2">
      <c r="A368" t="s">
        <v>692</v>
      </c>
      <c r="B368" t="s">
        <v>247</v>
      </c>
      <c r="C368" t="s">
        <v>133</v>
      </c>
      <c r="D368" s="1">
        <v>45217</v>
      </c>
      <c r="E368" s="6" t="s">
        <v>44</v>
      </c>
      <c r="F368" t="s">
        <v>90</v>
      </c>
      <c r="G368" s="3" t="s">
        <v>91</v>
      </c>
      <c r="H368">
        <v>2.1</v>
      </c>
      <c r="I368">
        <v>45.58</v>
      </c>
      <c r="J368">
        <v>95.73</v>
      </c>
      <c r="K368" t="s">
        <v>105</v>
      </c>
      <c r="L368" t="b">
        <v>0</v>
      </c>
    </row>
    <row r="369" spans="1:13" ht="68" x14ac:dyDescent="0.2">
      <c r="A369" t="s">
        <v>693</v>
      </c>
      <c r="B369" t="s">
        <v>278</v>
      </c>
      <c r="C369" t="s">
        <v>323</v>
      </c>
      <c r="D369" s="1">
        <v>45476</v>
      </c>
      <c r="E369" s="6" t="s">
        <v>89</v>
      </c>
      <c r="F369" t="s">
        <v>50</v>
      </c>
      <c r="G369" s="3" t="s">
        <v>51</v>
      </c>
      <c r="H369">
        <v>7.6</v>
      </c>
      <c r="I369">
        <v>69.430000000000007</v>
      </c>
      <c r="J369">
        <v>527.66</v>
      </c>
      <c r="K369" t="s">
        <v>32</v>
      </c>
      <c r="L369" t="b">
        <v>0</v>
      </c>
    </row>
    <row r="370" spans="1:13" ht="68" x14ac:dyDescent="0.2">
      <c r="A370" t="s">
        <v>694</v>
      </c>
      <c r="B370" t="s">
        <v>695</v>
      </c>
      <c r="C370" t="s">
        <v>194</v>
      </c>
      <c r="D370" s="1">
        <v>45539</v>
      </c>
      <c r="E370" s="6" t="s">
        <v>60</v>
      </c>
      <c r="F370" t="s">
        <v>50</v>
      </c>
      <c r="G370" s="3" t="s">
        <v>51</v>
      </c>
      <c r="H370">
        <v>5.3</v>
      </c>
      <c r="I370">
        <v>44.86</v>
      </c>
      <c r="J370">
        <v>237.75</v>
      </c>
      <c r="K370" t="s">
        <v>26</v>
      </c>
      <c r="L370" t="b">
        <v>0</v>
      </c>
    </row>
    <row r="371" spans="1:13" ht="17" x14ac:dyDescent="0.2">
      <c r="A371" t="s">
        <v>696</v>
      </c>
      <c r="B371" t="s">
        <v>602</v>
      </c>
      <c r="C371" t="s">
        <v>183</v>
      </c>
      <c r="D371" s="1">
        <v>45075</v>
      </c>
      <c r="E371" s="6" t="s">
        <v>23</v>
      </c>
      <c r="F371" t="s">
        <v>17</v>
      </c>
      <c r="G371" s="3" t="s">
        <v>18</v>
      </c>
      <c r="H371">
        <v>3.4</v>
      </c>
      <c r="I371">
        <v>49.3</v>
      </c>
      <c r="J371">
        <v>167.63</v>
      </c>
      <c r="K371" t="s">
        <v>56</v>
      </c>
      <c r="L371" t="b">
        <v>0</v>
      </c>
    </row>
    <row r="372" spans="1:13" ht="68" x14ac:dyDescent="0.2">
      <c r="A372" t="s">
        <v>697</v>
      </c>
      <c r="B372" t="s">
        <v>98</v>
      </c>
      <c r="C372" t="s">
        <v>194</v>
      </c>
      <c r="D372" s="1">
        <v>40806</v>
      </c>
      <c r="E372" s="6" t="s">
        <v>44</v>
      </c>
      <c r="F372" t="s">
        <v>50</v>
      </c>
      <c r="G372" s="3" t="s">
        <v>51</v>
      </c>
      <c r="H372">
        <v>5.8</v>
      </c>
      <c r="I372">
        <v>50.93</v>
      </c>
      <c r="J372">
        <v>295.38</v>
      </c>
      <c r="K372" t="s">
        <v>26</v>
      </c>
      <c r="L372" t="b">
        <v>1</v>
      </c>
      <c r="M372" s="3" t="s">
        <v>99</v>
      </c>
    </row>
    <row r="373" spans="1:13" ht="17" x14ac:dyDescent="0.2">
      <c r="A373" t="s">
        <v>698</v>
      </c>
      <c r="B373" t="s">
        <v>394</v>
      </c>
      <c r="C373" t="s">
        <v>323</v>
      </c>
      <c r="D373" s="1">
        <v>45002</v>
      </c>
      <c r="E373" s="6" t="s">
        <v>44</v>
      </c>
      <c r="F373" t="s">
        <v>30</v>
      </c>
      <c r="G373" s="3" t="s">
        <v>31</v>
      </c>
      <c r="H373">
        <v>4.7</v>
      </c>
      <c r="I373">
        <v>50.77</v>
      </c>
      <c r="J373">
        <v>238.63</v>
      </c>
      <c r="K373" t="s">
        <v>32</v>
      </c>
      <c r="L373" t="b">
        <v>0</v>
      </c>
    </row>
    <row r="374" spans="1:13" ht="17" x14ac:dyDescent="0.2">
      <c r="A374" t="s">
        <v>699</v>
      </c>
      <c r="B374" t="s">
        <v>233</v>
      </c>
      <c r="C374" t="s">
        <v>499</v>
      </c>
      <c r="D374" s="1">
        <v>45413</v>
      </c>
      <c r="E374" s="6" t="s">
        <v>44</v>
      </c>
      <c r="F374" t="s">
        <v>30</v>
      </c>
      <c r="G374" s="3" t="s">
        <v>31</v>
      </c>
      <c r="H374">
        <v>3.2</v>
      </c>
      <c r="I374">
        <v>70.14</v>
      </c>
      <c r="J374">
        <v>224.45</v>
      </c>
      <c r="K374" t="s">
        <v>36</v>
      </c>
      <c r="L374" t="b">
        <v>0</v>
      </c>
    </row>
    <row r="375" spans="1:13" ht="34" x14ac:dyDescent="0.2">
      <c r="A375" t="s">
        <v>700</v>
      </c>
      <c r="B375" t="s">
        <v>701</v>
      </c>
      <c r="C375" t="s">
        <v>59</v>
      </c>
      <c r="D375" s="1">
        <v>45191</v>
      </c>
      <c r="E375" s="6" t="s">
        <v>78</v>
      </c>
      <c r="F375" t="s">
        <v>90</v>
      </c>
      <c r="G375" s="3" t="s">
        <v>91</v>
      </c>
      <c r="H375">
        <v>6.8</v>
      </c>
      <c r="I375">
        <v>57.21</v>
      </c>
      <c r="J375">
        <v>389.05</v>
      </c>
      <c r="K375" t="s">
        <v>26</v>
      </c>
      <c r="L375" t="b">
        <v>0</v>
      </c>
    </row>
    <row r="376" spans="1:13" ht="34" x14ac:dyDescent="0.2">
      <c r="A376" t="s">
        <v>702</v>
      </c>
      <c r="B376" t="s">
        <v>703</v>
      </c>
      <c r="C376" t="s">
        <v>343</v>
      </c>
      <c r="D376" s="1">
        <v>45480</v>
      </c>
      <c r="E376" s="6" t="s">
        <v>16</v>
      </c>
      <c r="F376" t="s">
        <v>54</v>
      </c>
      <c r="G376" s="3" t="s">
        <v>55</v>
      </c>
      <c r="H376">
        <v>19.3</v>
      </c>
      <c r="I376">
        <v>31.84</v>
      </c>
      <c r="J376">
        <v>614.51</v>
      </c>
      <c r="K376" t="s">
        <v>92</v>
      </c>
      <c r="L376" t="b">
        <v>1</v>
      </c>
      <c r="M376" s="3" t="s">
        <v>79</v>
      </c>
    </row>
    <row r="377" spans="1:13" ht="17" x14ac:dyDescent="0.2">
      <c r="A377" t="s">
        <v>704</v>
      </c>
      <c r="B377" t="s">
        <v>367</v>
      </c>
      <c r="C377" t="s">
        <v>191</v>
      </c>
      <c r="D377" s="1">
        <v>45365</v>
      </c>
      <c r="E377" s="6" t="s">
        <v>89</v>
      </c>
      <c r="F377" t="s">
        <v>17</v>
      </c>
      <c r="G377" s="3" t="s">
        <v>18</v>
      </c>
      <c r="H377">
        <v>5.2</v>
      </c>
      <c r="I377">
        <v>63.35</v>
      </c>
      <c r="J377">
        <v>329.4</v>
      </c>
      <c r="K377" t="s">
        <v>105</v>
      </c>
      <c r="L377" t="b">
        <v>0</v>
      </c>
    </row>
    <row r="378" spans="1:13" ht="34" x14ac:dyDescent="0.2">
      <c r="A378" t="s">
        <v>705</v>
      </c>
      <c r="B378" t="s">
        <v>652</v>
      </c>
      <c r="C378" t="s">
        <v>22</v>
      </c>
      <c r="D378" s="1">
        <v>45156</v>
      </c>
      <c r="E378" s="6" t="s">
        <v>78</v>
      </c>
      <c r="F378" t="s">
        <v>61</v>
      </c>
      <c r="G378" s="3" t="s">
        <v>62</v>
      </c>
      <c r="H378">
        <v>5.7</v>
      </c>
      <c r="I378">
        <v>60.22</v>
      </c>
      <c r="J378">
        <v>343.26</v>
      </c>
      <c r="K378" t="s">
        <v>82</v>
      </c>
      <c r="L378" t="b">
        <v>0</v>
      </c>
    </row>
    <row r="379" spans="1:13" ht="34" x14ac:dyDescent="0.2">
      <c r="A379" t="s">
        <v>706</v>
      </c>
      <c r="B379" t="s">
        <v>556</v>
      </c>
      <c r="C379" t="s">
        <v>186</v>
      </c>
      <c r="D379" s="1">
        <v>45271</v>
      </c>
      <c r="E379" s="6" t="s">
        <v>16</v>
      </c>
      <c r="F379" t="s">
        <v>54</v>
      </c>
      <c r="G379" s="3" t="s">
        <v>55</v>
      </c>
      <c r="H379">
        <v>7.1</v>
      </c>
      <c r="I379">
        <v>62.04</v>
      </c>
      <c r="J379">
        <v>440.5</v>
      </c>
      <c r="K379" t="s">
        <v>56</v>
      </c>
      <c r="L379" t="b">
        <v>0</v>
      </c>
    </row>
    <row r="380" spans="1:13" ht="34" x14ac:dyDescent="0.2">
      <c r="A380" t="s">
        <v>707</v>
      </c>
      <c r="B380" t="s">
        <v>64</v>
      </c>
      <c r="C380" t="s">
        <v>450</v>
      </c>
      <c r="D380" s="1">
        <v>45272</v>
      </c>
      <c r="E380" s="6" t="s">
        <v>16</v>
      </c>
      <c r="F380" t="s">
        <v>45</v>
      </c>
      <c r="G380" s="3" t="s">
        <v>46</v>
      </c>
      <c r="H380">
        <v>7.5</v>
      </c>
      <c r="I380">
        <v>60.41</v>
      </c>
      <c r="J380">
        <v>453.08</v>
      </c>
      <c r="K380" t="s">
        <v>32</v>
      </c>
      <c r="L380" t="b">
        <v>0</v>
      </c>
    </row>
    <row r="381" spans="1:13" ht="68" x14ac:dyDescent="0.2">
      <c r="A381" t="s">
        <v>708</v>
      </c>
      <c r="B381" t="s">
        <v>709</v>
      </c>
      <c r="C381" t="s">
        <v>343</v>
      </c>
      <c r="D381" s="1">
        <v>45041</v>
      </c>
      <c r="E381" s="6" t="s">
        <v>44</v>
      </c>
      <c r="F381" t="s">
        <v>50</v>
      </c>
      <c r="G381" s="3" t="s">
        <v>51</v>
      </c>
      <c r="H381">
        <v>3.9</v>
      </c>
      <c r="I381">
        <v>39.31</v>
      </c>
      <c r="J381">
        <v>153.33000000000001</v>
      </c>
      <c r="K381" t="s">
        <v>56</v>
      </c>
      <c r="L381" t="b">
        <v>0</v>
      </c>
    </row>
    <row r="382" spans="1:13" ht="68" x14ac:dyDescent="0.2">
      <c r="A382" t="s">
        <v>710</v>
      </c>
      <c r="B382" t="s">
        <v>711</v>
      </c>
      <c r="C382" t="s">
        <v>280</v>
      </c>
      <c r="D382" s="1">
        <v>45387</v>
      </c>
      <c r="E382" s="6" t="s">
        <v>60</v>
      </c>
      <c r="F382" t="s">
        <v>50</v>
      </c>
      <c r="G382" s="3" t="s">
        <v>51</v>
      </c>
      <c r="H382">
        <v>4.2</v>
      </c>
      <c r="I382">
        <v>33.479999999999997</v>
      </c>
      <c r="J382">
        <v>140.62</v>
      </c>
      <c r="K382" t="s">
        <v>113</v>
      </c>
      <c r="L382" t="b">
        <v>0</v>
      </c>
    </row>
    <row r="383" spans="1:13" ht="34" x14ac:dyDescent="0.2">
      <c r="A383" t="s">
        <v>712</v>
      </c>
      <c r="B383" t="s">
        <v>713</v>
      </c>
      <c r="C383" t="s">
        <v>178</v>
      </c>
      <c r="D383" s="1">
        <v>45399</v>
      </c>
      <c r="E383" s="6" t="s">
        <v>60</v>
      </c>
      <c r="F383" t="s">
        <v>61</v>
      </c>
      <c r="G383" s="3" t="s">
        <v>62</v>
      </c>
      <c r="H383">
        <v>42</v>
      </c>
      <c r="I383">
        <v>59.49</v>
      </c>
      <c r="J383">
        <v>2500</v>
      </c>
      <c r="K383" t="s">
        <v>96</v>
      </c>
      <c r="L383" t="b">
        <v>1</v>
      </c>
      <c r="M383" s="3" t="s">
        <v>40</v>
      </c>
    </row>
    <row r="384" spans="1:13" ht="68" x14ac:dyDescent="0.2">
      <c r="A384" t="s">
        <v>714</v>
      </c>
      <c r="B384" t="s">
        <v>364</v>
      </c>
      <c r="C384" t="s">
        <v>85</v>
      </c>
      <c r="D384" s="1">
        <v>45148</v>
      </c>
      <c r="E384" s="6" t="s">
        <v>16</v>
      </c>
      <c r="F384" t="s">
        <v>50</v>
      </c>
      <c r="G384" s="3" t="s">
        <v>51</v>
      </c>
      <c r="H384">
        <v>4.9000000000000004</v>
      </c>
      <c r="I384">
        <v>57.24</v>
      </c>
      <c r="J384">
        <v>280.49</v>
      </c>
      <c r="K384" t="s">
        <v>96</v>
      </c>
      <c r="L384" t="b">
        <v>0</v>
      </c>
    </row>
    <row r="385" spans="1:13" ht="68" x14ac:dyDescent="0.2">
      <c r="A385" t="s">
        <v>715</v>
      </c>
      <c r="B385" t="s">
        <v>593</v>
      </c>
      <c r="C385" t="s">
        <v>35</v>
      </c>
      <c r="D385" s="1">
        <v>45105</v>
      </c>
      <c r="E385" s="6" t="s">
        <v>23</v>
      </c>
      <c r="F385" t="s">
        <v>50</v>
      </c>
      <c r="G385" s="3" t="s">
        <v>51</v>
      </c>
      <c r="H385">
        <v>5.3</v>
      </c>
      <c r="I385">
        <v>54.38</v>
      </c>
      <c r="J385">
        <v>288.20999999999998</v>
      </c>
      <c r="K385" t="s">
        <v>96</v>
      </c>
      <c r="L385" t="b">
        <v>0</v>
      </c>
    </row>
    <row r="386" spans="1:13" ht="68" x14ac:dyDescent="0.2">
      <c r="A386" t="s">
        <v>716</v>
      </c>
      <c r="B386" t="s">
        <v>292</v>
      </c>
      <c r="C386" t="s">
        <v>127</v>
      </c>
      <c r="D386" s="1">
        <v>45522</v>
      </c>
      <c r="E386" s="6" t="s">
        <v>44</v>
      </c>
      <c r="F386" t="s">
        <v>50</v>
      </c>
      <c r="G386" s="3" t="s">
        <v>51</v>
      </c>
      <c r="H386">
        <v>3.9</v>
      </c>
      <c r="I386">
        <v>52.06</v>
      </c>
      <c r="J386">
        <v>203.03</v>
      </c>
      <c r="K386" t="s">
        <v>32</v>
      </c>
      <c r="L386" t="b">
        <v>0</v>
      </c>
    </row>
    <row r="387" spans="1:13" ht="34" x14ac:dyDescent="0.2">
      <c r="A387" t="s">
        <v>717</v>
      </c>
      <c r="B387" t="s">
        <v>202</v>
      </c>
      <c r="C387" t="s">
        <v>49</v>
      </c>
      <c r="D387" s="1">
        <v>45224</v>
      </c>
      <c r="E387" s="6" t="s">
        <v>23</v>
      </c>
      <c r="F387" t="s">
        <v>54</v>
      </c>
      <c r="G387" s="3" t="s">
        <v>55</v>
      </c>
      <c r="H387">
        <v>7.7</v>
      </c>
      <c r="I387">
        <v>54.08</v>
      </c>
      <c r="J387">
        <v>416.39</v>
      </c>
      <c r="K387" t="s">
        <v>113</v>
      </c>
      <c r="L387" t="b">
        <v>0</v>
      </c>
    </row>
    <row r="388" spans="1:13" ht="34" x14ac:dyDescent="0.2">
      <c r="A388" t="s">
        <v>718</v>
      </c>
      <c r="B388" t="s">
        <v>558</v>
      </c>
      <c r="C388" t="s">
        <v>15</v>
      </c>
      <c r="D388" s="1">
        <v>45529</v>
      </c>
      <c r="E388" s="6" t="s">
        <v>60</v>
      </c>
      <c r="F388" t="s">
        <v>61</v>
      </c>
      <c r="G388" s="3" t="s">
        <v>62</v>
      </c>
      <c r="H388">
        <v>7.8</v>
      </c>
      <c r="I388">
        <v>55.33</v>
      </c>
      <c r="J388">
        <v>431.54</v>
      </c>
      <c r="K388" t="s">
        <v>26</v>
      </c>
      <c r="L388" t="b">
        <v>0</v>
      </c>
    </row>
    <row r="389" spans="1:13" ht="34" x14ac:dyDescent="0.2">
      <c r="A389" t="s">
        <v>719</v>
      </c>
      <c r="B389" t="s">
        <v>336</v>
      </c>
      <c r="C389" t="s">
        <v>166</v>
      </c>
      <c r="D389" s="1">
        <v>45481</v>
      </c>
      <c r="E389" s="6" t="s">
        <v>60</v>
      </c>
      <c r="F389" t="s">
        <v>61</v>
      </c>
      <c r="G389" s="3" t="s">
        <v>62</v>
      </c>
      <c r="H389">
        <v>6.1</v>
      </c>
      <c r="I389">
        <v>49.94</v>
      </c>
      <c r="J389">
        <v>304.62</v>
      </c>
      <c r="K389" t="s">
        <v>56</v>
      </c>
      <c r="L389" t="b">
        <v>0</v>
      </c>
    </row>
    <row r="390" spans="1:13" ht="17" x14ac:dyDescent="0.2">
      <c r="A390" t="s">
        <v>720</v>
      </c>
      <c r="B390" t="s">
        <v>721</v>
      </c>
      <c r="C390" t="s">
        <v>370</v>
      </c>
      <c r="D390" s="1">
        <v>45601</v>
      </c>
      <c r="E390" s="6" t="s">
        <v>23</v>
      </c>
      <c r="F390" t="s">
        <v>17</v>
      </c>
      <c r="G390" s="3" t="s">
        <v>18</v>
      </c>
      <c r="H390">
        <v>3</v>
      </c>
      <c r="I390">
        <v>58.92</v>
      </c>
      <c r="J390">
        <v>176.77</v>
      </c>
      <c r="K390" t="s">
        <v>32</v>
      </c>
      <c r="L390" t="b">
        <v>0</v>
      </c>
    </row>
    <row r="391" spans="1:13" ht="34" x14ac:dyDescent="0.2">
      <c r="A391" t="s">
        <v>722</v>
      </c>
      <c r="B391" t="s">
        <v>163</v>
      </c>
      <c r="C391" t="s">
        <v>191</v>
      </c>
      <c r="D391" s="1">
        <v>45001</v>
      </c>
      <c r="E391" s="6" t="s">
        <v>78</v>
      </c>
      <c r="F391" t="s">
        <v>45</v>
      </c>
      <c r="G391" s="3" t="s">
        <v>46</v>
      </c>
      <c r="H391">
        <v>21.9</v>
      </c>
      <c r="I391">
        <v>38.49</v>
      </c>
      <c r="J391">
        <v>842.93</v>
      </c>
      <c r="K391" t="s">
        <v>113</v>
      </c>
      <c r="L391" t="b">
        <v>1</v>
      </c>
      <c r="M391" s="3" t="s">
        <v>79</v>
      </c>
    </row>
    <row r="392" spans="1:13" ht="68" x14ac:dyDescent="0.2">
      <c r="A392" t="s">
        <v>723</v>
      </c>
      <c r="B392" t="s">
        <v>724</v>
      </c>
      <c r="C392" t="s">
        <v>211</v>
      </c>
      <c r="D392" s="1">
        <v>45141</v>
      </c>
      <c r="E392" s="6" t="s">
        <v>60</v>
      </c>
      <c r="F392" t="s">
        <v>50</v>
      </c>
      <c r="G392" s="3" t="s">
        <v>51</v>
      </c>
      <c r="H392">
        <v>6.7</v>
      </c>
      <c r="I392">
        <v>58.94</v>
      </c>
      <c r="J392">
        <v>394.89</v>
      </c>
      <c r="K392" t="s">
        <v>92</v>
      </c>
      <c r="L392" t="b">
        <v>0</v>
      </c>
    </row>
    <row r="393" spans="1:13" ht="34" x14ac:dyDescent="0.2">
      <c r="A393" t="s">
        <v>725</v>
      </c>
      <c r="B393" t="s">
        <v>155</v>
      </c>
      <c r="C393" t="s">
        <v>166</v>
      </c>
      <c r="D393" s="1">
        <v>45419</v>
      </c>
      <c r="E393" s="6" t="s">
        <v>89</v>
      </c>
      <c r="F393" t="s">
        <v>90</v>
      </c>
      <c r="G393" s="3" t="s">
        <v>91</v>
      </c>
      <c r="H393">
        <v>5.4</v>
      </c>
      <c r="I393">
        <v>41.07</v>
      </c>
      <c r="J393">
        <v>221.8</v>
      </c>
      <c r="K393" t="s">
        <v>113</v>
      </c>
      <c r="L393" t="b">
        <v>0</v>
      </c>
    </row>
    <row r="394" spans="1:13" ht="34" x14ac:dyDescent="0.2">
      <c r="A394" t="s">
        <v>726</v>
      </c>
      <c r="B394" t="s">
        <v>713</v>
      </c>
      <c r="C394" t="s">
        <v>343</v>
      </c>
      <c r="D394" s="1">
        <v>45377</v>
      </c>
      <c r="E394" s="6" t="s">
        <v>16</v>
      </c>
      <c r="F394" t="s">
        <v>54</v>
      </c>
      <c r="G394" s="3" t="s">
        <v>55</v>
      </c>
      <c r="H394">
        <v>5.3</v>
      </c>
      <c r="I394">
        <v>70.41</v>
      </c>
      <c r="J394">
        <v>373.16</v>
      </c>
      <c r="K394" t="s">
        <v>96</v>
      </c>
      <c r="L394" t="b">
        <v>0</v>
      </c>
    </row>
    <row r="395" spans="1:13" ht="17" x14ac:dyDescent="0.2">
      <c r="A395" t="s">
        <v>727</v>
      </c>
      <c r="B395" t="s">
        <v>728</v>
      </c>
      <c r="C395" t="s">
        <v>207</v>
      </c>
      <c r="D395" s="1">
        <v>45573</v>
      </c>
      <c r="E395" s="6" t="s">
        <v>44</v>
      </c>
      <c r="F395" t="s">
        <v>17</v>
      </c>
      <c r="G395" s="3" t="s">
        <v>18</v>
      </c>
      <c r="H395">
        <v>5.3</v>
      </c>
      <c r="I395">
        <v>84.39</v>
      </c>
      <c r="J395">
        <v>447.25</v>
      </c>
      <c r="K395" t="s">
        <v>32</v>
      </c>
      <c r="L395" t="b">
        <v>0</v>
      </c>
    </row>
    <row r="396" spans="1:13" ht="34" x14ac:dyDescent="0.2">
      <c r="A396" t="s">
        <v>729</v>
      </c>
      <c r="B396" t="s">
        <v>536</v>
      </c>
      <c r="C396" t="s">
        <v>85</v>
      </c>
      <c r="D396" s="1">
        <v>45508</v>
      </c>
      <c r="E396" s="6" t="s">
        <v>60</v>
      </c>
      <c r="F396" t="s">
        <v>30</v>
      </c>
      <c r="G396" s="3" t="s">
        <v>31</v>
      </c>
      <c r="H396">
        <v>3.8</v>
      </c>
      <c r="I396">
        <v>84.96</v>
      </c>
      <c r="J396">
        <v>322.83999999999997</v>
      </c>
      <c r="K396" t="s">
        <v>113</v>
      </c>
      <c r="L396" t="b">
        <v>1</v>
      </c>
      <c r="M396" s="3" t="s">
        <v>102</v>
      </c>
    </row>
    <row r="397" spans="1:13" ht="34" x14ac:dyDescent="0.2">
      <c r="A397" t="s">
        <v>730</v>
      </c>
      <c r="B397" t="s">
        <v>144</v>
      </c>
      <c r="C397" t="s">
        <v>191</v>
      </c>
      <c r="D397" s="1">
        <v>44942</v>
      </c>
      <c r="E397" s="6" t="s">
        <v>60</v>
      </c>
      <c r="F397" t="s">
        <v>45</v>
      </c>
      <c r="G397" s="3" t="s">
        <v>46</v>
      </c>
      <c r="H397">
        <v>4.0999999999999996</v>
      </c>
      <c r="I397">
        <v>74</v>
      </c>
      <c r="J397">
        <v>303.42</v>
      </c>
      <c r="K397" t="s">
        <v>113</v>
      </c>
      <c r="L397" t="b">
        <v>0</v>
      </c>
    </row>
    <row r="398" spans="1:13" ht="34" x14ac:dyDescent="0.2">
      <c r="A398" t="s">
        <v>731</v>
      </c>
      <c r="B398" t="s">
        <v>703</v>
      </c>
      <c r="C398" t="s">
        <v>49</v>
      </c>
      <c r="D398" s="1">
        <v>45179</v>
      </c>
      <c r="E398" s="6" t="s">
        <v>16</v>
      </c>
      <c r="F398" t="s">
        <v>90</v>
      </c>
      <c r="G398" s="3" t="s">
        <v>91</v>
      </c>
      <c r="H398">
        <v>6.7</v>
      </c>
      <c r="I398">
        <v>39.22</v>
      </c>
      <c r="J398">
        <v>262.75</v>
      </c>
      <c r="K398" t="s">
        <v>92</v>
      </c>
      <c r="L398" t="b">
        <v>0</v>
      </c>
    </row>
    <row r="399" spans="1:13" ht="34" x14ac:dyDescent="0.2">
      <c r="A399" t="s">
        <v>732</v>
      </c>
      <c r="B399" t="s">
        <v>109</v>
      </c>
      <c r="C399" t="s">
        <v>183</v>
      </c>
      <c r="D399" s="1">
        <v>45449</v>
      </c>
      <c r="E399" s="6" t="s">
        <v>60</v>
      </c>
      <c r="F399" t="s">
        <v>54</v>
      </c>
      <c r="G399" s="3" t="s">
        <v>55</v>
      </c>
      <c r="H399">
        <v>7.2</v>
      </c>
      <c r="I399">
        <v>61.62</v>
      </c>
      <c r="J399">
        <v>443.63</v>
      </c>
      <c r="K399" t="s">
        <v>92</v>
      </c>
      <c r="L399" t="b">
        <v>0</v>
      </c>
    </row>
    <row r="400" spans="1:13" ht="68" x14ac:dyDescent="0.2">
      <c r="A400" t="s">
        <v>733</v>
      </c>
      <c r="B400" t="s">
        <v>155</v>
      </c>
      <c r="C400" t="s">
        <v>268</v>
      </c>
      <c r="D400" s="1">
        <v>45064</v>
      </c>
      <c r="E400" s="6" t="s">
        <v>23</v>
      </c>
      <c r="F400" t="s">
        <v>50</v>
      </c>
      <c r="G400" s="3" t="s">
        <v>51</v>
      </c>
      <c r="H400">
        <v>5.7</v>
      </c>
      <c r="I400">
        <v>72.09</v>
      </c>
      <c r="J400">
        <v>410.92</v>
      </c>
      <c r="K400" t="s">
        <v>113</v>
      </c>
      <c r="L400" t="b">
        <v>0</v>
      </c>
    </row>
    <row r="401" spans="1:13" ht="34" x14ac:dyDescent="0.2">
      <c r="A401" t="s">
        <v>734</v>
      </c>
      <c r="B401" t="s">
        <v>155</v>
      </c>
      <c r="C401" t="s">
        <v>266</v>
      </c>
      <c r="D401" s="1">
        <v>45291</v>
      </c>
      <c r="E401" s="6" t="s">
        <v>89</v>
      </c>
      <c r="F401" t="s">
        <v>24</v>
      </c>
      <c r="G401" s="3" t="s">
        <v>25</v>
      </c>
      <c r="H401">
        <v>5.4</v>
      </c>
      <c r="I401">
        <v>56.94</v>
      </c>
      <c r="J401">
        <v>307.45999999999998</v>
      </c>
      <c r="K401" t="s">
        <v>113</v>
      </c>
      <c r="L401" t="b">
        <v>0</v>
      </c>
    </row>
    <row r="402" spans="1:13" ht="68" x14ac:dyDescent="0.2">
      <c r="A402" t="s">
        <v>735</v>
      </c>
      <c r="B402" t="s">
        <v>736</v>
      </c>
      <c r="C402" t="s">
        <v>159</v>
      </c>
      <c r="D402" s="1">
        <v>45082</v>
      </c>
      <c r="E402" s="6" t="s">
        <v>78</v>
      </c>
      <c r="F402" t="s">
        <v>50</v>
      </c>
      <c r="G402" s="3" t="s">
        <v>51</v>
      </c>
      <c r="H402">
        <v>3.9</v>
      </c>
      <c r="I402">
        <v>67.239999999999995</v>
      </c>
      <c r="J402">
        <v>262.25</v>
      </c>
      <c r="K402" t="s">
        <v>96</v>
      </c>
      <c r="L402" t="b">
        <v>0</v>
      </c>
    </row>
    <row r="403" spans="1:13" ht="34" x14ac:dyDescent="0.2">
      <c r="A403" t="s">
        <v>737</v>
      </c>
      <c r="B403" t="s">
        <v>738</v>
      </c>
      <c r="C403" t="s">
        <v>499</v>
      </c>
      <c r="D403" s="1">
        <v>45121</v>
      </c>
      <c r="E403" s="6" t="s">
        <v>16</v>
      </c>
      <c r="F403" t="s">
        <v>45</v>
      </c>
      <c r="G403" s="3" t="s">
        <v>46</v>
      </c>
      <c r="H403">
        <v>7.7</v>
      </c>
      <c r="I403">
        <v>55.86</v>
      </c>
      <c r="J403">
        <v>430.16</v>
      </c>
      <c r="K403" t="s">
        <v>96</v>
      </c>
      <c r="L403" t="b">
        <v>0</v>
      </c>
    </row>
    <row r="404" spans="1:13" ht="34" x14ac:dyDescent="0.2">
      <c r="A404" t="s">
        <v>739</v>
      </c>
      <c r="B404" t="s">
        <v>721</v>
      </c>
      <c r="C404" t="s">
        <v>148</v>
      </c>
      <c r="D404" s="1">
        <v>45070</v>
      </c>
      <c r="E404" s="6" t="s">
        <v>60</v>
      </c>
      <c r="F404" t="s">
        <v>90</v>
      </c>
      <c r="G404" s="3" t="s">
        <v>91</v>
      </c>
      <c r="H404">
        <v>2.8</v>
      </c>
      <c r="I404">
        <v>70.010000000000005</v>
      </c>
      <c r="J404">
        <v>196.02</v>
      </c>
      <c r="K404" t="s">
        <v>32</v>
      </c>
      <c r="L404" t="b">
        <v>0</v>
      </c>
    </row>
    <row r="405" spans="1:13" ht="34" x14ac:dyDescent="0.2">
      <c r="A405" t="s">
        <v>740</v>
      </c>
      <c r="B405" t="s">
        <v>338</v>
      </c>
      <c r="C405" t="s">
        <v>133</v>
      </c>
      <c r="D405" s="1">
        <v>44963</v>
      </c>
      <c r="E405" s="6" t="s">
        <v>23</v>
      </c>
      <c r="F405" t="s">
        <v>24</v>
      </c>
      <c r="G405" s="3" t="s">
        <v>25</v>
      </c>
      <c r="H405">
        <v>8</v>
      </c>
      <c r="I405">
        <v>77.02</v>
      </c>
      <c r="J405">
        <v>616.17999999999995</v>
      </c>
      <c r="K405" t="s">
        <v>92</v>
      </c>
      <c r="L405" t="b">
        <v>0</v>
      </c>
    </row>
    <row r="406" spans="1:13" ht="68" x14ac:dyDescent="0.2">
      <c r="A406" t="s">
        <v>741</v>
      </c>
      <c r="B406" t="s">
        <v>724</v>
      </c>
      <c r="C406" t="s">
        <v>29</v>
      </c>
      <c r="D406" s="1">
        <v>45599</v>
      </c>
      <c r="E406" s="6" t="s">
        <v>23</v>
      </c>
      <c r="F406" t="s">
        <v>50</v>
      </c>
      <c r="G406" s="3" t="s">
        <v>51</v>
      </c>
      <c r="H406">
        <v>29.6</v>
      </c>
      <c r="I406">
        <v>67.680000000000007</v>
      </c>
      <c r="J406">
        <v>2000</v>
      </c>
      <c r="K406" t="s">
        <v>92</v>
      </c>
      <c r="L406" t="b">
        <v>1</v>
      </c>
      <c r="M406" s="3" t="s">
        <v>40</v>
      </c>
    </row>
    <row r="407" spans="1:13" ht="34" x14ac:dyDescent="0.2">
      <c r="A407" t="s">
        <v>742</v>
      </c>
      <c r="B407" t="s">
        <v>81</v>
      </c>
      <c r="C407" t="s">
        <v>85</v>
      </c>
      <c r="D407" s="1">
        <v>45189</v>
      </c>
      <c r="E407" s="6" t="s">
        <v>78</v>
      </c>
      <c r="F407" t="s">
        <v>61</v>
      </c>
      <c r="G407" s="3" t="s">
        <v>62</v>
      </c>
      <c r="H407">
        <v>4.9000000000000004</v>
      </c>
      <c r="I407">
        <v>59.65</v>
      </c>
      <c r="J407">
        <v>292.26</v>
      </c>
      <c r="K407" t="s">
        <v>82</v>
      </c>
      <c r="L407" t="b">
        <v>0</v>
      </c>
    </row>
    <row r="408" spans="1:13" ht="34" x14ac:dyDescent="0.2">
      <c r="A408" t="s">
        <v>743</v>
      </c>
      <c r="B408" t="s">
        <v>582</v>
      </c>
      <c r="C408" t="s">
        <v>166</v>
      </c>
      <c r="D408" s="1">
        <v>45399</v>
      </c>
      <c r="E408" s="6" t="s">
        <v>44</v>
      </c>
      <c r="F408" t="s">
        <v>61</v>
      </c>
      <c r="G408" s="3" t="s">
        <v>62</v>
      </c>
      <c r="H408">
        <v>4.3</v>
      </c>
      <c r="I408">
        <v>29.53</v>
      </c>
      <c r="J408">
        <v>126.98</v>
      </c>
      <c r="K408" t="s">
        <v>36</v>
      </c>
      <c r="L408" t="b">
        <v>0</v>
      </c>
    </row>
    <row r="409" spans="1:13" ht="34" x14ac:dyDescent="0.2">
      <c r="A409" t="s">
        <v>744</v>
      </c>
      <c r="B409" t="s">
        <v>229</v>
      </c>
      <c r="C409" t="s">
        <v>323</v>
      </c>
      <c r="D409" s="1">
        <v>45566</v>
      </c>
      <c r="E409" s="6" t="s">
        <v>78</v>
      </c>
      <c r="F409" t="s">
        <v>61</v>
      </c>
      <c r="G409" s="3" t="s">
        <v>62</v>
      </c>
      <c r="H409">
        <v>5.0999999999999996</v>
      </c>
      <c r="I409">
        <v>41.69</v>
      </c>
      <c r="J409">
        <v>212.64</v>
      </c>
      <c r="K409" t="s">
        <v>96</v>
      </c>
      <c r="L409" t="b">
        <v>0</v>
      </c>
    </row>
    <row r="410" spans="1:13" ht="17" x14ac:dyDescent="0.2">
      <c r="A410" t="s">
        <v>745</v>
      </c>
      <c r="B410" t="s">
        <v>536</v>
      </c>
      <c r="C410" t="s">
        <v>280</v>
      </c>
      <c r="D410" s="1">
        <v>45031</v>
      </c>
      <c r="E410" s="6" t="s">
        <v>44</v>
      </c>
      <c r="F410" t="s">
        <v>17</v>
      </c>
      <c r="G410" s="3" t="s">
        <v>18</v>
      </c>
      <c r="H410">
        <v>7.7</v>
      </c>
      <c r="I410">
        <v>44.64</v>
      </c>
      <c r="J410">
        <v>343.71</v>
      </c>
      <c r="K410" t="s">
        <v>113</v>
      </c>
      <c r="L410" t="b">
        <v>0</v>
      </c>
    </row>
    <row r="411" spans="1:13" ht="34" x14ac:dyDescent="0.2">
      <c r="A411" t="s">
        <v>746</v>
      </c>
      <c r="B411" t="s">
        <v>121</v>
      </c>
      <c r="C411" t="s">
        <v>450</v>
      </c>
      <c r="D411" s="1">
        <v>45239</v>
      </c>
      <c r="E411" s="6" t="s">
        <v>16</v>
      </c>
      <c r="F411" t="s">
        <v>90</v>
      </c>
      <c r="G411" s="3" t="s">
        <v>91</v>
      </c>
      <c r="H411">
        <v>6.4</v>
      </c>
      <c r="I411">
        <v>52.51</v>
      </c>
      <c r="J411">
        <v>336.04</v>
      </c>
      <c r="K411" t="s">
        <v>92</v>
      </c>
      <c r="L411" t="b">
        <v>0</v>
      </c>
    </row>
    <row r="412" spans="1:13" ht="34" x14ac:dyDescent="0.2">
      <c r="A412" t="s">
        <v>747</v>
      </c>
      <c r="B412" t="s">
        <v>58</v>
      </c>
      <c r="C412" t="s">
        <v>145</v>
      </c>
      <c r="D412" s="1">
        <v>45502</v>
      </c>
      <c r="E412" s="6" t="s">
        <v>60</v>
      </c>
      <c r="F412" t="s">
        <v>54</v>
      </c>
      <c r="G412" s="3" t="s">
        <v>55</v>
      </c>
      <c r="H412">
        <v>7.1</v>
      </c>
      <c r="I412">
        <v>72.739999999999995</v>
      </c>
      <c r="J412">
        <v>516.46</v>
      </c>
      <c r="K412" t="s">
        <v>26</v>
      </c>
      <c r="L412" t="b">
        <v>0</v>
      </c>
    </row>
    <row r="413" spans="1:13" ht="17" x14ac:dyDescent="0.2">
      <c r="A413" t="s">
        <v>748</v>
      </c>
      <c r="B413" t="s">
        <v>504</v>
      </c>
      <c r="C413" t="s">
        <v>124</v>
      </c>
      <c r="D413" s="1">
        <v>45518</v>
      </c>
      <c r="E413" s="6" t="s">
        <v>60</v>
      </c>
      <c r="F413" t="s">
        <v>30</v>
      </c>
      <c r="G413" s="3" t="s">
        <v>31</v>
      </c>
      <c r="H413">
        <v>7.8</v>
      </c>
      <c r="I413">
        <v>74.489999999999995</v>
      </c>
      <c r="J413">
        <v>581.03</v>
      </c>
      <c r="K413" t="s">
        <v>105</v>
      </c>
      <c r="L413" t="b">
        <v>0</v>
      </c>
    </row>
    <row r="414" spans="1:13" ht="34" x14ac:dyDescent="0.2">
      <c r="A414" t="s">
        <v>749</v>
      </c>
      <c r="B414" t="s">
        <v>750</v>
      </c>
      <c r="C414" t="s">
        <v>124</v>
      </c>
      <c r="D414" s="1">
        <v>45639</v>
      </c>
      <c r="E414" s="6" t="s">
        <v>89</v>
      </c>
      <c r="F414" t="s">
        <v>45</v>
      </c>
      <c r="G414" s="3" t="s">
        <v>46</v>
      </c>
      <c r="H414">
        <v>3.9</v>
      </c>
      <c r="I414">
        <v>42.02</v>
      </c>
      <c r="J414">
        <v>163.86</v>
      </c>
      <c r="K414" t="s">
        <v>92</v>
      </c>
      <c r="L414" t="b">
        <v>0</v>
      </c>
    </row>
    <row r="415" spans="1:13" ht="68" x14ac:dyDescent="0.2">
      <c r="A415" t="s">
        <v>751</v>
      </c>
      <c r="B415" t="s">
        <v>317</v>
      </c>
      <c r="C415" t="s">
        <v>68</v>
      </c>
      <c r="D415" s="1">
        <v>45042</v>
      </c>
      <c r="E415" s="6" t="s">
        <v>78</v>
      </c>
      <c r="F415" t="s">
        <v>50</v>
      </c>
      <c r="G415" s="3" t="s">
        <v>51</v>
      </c>
      <c r="H415">
        <v>5.4</v>
      </c>
      <c r="I415">
        <v>54.12</v>
      </c>
      <c r="J415">
        <v>292.25</v>
      </c>
      <c r="K415" t="s">
        <v>113</v>
      </c>
      <c r="L415" t="b">
        <v>0</v>
      </c>
    </row>
    <row r="416" spans="1:13" ht="34" x14ac:dyDescent="0.2">
      <c r="A416" t="s">
        <v>752</v>
      </c>
      <c r="B416" t="s">
        <v>753</v>
      </c>
      <c r="C416" t="s">
        <v>122</v>
      </c>
      <c r="D416" s="1">
        <v>45402</v>
      </c>
      <c r="E416" s="6" t="s">
        <v>60</v>
      </c>
      <c r="F416" t="s">
        <v>24</v>
      </c>
      <c r="G416" s="3" t="s">
        <v>25</v>
      </c>
      <c r="H416">
        <v>2.2999999999999998</v>
      </c>
      <c r="I416">
        <v>62.57</v>
      </c>
      <c r="J416">
        <v>143.91</v>
      </c>
      <c r="K416" t="s">
        <v>32</v>
      </c>
      <c r="L416" t="b">
        <v>0</v>
      </c>
    </row>
    <row r="417" spans="1:12" ht="34" x14ac:dyDescent="0.2">
      <c r="A417" t="s">
        <v>754</v>
      </c>
      <c r="B417" t="s">
        <v>724</v>
      </c>
      <c r="C417" t="s">
        <v>370</v>
      </c>
      <c r="D417" s="1">
        <v>45128</v>
      </c>
      <c r="E417" s="6" t="s">
        <v>60</v>
      </c>
      <c r="F417" t="s">
        <v>24</v>
      </c>
      <c r="G417" s="3" t="s">
        <v>25</v>
      </c>
      <c r="H417">
        <v>2.7</v>
      </c>
      <c r="I417">
        <v>76.459999999999994</v>
      </c>
      <c r="J417">
        <v>206.44</v>
      </c>
      <c r="K417" t="s">
        <v>92</v>
      </c>
      <c r="L417" t="b">
        <v>0</v>
      </c>
    </row>
    <row r="418" spans="1:12" ht="17" x14ac:dyDescent="0.2">
      <c r="A418" t="s">
        <v>755</v>
      </c>
      <c r="B418" t="s">
        <v>630</v>
      </c>
      <c r="C418" t="s">
        <v>293</v>
      </c>
      <c r="D418" s="1">
        <v>45482</v>
      </c>
      <c r="E418" s="6" t="s">
        <v>23</v>
      </c>
      <c r="F418" t="s">
        <v>17</v>
      </c>
      <c r="G418" s="3" t="s">
        <v>18</v>
      </c>
      <c r="H418">
        <v>2</v>
      </c>
      <c r="I418">
        <v>82.48</v>
      </c>
      <c r="J418">
        <v>164.96</v>
      </c>
      <c r="K418" t="s">
        <v>32</v>
      </c>
      <c r="L418" t="b">
        <v>0</v>
      </c>
    </row>
    <row r="419" spans="1:12" ht="68" x14ac:dyDescent="0.2">
      <c r="A419" t="s">
        <v>756</v>
      </c>
      <c r="B419" t="s">
        <v>456</v>
      </c>
      <c r="C419" t="s">
        <v>124</v>
      </c>
      <c r="D419" s="1">
        <v>45239</v>
      </c>
      <c r="E419" s="6" t="s">
        <v>78</v>
      </c>
      <c r="F419" t="s">
        <v>50</v>
      </c>
      <c r="G419" s="3" t="s">
        <v>51</v>
      </c>
      <c r="H419">
        <v>7.3</v>
      </c>
      <c r="I419">
        <v>43.11</v>
      </c>
      <c r="J419">
        <v>314.72000000000003</v>
      </c>
      <c r="K419" t="s">
        <v>92</v>
      </c>
      <c r="L419" t="b">
        <v>0</v>
      </c>
    </row>
    <row r="420" spans="1:12" ht="34" x14ac:dyDescent="0.2">
      <c r="A420" t="s">
        <v>757</v>
      </c>
      <c r="B420" t="s">
        <v>265</v>
      </c>
      <c r="C420" t="s">
        <v>110</v>
      </c>
      <c r="D420" s="1">
        <v>45354</v>
      </c>
      <c r="E420" s="6" t="s">
        <v>78</v>
      </c>
      <c r="F420" t="s">
        <v>90</v>
      </c>
      <c r="G420" s="3" t="s">
        <v>91</v>
      </c>
      <c r="H420">
        <v>5.9</v>
      </c>
      <c r="I420">
        <v>40.020000000000003</v>
      </c>
      <c r="J420">
        <v>236.14</v>
      </c>
      <c r="K420" t="s">
        <v>26</v>
      </c>
      <c r="L420" t="b">
        <v>0</v>
      </c>
    </row>
    <row r="421" spans="1:12" ht="68" x14ac:dyDescent="0.2">
      <c r="A421" t="s">
        <v>758</v>
      </c>
      <c r="B421" t="s">
        <v>223</v>
      </c>
      <c r="C421" t="s">
        <v>293</v>
      </c>
      <c r="D421" s="1">
        <v>44938</v>
      </c>
      <c r="E421" s="6" t="s">
        <v>16</v>
      </c>
      <c r="F421" t="s">
        <v>50</v>
      </c>
      <c r="G421" s="3" t="s">
        <v>51</v>
      </c>
      <c r="H421">
        <v>2.2999999999999998</v>
      </c>
      <c r="I421">
        <v>62.54</v>
      </c>
      <c r="J421">
        <v>143.83000000000001</v>
      </c>
      <c r="K421" t="s">
        <v>36</v>
      </c>
      <c r="L421" t="b">
        <v>0</v>
      </c>
    </row>
    <row r="422" spans="1:12" ht="17" x14ac:dyDescent="0.2">
      <c r="A422" t="s">
        <v>759</v>
      </c>
      <c r="B422" t="s">
        <v>695</v>
      </c>
      <c r="C422" t="s">
        <v>207</v>
      </c>
      <c r="D422" s="1">
        <v>45068</v>
      </c>
      <c r="E422" s="6" t="s">
        <v>44</v>
      </c>
      <c r="F422" t="s">
        <v>30</v>
      </c>
      <c r="G422" s="3" t="s">
        <v>31</v>
      </c>
      <c r="H422">
        <v>4.5999999999999996</v>
      </c>
      <c r="I422">
        <v>30.47</v>
      </c>
      <c r="J422">
        <v>140.16999999999999</v>
      </c>
      <c r="K422" t="s">
        <v>26</v>
      </c>
      <c r="L422" t="b">
        <v>0</v>
      </c>
    </row>
    <row r="423" spans="1:12" ht="34" x14ac:dyDescent="0.2">
      <c r="A423" t="s">
        <v>760</v>
      </c>
      <c r="B423" t="s">
        <v>263</v>
      </c>
      <c r="C423" t="s">
        <v>183</v>
      </c>
      <c r="D423" s="1">
        <v>45207</v>
      </c>
      <c r="E423" s="6" t="s">
        <v>89</v>
      </c>
      <c r="F423" t="s">
        <v>24</v>
      </c>
      <c r="G423" s="3" t="s">
        <v>25</v>
      </c>
      <c r="H423">
        <v>3.3</v>
      </c>
      <c r="I423">
        <v>29.68</v>
      </c>
      <c r="J423">
        <v>97.93</v>
      </c>
      <c r="K423" t="s">
        <v>92</v>
      </c>
      <c r="L423" t="b">
        <v>0</v>
      </c>
    </row>
    <row r="424" spans="1:12" ht="17" x14ac:dyDescent="0.2">
      <c r="A424" t="s">
        <v>761</v>
      </c>
      <c r="B424" t="s">
        <v>152</v>
      </c>
      <c r="C424" t="s">
        <v>15</v>
      </c>
      <c r="D424" s="1">
        <v>45071</v>
      </c>
      <c r="E424" s="6" t="s">
        <v>44</v>
      </c>
      <c r="F424" t="s">
        <v>30</v>
      </c>
      <c r="G424" s="3" t="s">
        <v>31</v>
      </c>
      <c r="H424">
        <v>5.0999999999999996</v>
      </c>
      <c r="I424">
        <v>51.7</v>
      </c>
      <c r="J424">
        <v>263.69</v>
      </c>
      <c r="K424" t="s">
        <v>96</v>
      </c>
      <c r="L424" t="b">
        <v>0</v>
      </c>
    </row>
    <row r="425" spans="1:12" ht="34" x14ac:dyDescent="0.2">
      <c r="A425" t="s">
        <v>762</v>
      </c>
      <c r="B425" t="s">
        <v>602</v>
      </c>
      <c r="C425" t="s">
        <v>256</v>
      </c>
      <c r="D425" s="1">
        <v>45647</v>
      </c>
      <c r="E425" s="6" t="s">
        <v>60</v>
      </c>
      <c r="F425" t="s">
        <v>54</v>
      </c>
      <c r="G425" s="3" t="s">
        <v>55</v>
      </c>
      <c r="H425">
        <v>6.9</v>
      </c>
      <c r="I425">
        <v>84.29</v>
      </c>
      <c r="J425">
        <v>581.6</v>
      </c>
      <c r="K425" t="s">
        <v>56</v>
      </c>
      <c r="L425" t="b">
        <v>0</v>
      </c>
    </row>
    <row r="426" spans="1:12" ht="68" x14ac:dyDescent="0.2">
      <c r="A426" t="s">
        <v>763</v>
      </c>
      <c r="B426" t="s">
        <v>313</v>
      </c>
      <c r="C426" t="s">
        <v>161</v>
      </c>
      <c r="D426" s="1">
        <v>45330</v>
      </c>
      <c r="E426" s="6" t="s">
        <v>44</v>
      </c>
      <c r="F426" t="s">
        <v>50</v>
      </c>
      <c r="G426" s="3" t="s">
        <v>51</v>
      </c>
      <c r="H426">
        <v>4.9000000000000004</v>
      </c>
      <c r="I426">
        <v>38.74</v>
      </c>
      <c r="J426">
        <v>189.81</v>
      </c>
      <c r="K426" t="s">
        <v>26</v>
      </c>
      <c r="L426" t="b">
        <v>0</v>
      </c>
    </row>
    <row r="427" spans="1:12" ht="34" x14ac:dyDescent="0.2">
      <c r="A427" t="s">
        <v>764</v>
      </c>
      <c r="B427" t="s">
        <v>398</v>
      </c>
      <c r="C427" t="s">
        <v>332</v>
      </c>
      <c r="D427" s="1">
        <v>45460</v>
      </c>
      <c r="E427" s="6" t="s">
        <v>78</v>
      </c>
      <c r="F427" t="s">
        <v>90</v>
      </c>
      <c r="G427" s="3" t="s">
        <v>91</v>
      </c>
      <c r="H427">
        <v>2.6</v>
      </c>
      <c r="I427">
        <v>47.05</v>
      </c>
      <c r="J427">
        <v>122.34</v>
      </c>
      <c r="K427" t="s">
        <v>92</v>
      </c>
      <c r="L427" t="b">
        <v>0</v>
      </c>
    </row>
    <row r="428" spans="1:12" ht="68" x14ac:dyDescent="0.2">
      <c r="A428" t="s">
        <v>765</v>
      </c>
      <c r="B428" t="s">
        <v>454</v>
      </c>
      <c r="C428" t="s">
        <v>95</v>
      </c>
      <c r="D428" s="1">
        <v>45355</v>
      </c>
      <c r="E428" s="6" t="s">
        <v>23</v>
      </c>
      <c r="F428" t="s">
        <v>50</v>
      </c>
      <c r="G428" s="3" t="s">
        <v>51</v>
      </c>
      <c r="H428">
        <v>4.3</v>
      </c>
      <c r="I428">
        <v>73.8</v>
      </c>
      <c r="J428">
        <v>317.35000000000002</v>
      </c>
      <c r="K428" t="s">
        <v>26</v>
      </c>
      <c r="L428" t="b">
        <v>0</v>
      </c>
    </row>
    <row r="429" spans="1:12" ht="68" x14ac:dyDescent="0.2">
      <c r="A429" t="s">
        <v>766</v>
      </c>
      <c r="B429" t="s">
        <v>288</v>
      </c>
      <c r="C429" t="s">
        <v>110</v>
      </c>
      <c r="D429" s="1">
        <v>45364</v>
      </c>
      <c r="E429" s="6" t="s">
        <v>89</v>
      </c>
      <c r="F429" t="s">
        <v>50</v>
      </c>
      <c r="G429" s="3" t="s">
        <v>51</v>
      </c>
      <c r="H429">
        <v>2.4</v>
      </c>
      <c r="I429">
        <v>58.8</v>
      </c>
      <c r="J429">
        <v>141.11000000000001</v>
      </c>
      <c r="K429" t="s">
        <v>32</v>
      </c>
      <c r="L429" t="b">
        <v>0</v>
      </c>
    </row>
    <row r="430" spans="1:12" ht="68" x14ac:dyDescent="0.2">
      <c r="A430" t="s">
        <v>767</v>
      </c>
      <c r="B430" t="s">
        <v>81</v>
      </c>
      <c r="C430" t="s">
        <v>332</v>
      </c>
      <c r="D430" s="1">
        <v>45350</v>
      </c>
      <c r="E430" s="6" t="s">
        <v>16</v>
      </c>
      <c r="F430" t="s">
        <v>50</v>
      </c>
      <c r="G430" s="3" t="s">
        <v>51</v>
      </c>
      <c r="H430">
        <v>4.5999999999999996</v>
      </c>
      <c r="I430">
        <v>68.349999999999994</v>
      </c>
      <c r="J430">
        <v>314.39</v>
      </c>
      <c r="K430" t="s">
        <v>82</v>
      </c>
      <c r="L430" t="b">
        <v>0</v>
      </c>
    </row>
    <row r="431" spans="1:12" ht="68" x14ac:dyDescent="0.2">
      <c r="A431" t="s">
        <v>768</v>
      </c>
      <c r="B431" t="s">
        <v>369</v>
      </c>
      <c r="C431" t="s">
        <v>350</v>
      </c>
      <c r="D431" s="1">
        <v>45133</v>
      </c>
      <c r="E431" s="6" t="s">
        <v>60</v>
      </c>
      <c r="F431" t="s">
        <v>50</v>
      </c>
      <c r="G431" s="3" t="s">
        <v>51</v>
      </c>
      <c r="H431">
        <v>7.5</v>
      </c>
      <c r="I431">
        <v>61.96</v>
      </c>
      <c r="J431">
        <v>464.73</v>
      </c>
      <c r="K431" t="s">
        <v>82</v>
      </c>
      <c r="L431" t="b">
        <v>0</v>
      </c>
    </row>
    <row r="432" spans="1:12" ht="17" x14ac:dyDescent="0.2">
      <c r="A432" t="s">
        <v>769</v>
      </c>
      <c r="B432" t="s">
        <v>770</v>
      </c>
      <c r="C432" t="s">
        <v>172</v>
      </c>
      <c r="D432" s="1">
        <v>45031</v>
      </c>
      <c r="E432" s="6" t="s">
        <v>44</v>
      </c>
      <c r="F432" t="s">
        <v>30</v>
      </c>
      <c r="G432" s="3" t="s">
        <v>31</v>
      </c>
      <c r="H432">
        <v>2.5</v>
      </c>
      <c r="I432">
        <v>31.03</v>
      </c>
      <c r="J432">
        <v>77.569999999999993</v>
      </c>
      <c r="K432" t="s">
        <v>96</v>
      </c>
      <c r="L432" t="b">
        <v>0</v>
      </c>
    </row>
    <row r="433" spans="1:13" ht="34" x14ac:dyDescent="0.2">
      <c r="A433" t="s">
        <v>771</v>
      </c>
      <c r="B433" t="s">
        <v>736</v>
      </c>
      <c r="C433" t="s">
        <v>175</v>
      </c>
      <c r="D433" s="1">
        <v>45328</v>
      </c>
      <c r="E433" s="6" t="s">
        <v>23</v>
      </c>
      <c r="F433" t="s">
        <v>61</v>
      </c>
      <c r="G433" s="3" t="s">
        <v>62</v>
      </c>
      <c r="H433">
        <v>4.0999999999999996</v>
      </c>
      <c r="I433">
        <v>50.76</v>
      </c>
      <c r="J433">
        <v>208.13</v>
      </c>
      <c r="K433" t="s">
        <v>96</v>
      </c>
      <c r="L433" t="b">
        <v>0</v>
      </c>
    </row>
    <row r="434" spans="1:13" ht="17" x14ac:dyDescent="0.2">
      <c r="A434" t="s">
        <v>772</v>
      </c>
      <c r="B434" t="s">
        <v>67</v>
      </c>
      <c r="C434" t="s">
        <v>256</v>
      </c>
      <c r="D434" s="1">
        <v>45617</v>
      </c>
      <c r="E434" s="6" t="s">
        <v>89</v>
      </c>
      <c r="F434" t="s">
        <v>30</v>
      </c>
      <c r="G434" s="3" t="s">
        <v>31</v>
      </c>
      <c r="H434">
        <v>3.7</v>
      </c>
      <c r="I434">
        <v>30.05</v>
      </c>
      <c r="J434">
        <v>111.2</v>
      </c>
      <c r="K434" t="s">
        <v>56</v>
      </c>
      <c r="L434" t="b">
        <v>0</v>
      </c>
    </row>
    <row r="435" spans="1:13" ht="34" x14ac:dyDescent="0.2">
      <c r="A435" t="s">
        <v>773</v>
      </c>
      <c r="B435" t="s">
        <v>221</v>
      </c>
      <c r="C435" t="s">
        <v>119</v>
      </c>
      <c r="D435" s="1">
        <v>45580</v>
      </c>
      <c r="E435" s="6" t="s">
        <v>16</v>
      </c>
      <c r="F435" t="s">
        <v>45</v>
      </c>
      <c r="G435" s="3" t="s">
        <v>46</v>
      </c>
      <c r="H435">
        <v>6.7</v>
      </c>
      <c r="I435">
        <v>66.430000000000007</v>
      </c>
      <c r="J435">
        <v>445.07</v>
      </c>
      <c r="K435" t="s">
        <v>36</v>
      </c>
      <c r="L435" t="b">
        <v>0</v>
      </c>
    </row>
    <row r="436" spans="1:13" ht="34" x14ac:dyDescent="0.2">
      <c r="A436" t="s">
        <v>774</v>
      </c>
      <c r="B436" t="s">
        <v>265</v>
      </c>
      <c r="C436" t="s">
        <v>153</v>
      </c>
      <c r="D436" s="1">
        <v>44971</v>
      </c>
      <c r="E436" s="6" t="s">
        <v>23</v>
      </c>
      <c r="F436" t="s">
        <v>45</v>
      </c>
      <c r="G436" s="3" t="s">
        <v>46</v>
      </c>
      <c r="H436">
        <v>3.2</v>
      </c>
      <c r="I436">
        <v>61.42</v>
      </c>
      <c r="J436">
        <v>196.53</v>
      </c>
      <c r="K436" t="s">
        <v>26</v>
      </c>
      <c r="L436" t="b">
        <v>0</v>
      </c>
    </row>
    <row r="437" spans="1:13" ht="34" x14ac:dyDescent="0.2">
      <c r="A437" t="s">
        <v>775</v>
      </c>
      <c r="B437" t="s">
        <v>300</v>
      </c>
      <c r="C437" t="s">
        <v>59</v>
      </c>
      <c r="D437" s="1">
        <v>45061</v>
      </c>
      <c r="E437" s="6" t="s">
        <v>23</v>
      </c>
      <c r="F437" t="s">
        <v>61</v>
      </c>
      <c r="G437" s="3" t="s">
        <v>62</v>
      </c>
      <c r="H437">
        <v>3.8</v>
      </c>
      <c r="I437">
        <v>28.27</v>
      </c>
      <c r="J437">
        <v>107.44</v>
      </c>
      <c r="K437" t="s">
        <v>32</v>
      </c>
      <c r="L437" t="b">
        <v>0</v>
      </c>
    </row>
    <row r="438" spans="1:13" ht="34" x14ac:dyDescent="0.2">
      <c r="A438" t="s">
        <v>776</v>
      </c>
      <c r="B438" t="s">
        <v>613</v>
      </c>
      <c r="C438" t="s">
        <v>119</v>
      </c>
      <c r="D438" s="1">
        <v>45007</v>
      </c>
      <c r="E438" s="6" t="s">
        <v>16</v>
      </c>
      <c r="F438" t="s">
        <v>17</v>
      </c>
      <c r="G438" s="3" t="s">
        <v>18</v>
      </c>
      <c r="H438">
        <v>19</v>
      </c>
      <c r="I438">
        <v>39.46</v>
      </c>
      <c r="J438">
        <v>750</v>
      </c>
      <c r="K438" t="s">
        <v>26</v>
      </c>
      <c r="L438" t="b">
        <v>1</v>
      </c>
      <c r="M438" s="3" t="s">
        <v>40</v>
      </c>
    </row>
    <row r="439" spans="1:13" ht="34" x14ac:dyDescent="0.2">
      <c r="A439" t="s">
        <v>777</v>
      </c>
      <c r="B439" t="s">
        <v>58</v>
      </c>
      <c r="C439" t="s">
        <v>189</v>
      </c>
      <c r="D439" s="1">
        <v>44956</v>
      </c>
      <c r="E439" s="6" t="s">
        <v>78</v>
      </c>
      <c r="F439" t="s">
        <v>90</v>
      </c>
      <c r="G439" s="3" t="s">
        <v>91</v>
      </c>
      <c r="H439">
        <v>5.2</v>
      </c>
      <c r="I439">
        <v>83.66</v>
      </c>
      <c r="J439">
        <v>435.04</v>
      </c>
      <c r="K439" t="s">
        <v>26</v>
      </c>
      <c r="L439" t="b">
        <v>0</v>
      </c>
    </row>
    <row r="440" spans="1:13" ht="34" x14ac:dyDescent="0.2">
      <c r="A440" t="s">
        <v>778</v>
      </c>
      <c r="B440" t="s">
        <v>372</v>
      </c>
      <c r="C440" t="s">
        <v>119</v>
      </c>
      <c r="D440" s="1">
        <v>45573</v>
      </c>
      <c r="E440" s="6" t="s">
        <v>89</v>
      </c>
      <c r="F440" t="s">
        <v>54</v>
      </c>
      <c r="G440" s="3" t="s">
        <v>55</v>
      </c>
      <c r="H440">
        <v>2.8</v>
      </c>
      <c r="I440">
        <v>76.650000000000006</v>
      </c>
      <c r="J440">
        <v>214.62</v>
      </c>
      <c r="K440" t="s">
        <v>36</v>
      </c>
      <c r="L440" t="b">
        <v>0</v>
      </c>
    </row>
    <row r="441" spans="1:13" ht="34" x14ac:dyDescent="0.2">
      <c r="A441" t="s">
        <v>779</v>
      </c>
      <c r="B441" t="s">
        <v>48</v>
      </c>
      <c r="C441" t="s">
        <v>207</v>
      </c>
      <c r="D441" s="1">
        <v>45553</v>
      </c>
      <c r="E441" s="6" t="s">
        <v>60</v>
      </c>
      <c r="F441" t="s">
        <v>61</v>
      </c>
      <c r="G441" s="3" t="s">
        <v>62</v>
      </c>
      <c r="H441">
        <v>4.2</v>
      </c>
      <c r="I441">
        <v>65.98</v>
      </c>
      <c r="J441">
        <v>277.10000000000002</v>
      </c>
      <c r="K441" t="s">
        <v>32</v>
      </c>
      <c r="L441" t="b">
        <v>0</v>
      </c>
    </row>
    <row r="442" spans="1:13" ht="34" x14ac:dyDescent="0.2">
      <c r="A442" t="s">
        <v>780</v>
      </c>
      <c r="B442" t="s">
        <v>14</v>
      </c>
      <c r="C442" t="s">
        <v>175</v>
      </c>
      <c r="D442" s="1">
        <v>45028</v>
      </c>
      <c r="E442" s="6" t="s">
        <v>78</v>
      </c>
      <c r="F442" t="s">
        <v>90</v>
      </c>
      <c r="G442" s="3" t="s">
        <v>91</v>
      </c>
      <c r="H442">
        <v>2.1</v>
      </c>
      <c r="I442">
        <v>29.05</v>
      </c>
      <c r="J442">
        <v>61.01</v>
      </c>
      <c r="K442" t="s">
        <v>19</v>
      </c>
      <c r="L442" t="b">
        <v>0</v>
      </c>
    </row>
    <row r="443" spans="1:13" ht="17" x14ac:dyDescent="0.2">
      <c r="A443" t="s">
        <v>781</v>
      </c>
      <c r="B443" t="s">
        <v>460</v>
      </c>
      <c r="C443" t="s">
        <v>391</v>
      </c>
      <c r="D443" s="1">
        <v>45200</v>
      </c>
      <c r="E443" s="6" t="s">
        <v>60</v>
      </c>
      <c r="F443" t="s">
        <v>30</v>
      </c>
      <c r="G443" s="3" t="s">
        <v>31</v>
      </c>
      <c r="H443">
        <v>2.2000000000000002</v>
      </c>
      <c r="I443">
        <v>28.63</v>
      </c>
      <c r="J443">
        <v>62.98</v>
      </c>
      <c r="K443" t="s">
        <v>26</v>
      </c>
      <c r="L443" t="b">
        <v>0</v>
      </c>
    </row>
    <row r="444" spans="1:13" ht="34" x14ac:dyDescent="0.2">
      <c r="A444" t="s">
        <v>782</v>
      </c>
      <c r="B444" t="s">
        <v>783</v>
      </c>
      <c r="C444" t="s">
        <v>391</v>
      </c>
      <c r="D444" s="1">
        <v>45583</v>
      </c>
      <c r="E444" s="6" t="s">
        <v>60</v>
      </c>
      <c r="F444" t="s">
        <v>45</v>
      </c>
      <c r="G444" s="3" t="s">
        <v>46</v>
      </c>
      <c r="H444">
        <v>5.8</v>
      </c>
      <c r="I444">
        <v>55.06</v>
      </c>
      <c r="J444">
        <v>319.37</v>
      </c>
      <c r="K444" t="s">
        <v>19</v>
      </c>
      <c r="L444" t="b">
        <v>0</v>
      </c>
    </row>
    <row r="445" spans="1:13" ht="34" x14ac:dyDescent="0.2">
      <c r="A445" t="s">
        <v>784</v>
      </c>
      <c r="B445" t="s">
        <v>434</v>
      </c>
      <c r="C445" t="s">
        <v>207</v>
      </c>
      <c r="D445" s="1">
        <v>45359</v>
      </c>
      <c r="E445" s="6" t="s">
        <v>89</v>
      </c>
      <c r="F445" t="s">
        <v>61</v>
      </c>
      <c r="G445" s="3" t="s">
        <v>62</v>
      </c>
      <c r="H445">
        <v>6.2</v>
      </c>
      <c r="I445">
        <v>29.95</v>
      </c>
      <c r="J445">
        <v>185.66</v>
      </c>
      <c r="K445" t="s">
        <v>32</v>
      </c>
      <c r="L445" t="b">
        <v>0</v>
      </c>
    </row>
    <row r="446" spans="1:13" ht="68" x14ac:dyDescent="0.2">
      <c r="A446" t="s">
        <v>785</v>
      </c>
      <c r="B446" t="s">
        <v>374</v>
      </c>
      <c r="C446" t="s">
        <v>350</v>
      </c>
      <c r="D446" s="1">
        <v>44986</v>
      </c>
      <c r="E446" s="6" t="s">
        <v>89</v>
      </c>
      <c r="F446" t="s">
        <v>50</v>
      </c>
      <c r="G446" s="3" t="s">
        <v>51</v>
      </c>
      <c r="H446">
        <v>3.7</v>
      </c>
      <c r="I446">
        <v>43.59</v>
      </c>
      <c r="J446">
        <v>161.30000000000001</v>
      </c>
      <c r="K446" t="s">
        <v>19</v>
      </c>
      <c r="L446" t="b">
        <v>0</v>
      </c>
    </row>
    <row r="447" spans="1:13" ht="34" x14ac:dyDescent="0.2">
      <c r="A447" t="s">
        <v>786</v>
      </c>
      <c r="B447" t="s">
        <v>304</v>
      </c>
      <c r="C447" t="s">
        <v>124</v>
      </c>
      <c r="D447" s="1">
        <v>45196</v>
      </c>
      <c r="E447" s="6" t="s">
        <v>78</v>
      </c>
      <c r="F447" t="s">
        <v>30</v>
      </c>
      <c r="G447" s="3" t="s">
        <v>31</v>
      </c>
      <c r="H447">
        <v>43.7</v>
      </c>
      <c r="I447">
        <v>34.32</v>
      </c>
      <c r="J447">
        <v>1500</v>
      </c>
      <c r="K447" t="s">
        <v>92</v>
      </c>
      <c r="L447" t="b">
        <v>1</v>
      </c>
      <c r="M447" s="3" t="s">
        <v>40</v>
      </c>
    </row>
    <row r="448" spans="1:13" ht="34" x14ac:dyDescent="0.2">
      <c r="A448" t="s">
        <v>787</v>
      </c>
      <c r="B448" t="s">
        <v>336</v>
      </c>
      <c r="C448" t="s">
        <v>219</v>
      </c>
      <c r="D448" s="1">
        <v>45159</v>
      </c>
      <c r="E448" s="6" t="s">
        <v>16</v>
      </c>
      <c r="F448" t="s">
        <v>61</v>
      </c>
      <c r="G448" s="3" t="s">
        <v>62</v>
      </c>
      <c r="H448">
        <v>5.5</v>
      </c>
      <c r="I448">
        <v>70.790000000000006</v>
      </c>
      <c r="J448">
        <v>389.36</v>
      </c>
      <c r="K448" t="s">
        <v>56</v>
      </c>
      <c r="L448" t="b">
        <v>0</v>
      </c>
    </row>
    <row r="449" spans="1:13" ht="34" x14ac:dyDescent="0.2">
      <c r="A449" t="s">
        <v>788</v>
      </c>
      <c r="B449" t="s">
        <v>442</v>
      </c>
      <c r="C449" t="s">
        <v>172</v>
      </c>
      <c r="D449" s="1">
        <v>45497</v>
      </c>
      <c r="E449" s="6" t="s">
        <v>23</v>
      </c>
      <c r="F449" t="s">
        <v>90</v>
      </c>
      <c r="G449" s="3" t="s">
        <v>91</v>
      </c>
      <c r="H449">
        <v>3.9</v>
      </c>
      <c r="I449">
        <v>51.25</v>
      </c>
      <c r="J449">
        <v>199.87</v>
      </c>
      <c r="K449" t="s">
        <v>56</v>
      </c>
      <c r="L449" t="b">
        <v>0</v>
      </c>
    </row>
    <row r="450" spans="1:13" ht="34" x14ac:dyDescent="0.2">
      <c r="A450" t="s">
        <v>789</v>
      </c>
      <c r="B450" t="s">
        <v>225</v>
      </c>
      <c r="C450" t="s">
        <v>172</v>
      </c>
      <c r="D450" s="1">
        <v>45096</v>
      </c>
      <c r="E450" s="6" t="s">
        <v>44</v>
      </c>
      <c r="F450" t="s">
        <v>24</v>
      </c>
      <c r="G450" s="3" t="s">
        <v>25</v>
      </c>
      <c r="H450">
        <v>3.5</v>
      </c>
      <c r="I450">
        <v>80.48</v>
      </c>
      <c r="J450">
        <v>281.67</v>
      </c>
      <c r="K450" t="s">
        <v>36</v>
      </c>
      <c r="L450" t="b">
        <v>0</v>
      </c>
    </row>
    <row r="451" spans="1:13" ht="17" x14ac:dyDescent="0.2">
      <c r="A451" t="s">
        <v>790</v>
      </c>
      <c r="B451" t="s">
        <v>300</v>
      </c>
      <c r="C451" t="s">
        <v>29</v>
      </c>
      <c r="D451" s="1">
        <v>45161</v>
      </c>
      <c r="E451" s="6" t="s">
        <v>16</v>
      </c>
      <c r="F451" t="s">
        <v>17</v>
      </c>
      <c r="G451" s="3" t="s">
        <v>18</v>
      </c>
      <c r="H451">
        <v>5.7</v>
      </c>
      <c r="I451">
        <v>28.3</v>
      </c>
      <c r="J451">
        <v>161.32</v>
      </c>
      <c r="K451" t="s">
        <v>32</v>
      </c>
      <c r="L451" t="b">
        <v>0</v>
      </c>
    </row>
    <row r="452" spans="1:13" ht="68" x14ac:dyDescent="0.2">
      <c r="A452" t="s">
        <v>791</v>
      </c>
      <c r="B452" t="s">
        <v>792</v>
      </c>
      <c r="C452" t="s">
        <v>178</v>
      </c>
      <c r="D452" s="1">
        <v>45655</v>
      </c>
      <c r="E452" s="6" t="s">
        <v>16</v>
      </c>
      <c r="F452" t="s">
        <v>50</v>
      </c>
      <c r="G452" s="3" t="s">
        <v>51</v>
      </c>
      <c r="H452">
        <v>2.7</v>
      </c>
      <c r="I452">
        <v>67.47</v>
      </c>
      <c r="J452">
        <v>182.18</v>
      </c>
      <c r="K452" t="s">
        <v>82</v>
      </c>
      <c r="L452" t="b">
        <v>0</v>
      </c>
    </row>
    <row r="453" spans="1:13" ht="34" x14ac:dyDescent="0.2">
      <c r="A453" t="s">
        <v>793</v>
      </c>
      <c r="B453" t="s">
        <v>352</v>
      </c>
      <c r="C453" t="s">
        <v>194</v>
      </c>
      <c r="D453" s="1">
        <v>45457</v>
      </c>
      <c r="E453" s="6" t="s">
        <v>89</v>
      </c>
      <c r="F453" t="s">
        <v>24</v>
      </c>
      <c r="G453" s="3" t="s">
        <v>25</v>
      </c>
      <c r="H453">
        <v>3</v>
      </c>
      <c r="I453">
        <v>82.18</v>
      </c>
      <c r="J453">
        <v>246.54</v>
      </c>
      <c r="K453" t="s">
        <v>56</v>
      </c>
      <c r="L453" t="b">
        <v>0</v>
      </c>
    </row>
    <row r="454" spans="1:13" ht="34" x14ac:dyDescent="0.2">
      <c r="A454" t="s">
        <v>794</v>
      </c>
      <c r="B454" t="s">
        <v>672</v>
      </c>
      <c r="C454" t="s">
        <v>380</v>
      </c>
      <c r="D454" s="1">
        <v>44989</v>
      </c>
      <c r="E454" s="6" t="s">
        <v>78</v>
      </c>
      <c r="F454" t="s">
        <v>45</v>
      </c>
      <c r="G454" s="3" t="s">
        <v>46</v>
      </c>
      <c r="H454">
        <v>3</v>
      </c>
      <c r="I454">
        <v>32.619999999999997</v>
      </c>
      <c r="J454">
        <v>97.85</v>
      </c>
      <c r="K454" t="s">
        <v>92</v>
      </c>
      <c r="L454" t="b">
        <v>0</v>
      </c>
    </row>
    <row r="455" spans="1:13" ht="34" x14ac:dyDescent="0.2">
      <c r="A455" t="s">
        <v>795</v>
      </c>
      <c r="B455" t="s">
        <v>796</v>
      </c>
      <c r="C455" t="s">
        <v>450</v>
      </c>
      <c r="D455" s="1">
        <v>45253</v>
      </c>
      <c r="E455" s="6" t="s">
        <v>60</v>
      </c>
      <c r="F455" t="s">
        <v>90</v>
      </c>
      <c r="G455" s="3" t="s">
        <v>91</v>
      </c>
      <c r="H455">
        <v>6.6</v>
      </c>
      <c r="I455">
        <v>26.76</v>
      </c>
      <c r="J455">
        <v>176.63</v>
      </c>
      <c r="K455" t="s">
        <v>105</v>
      </c>
      <c r="L455" t="b">
        <v>0</v>
      </c>
    </row>
    <row r="456" spans="1:13" ht="34" x14ac:dyDescent="0.2">
      <c r="A456" t="s">
        <v>797</v>
      </c>
      <c r="B456" t="s">
        <v>588</v>
      </c>
      <c r="C456" t="s">
        <v>256</v>
      </c>
      <c r="D456" s="1">
        <v>45417</v>
      </c>
      <c r="E456" s="6" t="s">
        <v>89</v>
      </c>
      <c r="F456" t="s">
        <v>45</v>
      </c>
      <c r="G456" s="3" t="s">
        <v>46</v>
      </c>
      <c r="H456">
        <v>5.0999999999999996</v>
      </c>
      <c r="I456">
        <v>40.78</v>
      </c>
      <c r="J456">
        <v>207.96</v>
      </c>
      <c r="K456" t="s">
        <v>113</v>
      </c>
      <c r="L456" t="b">
        <v>0</v>
      </c>
    </row>
    <row r="457" spans="1:13" ht="34" x14ac:dyDescent="0.2">
      <c r="A457" t="s">
        <v>798</v>
      </c>
      <c r="B457" t="s">
        <v>320</v>
      </c>
      <c r="C457" t="s">
        <v>196</v>
      </c>
      <c r="D457" s="1">
        <v>45366</v>
      </c>
      <c r="E457" s="6" t="s">
        <v>44</v>
      </c>
      <c r="F457" t="s">
        <v>90</v>
      </c>
      <c r="G457" s="3" t="s">
        <v>91</v>
      </c>
      <c r="H457">
        <v>5</v>
      </c>
      <c r="I457">
        <v>55.65</v>
      </c>
      <c r="J457">
        <v>278.23</v>
      </c>
      <c r="K457" t="s">
        <v>82</v>
      </c>
      <c r="L457" t="b">
        <v>1</v>
      </c>
      <c r="M457" s="3" t="s">
        <v>102</v>
      </c>
    </row>
    <row r="458" spans="1:13" ht="17" x14ac:dyDescent="0.2">
      <c r="A458" t="s">
        <v>799</v>
      </c>
      <c r="B458" t="s">
        <v>800</v>
      </c>
      <c r="C458" t="s">
        <v>380</v>
      </c>
      <c r="D458" s="1">
        <v>45089</v>
      </c>
      <c r="E458" s="6" t="s">
        <v>23</v>
      </c>
      <c r="F458" t="s">
        <v>17</v>
      </c>
      <c r="G458" s="3" t="s">
        <v>18</v>
      </c>
      <c r="H458">
        <v>7.2</v>
      </c>
      <c r="I458">
        <v>35.01</v>
      </c>
      <c r="J458">
        <v>252.09</v>
      </c>
      <c r="K458" t="s">
        <v>96</v>
      </c>
      <c r="L458" t="b">
        <v>0</v>
      </c>
    </row>
    <row r="459" spans="1:13" ht="34" x14ac:dyDescent="0.2">
      <c r="A459" t="s">
        <v>801</v>
      </c>
      <c r="B459" t="s">
        <v>802</v>
      </c>
      <c r="C459" t="s">
        <v>145</v>
      </c>
      <c r="D459" s="1">
        <v>45201</v>
      </c>
      <c r="E459" s="6" t="s">
        <v>16</v>
      </c>
      <c r="F459" t="s">
        <v>45</v>
      </c>
      <c r="G459" s="3" t="s">
        <v>46</v>
      </c>
      <c r="H459">
        <v>6.6</v>
      </c>
      <c r="I459">
        <v>78.66</v>
      </c>
      <c r="J459">
        <v>519.13</v>
      </c>
      <c r="K459" t="s">
        <v>26</v>
      </c>
      <c r="L459" t="b">
        <v>0</v>
      </c>
    </row>
    <row r="460" spans="1:13" ht="34" x14ac:dyDescent="0.2">
      <c r="A460" t="s">
        <v>803</v>
      </c>
      <c r="B460" t="s">
        <v>672</v>
      </c>
      <c r="C460" t="s">
        <v>122</v>
      </c>
      <c r="D460" s="1">
        <v>45122</v>
      </c>
      <c r="E460" s="6" t="s">
        <v>44</v>
      </c>
      <c r="F460" t="s">
        <v>90</v>
      </c>
      <c r="G460" s="3" t="s">
        <v>91</v>
      </c>
      <c r="H460">
        <v>3.4</v>
      </c>
      <c r="I460">
        <v>55.53</v>
      </c>
      <c r="J460">
        <v>188.8</v>
      </c>
      <c r="K460" t="s">
        <v>92</v>
      </c>
      <c r="L460" t="b">
        <v>0</v>
      </c>
    </row>
    <row r="461" spans="1:13" ht="34" x14ac:dyDescent="0.2">
      <c r="A461" t="s">
        <v>804</v>
      </c>
      <c r="B461" t="s">
        <v>669</v>
      </c>
      <c r="C461" t="s">
        <v>130</v>
      </c>
      <c r="D461" s="1">
        <v>45098</v>
      </c>
      <c r="E461" s="6" t="s">
        <v>60</v>
      </c>
      <c r="F461" t="s">
        <v>24</v>
      </c>
      <c r="G461" s="3" t="s">
        <v>25</v>
      </c>
      <c r="H461">
        <v>3.5</v>
      </c>
      <c r="I461">
        <v>53.31</v>
      </c>
      <c r="J461">
        <v>186.57</v>
      </c>
      <c r="K461" t="s">
        <v>36</v>
      </c>
      <c r="L461" t="b">
        <v>0</v>
      </c>
    </row>
    <row r="462" spans="1:13" ht="68" x14ac:dyDescent="0.2">
      <c r="A462" t="s">
        <v>805</v>
      </c>
      <c r="B462" t="s">
        <v>118</v>
      </c>
      <c r="C462" t="s">
        <v>499</v>
      </c>
      <c r="D462" s="1">
        <v>45467</v>
      </c>
      <c r="E462" s="6" t="s">
        <v>44</v>
      </c>
      <c r="F462" t="s">
        <v>50</v>
      </c>
      <c r="G462" s="3" t="s">
        <v>51</v>
      </c>
      <c r="H462">
        <v>24.2</v>
      </c>
      <c r="I462">
        <v>82.62</v>
      </c>
      <c r="J462">
        <v>2000</v>
      </c>
      <c r="K462" t="s">
        <v>26</v>
      </c>
      <c r="L462" t="b">
        <v>1</v>
      </c>
      <c r="M462" s="3" t="s">
        <v>40</v>
      </c>
    </row>
    <row r="463" spans="1:13" ht="34" x14ac:dyDescent="0.2">
      <c r="A463" t="s">
        <v>806</v>
      </c>
      <c r="B463" t="s">
        <v>695</v>
      </c>
      <c r="C463" t="s">
        <v>191</v>
      </c>
      <c r="D463" s="1">
        <v>45400</v>
      </c>
      <c r="E463" s="6" t="s">
        <v>16</v>
      </c>
      <c r="F463" t="s">
        <v>61</v>
      </c>
      <c r="G463" s="3" t="s">
        <v>62</v>
      </c>
      <c r="H463">
        <v>3.3</v>
      </c>
      <c r="I463">
        <v>39.9</v>
      </c>
      <c r="J463">
        <v>131.66</v>
      </c>
      <c r="K463" t="s">
        <v>26</v>
      </c>
      <c r="L463" t="b">
        <v>0</v>
      </c>
    </row>
    <row r="464" spans="1:13" ht="34" x14ac:dyDescent="0.2">
      <c r="A464" t="s">
        <v>807</v>
      </c>
      <c r="B464" t="s">
        <v>245</v>
      </c>
      <c r="C464" t="s">
        <v>71</v>
      </c>
      <c r="D464" s="1">
        <v>44983</v>
      </c>
      <c r="E464" s="6" t="s">
        <v>78</v>
      </c>
      <c r="F464" t="s">
        <v>54</v>
      </c>
      <c r="G464" s="3" t="s">
        <v>55</v>
      </c>
      <c r="H464">
        <v>3.6</v>
      </c>
      <c r="I464">
        <v>29.67</v>
      </c>
      <c r="J464">
        <v>106.82</v>
      </c>
      <c r="K464" t="s">
        <v>32</v>
      </c>
      <c r="L464" t="b">
        <v>1</v>
      </c>
      <c r="M464" s="3" t="s">
        <v>102</v>
      </c>
    </row>
    <row r="465" spans="1:13" ht="34" x14ac:dyDescent="0.2">
      <c r="A465" t="s">
        <v>808</v>
      </c>
      <c r="B465" t="s">
        <v>402</v>
      </c>
      <c r="C465" t="s">
        <v>130</v>
      </c>
      <c r="D465" s="1">
        <v>45457</v>
      </c>
      <c r="E465" s="6" t="s">
        <v>23</v>
      </c>
      <c r="F465" t="s">
        <v>90</v>
      </c>
      <c r="G465" s="3" t="s">
        <v>91</v>
      </c>
      <c r="H465">
        <v>31.6</v>
      </c>
      <c r="I465">
        <v>79.12</v>
      </c>
      <c r="J465">
        <v>2500</v>
      </c>
      <c r="K465" t="s">
        <v>96</v>
      </c>
      <c r="L465" t="b">
        <v>1</v>
      </c>
      <c r="M465" s="3" t="s">
        <v>40</v>
      </c>
    </row>
    <row r="466" spans="1:13" ht="17" x14ac:dyDescent="0.2">
      <c r="A466" t="s">
        <v>809</v>
      </c>
      <c r="B466" t="s">
        <v>424</v>
      </c>
      <c r="C466" t="s">
        <v>280</v>
      </c>
      <c r="D466" s="1">
        <v>45639</v>
      </c>
      <c r="E466" s="6" t="s">
        <v>60</v>
      </c>
      <c r="F466" t="s">
        <v>30</v>
      </c>
      <c r="G466" s="3" t="s">
        <v>31</v>
      </c>
      <c r="H466">
        <v>6.8</v>
      </c>
      <c r="I466">
        <v>83.88</v>
      </c>
      <c r="J466">
        <v>570.41999999999996</v>
      </c>
      <c r="K466" t="s">
        <v>32</v>
      </c>
      <c r="L466" t="b">
        <v>0</v>
      </c>
    </row>
    <row r="467" spans="1:13" ht="34" x14ac:dyDescent="0.2">
      <c r="A467" t="s">
        <v>810</v>
      </c>
      <c r="B467" t="s">
        <v>588</v>
      </c>
      <c r="C467" t="s">
        <v>43</v>
      </c>
      <c r="D467" s="1">
        <v>45233</v>
      </c>
      <c r="E467" s="6" t="s">
        <v>78</v>
      </c>
      <c r="F467" t="s">
        <v>90</v>
      </c>
      <c r="G467" s="3" t="s">
        <v>91</v>
      </c>
      <c r="H467">
        <v>7.3</v>
      </c>
      <c r="I467">
        <v>76.959999999999994</v>
      </c>
      <c r="J467">
        <v>561.82000000000005</v>
      </c>
      <c r="K467" t="s">
        <v>113</v>
      </c>
      <c r="L467" t="b">
        <v>0</v>
      </c>
    </row>
    <row r="468" spans="1:13" ht="34" x14ac:dyDescent="0.2">
      <c r="A468" t="s">
        <v>811</v>
      </c>
      <c r="B468" t="s">
        <v>67</v>
      </c>
      <c r="C468" t="s">
        <v>332</v>
      </c>
      <c r="D468" s="1">
        <v>45394</v>
      </c>
      <c r="E468" s="6" t="s">
        <v>78</v>
      </c>
      <c r="F468" t="s">
        <v>54</v>
      </c>
      <c r="G468" s="3" t="s">
        <v>55</v>
      </c>
      <c r="H468">
        <v>2.5</v>
      </c>
      <c r="I468">
        <v>52.4</v>
      </c>
      <c r="J468">
        <v>131.01</v>
      </c>
      <c r="K468" t="s">
        <v>56</v>
      </c>
      <c r="L468" t="b">
        <v>0</v>
      </c>
    </row>
    <row r="469" spans="1:13" ht="17" x14ac:dyDescent="0.2">
      <c r="A469" t="s">
        <v>812</v>
      </c>
      <c r="B469" t="s">
        <v>258</v>
      </c>
      <c r="C469" t="s">
        <v>266</v>
      </c>
      <c r="D469" s="1">
        <v>45353</v>
      </c>
      <c r="E469" s="6" t="s">
        <v>16</v>
      </c>
      <c r="F469" t="s">
        <v>30</v>
      </c>
      <c r="G469" s="3" t="s">
        <v>31</v>
      </c>
      <c r="H469">
        <v>3.7</v>
      </c>
      <c r="I469">
        <v>72.069999999999993</v>
      </c>
      <c r="J469">
        <v>266.66000000000003</v>
      </c>
      <c r="K469" t="s">
        <v>56</v>
      </c>
      <c r="L469" t="b">
        <v>0</v>
      </c>
    </row>
    <row r="470" spans="1:13" ht="17" x14ac:dyDescent="0.2">
      <c r="A470" t="s">
        <v>813</v>
      </c>
      <c r="B470" t="s">
        <v>814</v>
      </c>
      <c r="C470" t="s">
        <v>178</v>
      </c>
      <c r="D470" s="1">
        <v>45537</v>
      </c>
      <c r="E470" s="6" t="s">
        <v>60</v>
      </c>
      <c r="F470" t="s">
        <v>30</v>
      </c>
      <c r="G470" s="3" t="s">
        <v>31</v>
      </c>
      <c r="H470">
        <v>18.3</v>
      </c>
      <c r="I470">
        <v>60.5</v>
      </c>
      <c r="J470">
        <v>1107.1500000000001</v>
      </c>
      <c r="K470" t="s">
        <v>26</v>
      </c>
      <c r="L470" t="b">
        <v>1</v>
      </c>
      <c r="M470" s="3" t="s">
        <v>79</v>
      </c>
    </row>
    <row r="471" spans="1:13" ht="17" x14ac:dyDescent="0.2">
      <c r="A471" t="s">
        <v>815</v>
      </c>
      <c r="B471" t="s">
        <v>672</v>
      </c>
      <c r="C471" t="s">
        <v>207</v>
      </c>
      <c r="D471" s="1">
        <v>45088</v>
      </c>
      <c r="E471" s="6" t="s">
        <v>23</v>
      </c>
      <c r="F471" t="s">
        <v>30</v>
      </c>
      <c r="G471" s="3" t="s">
        <v>31</v>
      </c>
      <c r="H471">
        <v>6.4</v>
      </c>
      <c r="I471">
        <v>57.79</v>
      </c>
      <c r="J471">
        <v>369.88</v>
      </c>
      <c r="K471" t="s">
        <v>92</v>
      </c>
      <c r="L471" t="b">
        <v>0</v>
      </c>
    </row>
    <row r="472" spans="1:13" ht="68" x14ac:dyDescent="0.2">
      <c r="A472" t="s">
        <v>816</v>
      </c>
      <c r="B472" t="s">
        <v>284</v>
      </c>
      <c r="C472" t="s">
        <v>159</v>
      </c>
      <c r="D472" s="1">
        <v>45229</v>
      </c>
      <c r="E472" s="6" t="s">
        <v>23</v>
      </c>
      <c r="F472" t="s">
        <v>50</v>
      </c>
      <c r="G472" s="3" t="s">
        <v>51</v>
      </c>
      <c r="H472">
        <v>2</v>
      </c>
      <c r="I472">
        <v>49.6</v>
      </c>
      <c r="J472">
        <v>99.2</v>
      </c>
      <c r="K472" t="s">
        <v>92</v>
      </c>
      <c r="L472" t="b">
        <v>0</v>
      </c>
    </row>
    <row r="473" spans="1:13" ht="34" x14ac:dyDescent="0.2">
      <c r="A473" t="s">
        <v>817</v>
      </c>
      <c r="B473" t="s">
        <v>28</v>
      </c>
      <c r="C473" t="s">
        <v>161</v>
      </c>
      <c r="D473" s="1">
        <v>45117</v>
      </c>
      <c r="E473" s="6" t="s">
        <v>44</v>
      </c>
      <c r="F473" t="s">
        <v>54</v>
      </c>
      <c r="G473" s="3" t="s">
        <v>55</v>
      </c>
      <c r="H473">
        <v>5.8</v>
      </c>
      <c r="I473">
        <v>66.61</v>
      </c>
      <c r="J473">
        <v>386.32</v>
      </c>
      <c r="K473" t="s">
        <v>32</v>
      </c>
      <c r="L473" t="b">
        <v>0</v>
      </c>
    </row>
    <row r="474" spans="1:13" ht="34" x14ac:dyDescent="0.2">
      <c r="A474" t="s">
        <v>818</v>
      </c>
      <c r="B474" t="s">
        <v>819</v>
      </c>
      <c r="C474" t="s">
        <v>450</v>
      </c>
      <c r="D474" s="1">
        <v>45354</v>
      </c>
      <c r="E474" s="6" t="s">
        <v>16</v>
      </c>
      <c r="F474" t="s">
        <v>54</v>
      </c>
      <c r="G474" s="3" t="s">
        <v>55</v>
      </c>
      <c r="H474">
        <v>2</v>
      </c>
      <c r="I474">
        <v>64.44</v>
      </c>
      <c r="J474">
        <v>128.88</v>
      </c>
      <c r="K474" t="s">
        <v>105</v>
      </c>
      <c r="L474" t="b">
        <v>0</v>
      </c>
    </row>
    <row r="475" spans="1:13" ht="34" x14ac:dyDescent="0.2">
      <c r="A475" t="s">
        <v>820</v>
      </c>
      <c r="B475" t="s">
        <v>429</v>
      </c>
      <c r="C475" t="s">
        <v>166</v>
      </c>
      <c r="D475" s="1">
        <v>45123</v>
      </c>
      <c r="E475" s="6" t="s">
        <v>23</v>
      </c>
      <c r="F475" t="s">
        <v>45</v>
      </c>
      <c r="G475" s="3" t="s">
        <v>46</v>
      </c>
      <c r="H475">
        <v>2.6</v>
      </c>
      <c r="I475">
        <v>56.79</v>
      </c>
      <c r="J475">
        <v>147.65</v>
      </c>
      <c r="K475" t="s">
        <v>92</v>
      </c>
      <c r="L475" t="b">
        <v>0</v>
      </c>
    </row>
    <row r="476" spans="1:13" ht="34" x14ac:dyDescent="0.2">
      <c r="A476" t="s">
        <v>821</v>
      </c>
      <c r="B476" t="s">
        <v>21</v>
      </c>
      <c r="C476" t="s">
        <v>71</v>
      </c>
      <c r="D476" s="1">
        <v>44940</v>
      </c>
      <c r="E476" s="6" t="s">
        <v>23</v>
      </c>
      <c r="F476" t="s">
        <v>61</v>
      </c>
      <c r="G476" s="3" t="s">
        <v>62</v>
      </c>
      <c r="H476">
        <v>5</v>
      </c>
      <c r="I476">
        <v>28.59</v>
      </c>
      <c r="J476">
        <v>142.97</v>
      </c>
      <c r="K476" t="s">
        <v>26</v>
      </c>
      <c r="L476" t="b">
        <v>0</v>
      </c>
    </row>
    <row r="477" spans="1:13" ht="34" x14ac:dyDescent="0.2">
      <c r="A477" t="s">
        <v>822</v>
      </c>
      <c r="B477" t="s">
        <v>823</v>
      </c>
      <c r="C477" t="s">
        <v>191</v>
      </c>
      <c r="D477" s="1">
        <v>45304</v>
      </c>
      <c r="E477" s="6" t="s">
        <v>89</v>
      </c>
      <c r="F477" t="s">
        <v>45</v>
      </c>
      <c r="G477" s="3" t="s">
        <v>46</v>
      </c>
      <c r="H477">
        <v>2.6</v>
      </c>
      <c r="I477">
        <v>80.28</v>
      </c>
      <c r="J477">
        <v>208.72</v>
      </c>
      <c r="K477" t="s">
        <v>19</v>
      </c>
      <c r="L477" t="b">
        <v>0</v>
      </c>
    </row>
    <row r="478" spans="1:13" ht="34" x14ac:dyDescent="0.2">
      <c r="A478" t="s">
        <v>824</v>
      </c>
      <c r="B478" t="s">
        <v>58</v>
      </c>
      <c r="C478" t="s">
        <v>49</v>
      </c>
      <c r="D478" s="1">
        <v>45153</v>
      </c>
      <c r="E478" s="6" t="s">
        <v>16</v>
      </c>
      <c r="F478" t="s">
        <v>61</v>
      </c>
      <c r="G478" s="3" t="s">
        <v>62</v>
      </c>
      <c r="H478">
        <v>6.2</v>
      </c>
      <c r="I478">
        <v>47.35</v>
      </c>
      <c r="J478">
        <v>293.57</v>
      </c>
      <c r="K478" t="s">
        <v>26</v>
      </c>
      <c r="L478" t="b">
        <v>0</v>
      </c>
    </row>
    <row r="479" spans="1:13" ht="34" x14ac:dyDescent="0.2">
      <c r="A479" t="s">
        <v>825</v>
      </c>
      <c r="B479" t="s">
        <v>374</v>
      </c>
      <c r="C479" t="s">
        <v>29</v>
      </c>
      <c r="D479" s="1">
        <v>45423</v>
      </c>
      <c r="E479" s="6" t="s">
        <v>16</v>
      </c>
      <c r="F479" t="s">
        <v>90</v>
      </c>
      <c r="G479" s="3" t="s">
        <v>91</v>
      </c>
      <c r="H479">
        <v>5.5</v>
      </c>
      <c r="I479">
        <v>55.33</v>
      </c>
      <c r="J479">
        <v>304.29000000000002</v>
      </c>
      <c r="K479" t="s">
        <v>19</v>
      </c>
      <c r="L479" t="b">
        <v>0</v>
      </c>
    </row>
    <row r="480" spans="1:13" ht="34" x14ac:dyDescent="0.2">
      <c r="A480" t="s">
        <v>826</v>
      </c>
      <c r="B480" t="s">
        <v>521</v>
      </c>
      <c r="C480" t="s">
        <v>380</v>
      </c>
      <c r="D480" s="1">
        <v>45461</v>
      </c>
      <c r="E480" s="6" t="s">
        <v>60</v>
      </c>
      <c r="F480" t="s">
        <v>61</v>
      </c>
      <c r="G480" s="3" t="s">
        <v>62</v>
      </c>
      <c r="H480">
        <v>2.4</v>
      </c>
      <c r="I480">
        <v>59.07</v>
      </c>
      <c r="J480">
        <v>141.77000000000001</v>
      </c>
      <c r="K480" t="s">
        <v>36</v>
      </c>
      <c r="L480" t="b">
        <v>0</v>
      </c>
    </row>
    <row r="481" spans="1:13" ht="68" x14ac:dyDescent="0.2">
      <c r="A481" t="s">
        <v>827</v>
      </c>
      <c r="B481" t="s">
        <v>292</v>
      </c>
      <c r="C481" t="s">
        <v>211</v>
      </c>
      <c r="D481" s="1">
        <v>45354</v>
      </c>
      <c r="E481" s="6" t="s">
        <v>78</v>
      </c>
      <c r="F481" t="s">
        <v>50</v>
      </c>
      <c r="G481" s="3" t="s">
        <v>51</v>
      </c>
      <c r="H481">
        <v>3.4</v>
      </c>
      <c r="I481">
        <v>40.659999999999997</v>
      </c>
      <c r="J481">
        <v>138.24</v>
      </c>
      <c r="K481" t="s">
        <v>32</v>
      </c>
      <c r="L481" t="b">
        <v>0</v>
      </c>
    </row>
    <row r="482" spans="1:13" ht="34" x14ac:dyDescent="0.2">
      <c r="A482" t="s">
        <v>828</v>
      </c>
      <c r="B482" t="s">
        <v>245</v>
      </c>
      <c r="C482" t="s">
        <v>85</v>
      </c>
      <c r="D482" s="1">
        <v>45214</v>
      </c>
      <c r="E482" s="6" t="s">
        <v>78</v>
      </c>
      <c r="F482" t="s">
        <v>61</v>
      </c>
      <c r="G482" s="3" t="s">
        <v>62</v>
      </c>
      <c r="H482">
        <v>6.2</v>
      </c>
      <c r="I482">
        <v>69.12</v>
      </c>
      <c r="J482">
        <v>428.55</v>
      </c>
      <c r="K482" t="s">
        <v>32</v>
      </c>
      <c r="L482" t="b">
        <v>0</v>
      </c>
    </row>
    <row r="483" spans="1:13" ht="17" x14ac:dyDescent="0.2">
      <c r="A483" t="s">
        <v>829</v>
      </c>
      <c r="B483" t="s">
        <v>534</v>
      </c>
      <c r="C483" t="s">
        <v>172</v>
      </c>
      <c r="D483" s="1">
        <v>45462</v>
      </c>
      <c r="E483" s="6" t="s">
        <v>23</v>
      </c>
      <c r="F483" t="s">
        <v>17</v>
      </c>
      <c r="G483" s="3" t="s">
        <v>18</v>
      </c>
      <c r="H483">
        <v>3.6</v>
      </c>
      <c r="I483">
        <v>29.48</v>
      </c>
      <c r="J483">
        <v>106.13</v>
      </c>
      <c r="K483" t="s">
        <v>32</v>
      </c>
      <c r="L483" t="b">
        <v>0</v>
      </c>
    </row>
    <row r="484" spans="1:13" ht="68" x14ac:dyDescent="0.2">
      <c r="A484" t="s">
        <v>830</v>
      </c>
      <c r="B484" t="s">
        <v>193</v>
      </c>
      <c r="C484" t="s">
        <v>43</v>
      </c>
      <c r="D484" s="1">
        <v>45493</v>
      </c>
      <c r="E484" s="6" t="s">
        <v>23</v>
      </c>
      <c r="F484" t="s">
        <v>50</v>
      </c>
      <c r="G484" s="3" t="s">
        <v>51</v>
      </c>
      <c r="H484">
        <v>6.7</v>
      </c>
      <c r="I484">
        <v>60.08</v>
      </c>
      <c r="J484">
        <v>402.55</v>
      </c>
      <c r="K484" t="s">
        <v>113</v>
      </c>
      <c r="L484" t="b">
        <v>0</v>
      </c>
    </row>
    <row r="485" spans="1:13" ht="34" x14ac:dyDescent="0.2">
      <c r="A485" t="s">
        <v>831</v>
      </c>
      <c r="B485" t="s">
        <v>345</v>
      </c>
      <c r="C485" t="s">
        <v>274</v>
      </c>
      <c r="D485" s="1">
        <v>45159</v>
      </c>
      <c r="E485" s="6" t="s">
        <v>60</v>
      </c>
      <c r="F485" t="s">
        <v>90</v>
      </c>
      <c r="G485" s="3" t="s">
        <v>91</v>
      </c>
      <c r="H485">
        <v>3</v>
      </c>
      <c r="I485">
        <v>52.96</v>
      </c>
      <c r="J485">
        <v>158.88999999999999</v>
      </c>
      <c r="K485" t="s">
        <v>19</v>
      </c>
      <c r="L485" t="b">
        <v>0</v>
      </c>
    </row>
    <row r="486" spans="1:13" ht="34" x14ac:dyDescent="0.2">
      <c r="A486" t="s">
        <v>832</v>
      </c>
      <c r="B486" t="s">
        <v>770</v>
      </c>
      <c r="C486" t="s">
        <v>323</v>
      </c>
      <c r="D486" s="1">
        <v>45223</v>
      </c>
      <c r="E486" s="6" t="s">
        <v>23</v>
      </c>
      <c r="F486" t="s">
        <v>90</v>
      </c>
      <c r="G486" s="3" t="s">
        <v>91</v>
      </c>
      <c r="H486">
        <v>5.2</v>
      </c>
      <c r="I486">
        <v>82.88</v>
      </c>
      <c r="J486">
        <v>430.97</v>
      </c>
      <c r="K486" t="s">
        <v>96</v>
      </c>
      <c r="L486" t="b">
        <v>0</v>
      </c>
    </row>
    <row r="487" spans="1:13" ht="17" x14ac:dyDescent="0.2">
      <c r="A487" t="s">
        <v>833</v>
      </c>
      <c r="B487" t="s">
        <v>304</v>
      </c>
      <c r="C487" t="s">
        <v>189</v>
      </c>
      <c r="D487" s="1">
        <v>45430</v>
      </c>
      <c r="E487" s="6" t="s">
        <v>44</v>
      </c>
      <c r="F487" t="s">
        <v>17</v>
      </c>
      <c r="G487" s="3" t="s">
        <v>18</v>
      </c>
      <c r="H487">
        <v>3.8</v>
      </c>
      <c r="I487">
        <v>40.9</v>
      </c>
      <c r="J487">
        <v>155.41999999999999</v>
      </c>
      <c r="K487" t="s">
        <v>92</v>
      </c>
      <c r="L487" t="b">
        <v>0</v>
      </c>
    </row>
    <row r="488" spans="1:13" ht="34" x14ac:dyDescent="0.2">
      <c r="A488" t="s">
        <v>834</v>
      </c>
      <c r="B488" t="s">
        <v>835</v>
      </c>
      <c r="C488" t="s">
        <v>191</v>
      </c>
      <c r="D488" s="1">
        <v>45592</v>
      </c>
      <c r="E488" s="6" t="s">
        <v>16</v>
      </c>
      <c r="F488" t="s">
        <v>90</v>
      </c>
      <c r="G488" s="3" t="s">
        <v>91</v>
      </c>
      <c r="H488">
        <v>2.9</v>
      </c>
      <c r="I488">
        <v>66.16</v>
      </c>
      <c r="J488">
        <v>191.87</v>
      </c>
      <c r="K488" t="s">
        <v>26</v>
      </c>
      <c r="L488" t="b">
        <v>0</v>
      </c>
    </row>
    <row r="489" spans="1:13" ht="34" x14ac:dyDescent="0.2">
      <c r="A489" t="s">
        <v>836</v>
      </c>
      <c r="B489" t="s">
        <v>236</v>
      </c>
      <c r="C489" t="s">
        <v>15</v>
      </c>
      <c r="D489" s="1">
        <v>45522</v>
      </c>
      <c r="E489" s="6" t="s">
        <v>23</v>
      </c>
      <c r="F489" t="s">
        <v>24</v>
      </c>
      <c r="G489" s="3" t="s">
        <v>25</v>
      </c>
      <c r="H489">
        <v>3.3</v>
      </c>
      <c r="I489">
        <v>76.39</v>
      </c>
      <c r="J489">
        <v>252.1</v>
      </c>
      <c r="K489" t="s">
        <v>19</v>
      </c>
      <c r="L489" t="b">
        <v>0</v>
      </c>
    </row>
    <row r="490" spans="1:13" ht="34" x14ac:dyDescent="0.2">
      <c r="A490" t="s">
        <v>837</v>
      </c>
      <c r="B490" t="s">
        <v>73</v>
      </c>
      <c r="C490" t="s">
        <v>353</v>
      </c>
      <c r="D490" s="1">
        <v>45081</v>
      </c>
      <c r="E490" s="6" t="s">
        <v>60</v>
      </c>
      <c r="F490" t="s">
        <v>90</v>
      </c>
      <c r="G490" s="3" t="s">
        <v>91</v>
      </c>
      <c r="H490">
        <v>6.3</v>
      </c>
      <c r="I490">
        <v>83.1</v>
      </c>
      <c r="J490">
        <v>523.55999999999995</v>
      </c>
      <c r="K490" t="s">
        <v>19</v>
      </c>
      <c r="L490" t="b">
        <v>0</v>
      </c>
    </row>
    <row r="491" spans="1:13" ht="34" x14ac:dyDescent="0.2">
      <c r="A491" t="s">
        <v>838</v>
      </c>
      <c r="B491" t="s">
        <v>347</v>
      </c>
      <c r="C491" t="s">
        <v>35</v>
      </c>
      <c r="D491" s="1">
        <v>45571</v>
      </c>
      <c r="E491" s="6" t="s">
        <v>23</v>
      </c>
      <c r="F491" t="s">
        <v>24</v>
      </c>
      <c r="G491" s="3" t="s">
        <v>25</v>
      </c>
      <c r="H491">
        <v>6.1</v>
      </c>
      <c r="I491">
        <v>40.61</v>
      </c>
      <c r="J491">
        <v>247.72</v>
      </c>
      <c r="K491" t="s">
        <v>32</v>
      </c>
      <c r="L491" t="b">
        <v>0</v>
      </c>
    </row>
    <row r="492" spans="1:13" ht="34" x14ac:dyDescent="0.2">
      <c r="A492" t="s">
        <v>839</v>
      </c>
      <c r="B492" t="s">
        <v>770</v>
      </c>
      <c r="C492" t="s">
        <v>211</v>
      </c>
      <c r="D492" s="1">
        <v>45469</v>
      </c>
      <c r="E492" s="6" t="s">
        <v>89</v>
      </c>
      <c r="F492" t="s">
        <v>24</v>
      </c>
      <c r="G492" s="3" t="s">
        <v>25</v>
      </c>
      <c r="H492">
        <v>7.7</v>
      </c>
      <c r="I492">
        <v>76.28</v>
      </c>
      <c r="J492">
        <v>587.33000000000004</v>
      </c>
      <c r="K492" t="s">
        <v>96</v>
      </c>
      <c r="L492" t="b">
        <v>0</v>
      </c>
    </row>
    <row r="493" spans="1:13" ht="17" x14ac:dyDescent="0.2">
      <c r="A493" t="s">
        <v>840</v>
      </c>
      <c r="B493" t="s">
        <v>406</v>
      </c>
      <c r="C493" t="s">
        <v>499</v>
      </c>
      <c r="D493" s="1">
        <v>45304</v>
      </c>
      <c r="E493" s="6" t="s">
        <v>23</v>
      </c>
      <c r="F493" t="s">
        <v>30</v>
      </c>
      <c r="G493" s="3" t="s">
        <v>31</v>
      </c>
      <c r="H493">
        <v>23</v>
      </c>
      <c r="I493">
        <v>31.11</v>
      </c>
      <c r="J493">
        <v>715.53</v>
      </c>
      <c r="K493" t="s">
        <v>82</v>
      </c>
      <c r="L493" t="b">
        <v>1</v>
      </c>
      <c r="M493" s="3" t="s">
        <v>79</v>
      </c>
    </row>
    <row r="494" spans="1:13" ht="34" x14ac:dyDescent="0.2">
      <c r="A494" t="s">
        <v>841</v>
      </c>
      <c r="B494" t="s">
        <v>842</v>
      </c>
      <c r="C494" t="s">
        <v>119</v>
      </c>
      <c r="D494" s="1">
        <v>45358</v>
      </c>
      <c r="E494" s="6" t="s">
        <v>23</v>
      </c>
      <c r="F494" t="s">
        <v>90</v>
      </c>
      <c r="G494" s="3" t="s">
        <v>91</v>
      </c>
      <c r="H494">
        <v>2.1</v>
      </c>
      <c r="I494">
        <v>74.819999999999993</v>
      </c>
      <c r="J494">
        <v>157.13</v>
      </c>
      <c r="K494" t="s">
        <v>92</v>
      </c>
      <c r="L494" t="b">
        <v>0</v>
      </c>
    </row>
    <row r="495" spans="1:13" ht="68" x14ac:dyDescent="0.2">
      <c r="A495" t="s">
        <v>843</v>
      </c>
      <c r="B495" t="s">
        <v>396</v>
      </c>
      <c r="C495" t="s">
        <v>159</v>
      </c>
      <c r="D495" s="1">
        <v>44978</v>
      </c>
      <c r="E495" s="6" t="s">
        <v>16</v>
      </c>
      <c r="F495" t="s">
        <v>50</v>
      </c>
      <c r="G495" s="3" t="s">
        <v>51</v>
      </c>
      <c r="H495">
        <v>3.2</v>
      </c>
      <c r="I495">
        <v>49.03</v>
      </c>
      <c r="J495">
        <v>156.91</v>
      </c>
      <c r="K495" t="s">
        <v>92</v>
      </c>
      <c r="L495" t="b">
        <v>0</v>
      </c>
    </row>
    <row r="496" spans="1:13" ht="34" x14ac:dyDescent="0.2">
      <c r="A496" t="s">
        <v>844</v>
      </c>
      <c r="B496" t="s">
        <v>288</v>
      </c>
      <c r="C496" t="s">
        <v>332</v>
      </c>
      <c r="D496" s="1">
        <v>45362</v>
      </c>
      <c r="E496" s="6" t="s">
        <v>44</v>
      </c>
      <c r="F496" t="s">
        <v>90</v>
      </c>
      <c r="G496" s="3" t="s">
        <v>91</v>
      </c>
      <c r="H496">
        <v>5.5</v>
      </c>
      <c r="I496">
        <v>40.53</v>
      </c>
      <c r="J496">
        <v>222.91</v>
      </c>
      <c r="K496" t="s">
        <v>32</v>
      </c>
      <c r="L496" t="b">
        <v>0</v>
      </c>
    </row>
    <row r="497" spans="1:13" ht="34" x14ac:dyDescent="0.2">
      <c r="A497" t="s">
        <v>845</v>
      </c>
      <c r="B497" t="s">
        <v>783</v>
      </c>
      <c r="C497" t="s">
        <v>68</v>
      </c>
      <c r="D497" s="1">
        <v>45465</v>
      </c>
      <c r="E497" s="6" t="s">
        <v>16</v>
      </c>
      <c r="F497" t="s">
        <v>24</v>
      </c>
      <c r="G497" s="3" t="s">
        <v>25</v>
      </c>
      <c r="H497">
        <v>8</v>
      </c>
      <c r="I497">
        <v>36.869999999999997</v>
      </c>
      <c r="J497">
        <v>294.92</v>
      </c>
      <c r="K497" t="s">
        <v>19</v>
      </c>
      <c r="L497" t="b">
        <v>0</v>
      </c>
    </row>
    <row r="498" spans="1:13" ht="17" x14ac:dyDescent="0.2">
      <c r="A498" t="s">
        <v>846</v>
      </c>
      <c r="B498" t="s">
        <v>847</v>
      </c>
      <c r="C498" t="s">
        <v>295</v>
      </c>
      <c r="D498" s="1">
        <v>44979</v>
      </c>
      <c r="E498" s="6" t="s">
        <v>78</v>
      </c>
      <c r="F498" t="s">
        <v>17</v>
      </c>
      <c r="G498" s="3" t="s">
        <v>18</v>
      </c>
      <c r="H498">
        <v>6.9</v>
      </c>
      <c r="I498">
        <v>30.52</v>
      </c>
      <c r="J498">
        <v>210.58</v>
      </c>
      <c r="K498" t="s">
        <v>92</v>
      </c>
      <c r="L498" t="b">
        <v>0</v>
      </c>
    </row>
    <row r="499" spans="1:13" ht="34" x14ac:dyDescent="0.2">
      <c r="A499" t="s">
        <v>848</v>
      </c>
      <c r="B499" t="s">
        <v>396</v>
      </c>
      <c r="C499" t="s">
        <v>68</v>
      </c>
      <c r="D499" s="1">
        <v>45471</v>
      </c>
      <c r="E499" s="6" t="s">
        <v>23</v>
      </c>
      <c r="F499" t="s">
        <v>90</v>
      </c>
      <c r="G499" s="3" t="s">
        <v>91</v>
      </c>
      <c r="H499">
        <v>2.2999999999999998</v>
      </c>
      <c r="I499">
        <v>52.66</v>
      </c>
      <c r="J499">
        <v>121.12</v>
      </c>
      <c r="K499" t="s">
        <v>92</v>
      </c>
      <c r="L499" t="b">
        <v>0</v>
      </c>
    </row>
    <row r="500" spans="1:13" ht="34" x14ac:dyDescent="0.2">
      <c r="A500" t="s">
        <v>849</v>
      </c>
      <c r="B500" t="s">
        <v>261</v>
      </c>
      <c r="C500" t="s">
        <v>88</v>
      </c>
      <c r="D500" s="1">
        <v>45142</v>
      </c>
      <c r="E500" s="6" t="s">
        <v>44</v>
      </c>
      <c r="F500" t="s">
        <v>61</v>
      </c>
      <c r="G500" s="3" t="s">
        <v>62</v>
      </c>
      <c r="H500">
        <v>6.9</v>
      </c>
      <c r="I500">
        <v>48.7</v>
      </c>
      <c r="J500">
        <v>336.03</v>
      </c>
      <c r="K500" t="s">
        <v>96</v>
      </c>
      <c r="L500" t="b">
        <v>0</v>
      </c>
    </row>
    <row r="501" spans="1:13" ht="34" x14ac:dyDescent="0.2">
      <c r="A501" t="s">
        <v>850</v>
      </c>
      <c r="B501" t="s">
        <v>519</v>
      </c>
      <c r="C501" t="s">
        <v>15</v>
      </c>
      <c r="D501" s="1">
        <v>45635</v>
      </c>
      <c r="E501" s="6" t="s">
        <v>23</v>
      </c>
      <c r="F501" t="s">
        <v>61</v>
      </c>
      <c r="G501" s="3" t="s">
        <v>62</v>
      </c>
      <c r="H501">
        <v>6.1</v>
      </c>
      <c r="I501">
        <v>35.369999999999997</v>
      </c>
      <c r="J501">
        <v>215.75</v>
      </c>
      <c r="K501" t="s">
        <v>19</v>
      </c>
      <c r="L501" t="b">
        <v>0</v>
      </c>
    </row>
    <row r="502" spans="1:13" ht="68" x14ac:dyDescent="0.2">
      <c r="A502" t="s">
        <v>851</v>
      </c>
      <c r="B502" t="s">
        <v>349</v>
      </c>
      <c r="C502" t="s">
        <v>116</v>
      </c>
      <c r="D502" s="1">
        <v>45078</v>
      </c>
      <c r="E502" s="6" t="s">
        <v>23</v>
      </c>
      <c r="F502" t="s">
        <v>50</v>
      </c>
      <c r="G502" s="3" t="s">
        <v>51</v>
      </c>
      <c r="H502">
        <v>38.6</v>
      </c>
      <c r="I502">
        <v>51.76</v>
      </c>
      <c r="J502">
        <v>2000</v>
      </c>
      <c r="K502" t="s">
        <v>32</v>
      </c>
      <c r="L502" t="b">
        <v>1</v>
      </c>
      <c r="M502" s="3" t="s">
        <v>40</v>
      </c>
    </row>
    <row r="503" spans="1:13" ht="34" x14ac:dyDescent="0.2">
      <c r="A503" t="s">
        <v>852</v>
      </c>
      <c r="B503" t="s">
        <v>81</v>
      </c>
      <c r="C503" t="s">
        <v>133</v>
      </c>
      <c r="D503" s="1">
        <v>44948</v>
      </c>
      <c r="E503" s="6" t="s">
        <v>16</v>
      </c>
      <c r="F503" t="s">
        <v>24</v>
      </c>
      <c r="G503" s="3" t="s">
        <v>25</v>
      </c>
      <c r="H503">
        <v>5.7</v>
      </c>
      <c r="I503">
        <v>62.02</v>
      </c>
      <c r="J503">
        <v>353.51</v>
      </c>
      <c r="K503" t="s">
        <v>82</v>
      </c>
      <c r="L503" t="b">
        <v>0</v>
      </c>
    </row>
    <row r="504" spans="1:13" ht="34" x14ac:dyDescent="0.2">
      <c r="A504" t="s">
        <v>853</v>
      </c>
      <c r="B504" t="s">
        <v>460</v>
      </c>
      <c r="C504" t="s">
        <v>35</v>
      </c>
      <c r="D504" s="1">
        <v>45547</v>
      </c>
      <c r="E504" s="6" t="s">
        <v>60</v>
      </c>
      <c r="F504" t="s">
        <v>45</v>
      </c>
      <c r="G504" s="3" t="s">
        <v>46</v>
      </c>
      <c r="H504">
        <v>5</v>
      </c>
      <c r="I504">
        <v>77.97</v>
      </c>
      <c r="J504">
        <v>389.83</v>
      </c>
      <c r="K504" t="s">
        <v>26</v>
      </c>
      <c r="L504" t="b">
        <v>0</v>
      </c>
    </row>
    <row r="505" spans="1:13" ht="34" x14ac:dyDescent="0.2">
      <c r="A505" t="s">
        <v>854</v>
      </c>
      <c r="B505" t="s">
        <v>855</v>
      </c>
      <c r="C505" t="s">
        <v>110</v>
      </c>
      <c r="D505" s="1">
        <v>45223</v>
      </c>
      <c r="E505" s="6" t="s">
        <v>60</v>
      </c>
      <c r="F505" t="s">
        <v>24</v>
      </c>
      <c r="G505" s="3" t="s">
        <v>25</v>
      </c>
      <c r="H505">
        <v>2.5</v>
      </c>
      <c r="I505">
        <v>47.98</v>
      </c>
      <c r="J505">
        <v>119.95</v>
      </c>
      <c r="K505" t="s">
        <v>82</v>
      </c>
      <c r="L505" t="b">
        <v>0</v>
      </c>
    </row>
    <row r="506" spans="1:13" ht="17" x14ac:dyDescent="0.2">
      <c r="A506" t="s">
        <v>856</v>
      </c>
      <c r="B506" t="s">
        <v>703</v>
      </c>
      <c r="C506" t="s">
        <v>138</v>
      </c>
      <c r="D506" s="1">
        <v>45051</v>
      </c>
      <c r="E506" s="6" t="s">
        <v>23</v>
      </c>
      <c r="F506" t="s">
        <v>30</v>
      </c>
      <c r="G506" s="3" t="s">
        <v>31</v>
      </c>
      <c r="H506">
        <v>5.9</v>
      </c>
      <c r="I506">
        <v>72.83</v>
      </c>
      <c r="J506">
        <v>429.71</v>
      </c>
      <c r="K506" t="s">
        <v>92</v>
      </c>
      <c r="L506" t="b">
        <v>0</v>
      </c>
    </row>
    <row r="507" spans="1:13" ht="34" x14ac:dyDescent="0.2">
      <c r="A507" t="s">
        <v>857</v>
      </c>
      <c r="B507" t="s">
        <v>112</v>
      </c>
      <c r="C507" t="s">
        <v>116</v>
      </c>
      <c r="D507" s="1">
        <v>45057</v>
      </c>
      <c r="E507" s="6" t="s">
        <v>78</v>
      </c>
      <c r="F507" t="s">
        <v>24</v>
      </c>
      <c r="G507" s="3" t="s">
        <v>25</v>
      </c>
      <c r="H507">
        <v>7.9</v>
      </c>
      <c r="I507">
        <v>71.91</v>
      </c>
      <c r="J507">
        <v>568.13</v>
      </c>
      <c r="K507" t="s">
        <v>113</v>
      </c>
      <c r="L507" t="b">
        <v>0</v>
      </c>
    </row>
    <row r="508" spans="1:13" ht="34" x14ac:dyDescent="0.2">
      <c r="A508" t="s">
        <v>858</v>
      </c>
      <c r="B508" t="s">
        <v>292</v>
      </c>
      <c r="C508" t="s">
        <v>175</v>
      </c>
      <c r="D508" s="1">
        <v>45627</v>
      </c>
      <c r="E508" s="6" t="s">
        <v>89</v>
      </c>
      <c r="F508" t="s">
        <v>17</v>
      </c>
      <c r="G508" s="3" t="s">
        <v>18</v>
      </c>
      <c r="H508">
        <v>5.3</v>
      </c>
      <c r="I508">
        <v>54.08</v>
      </c>
      <c r="J508">
        <v>286.63</v>
      </c>
      <c r="K508" t="s">
        <v>32</v>
      </c>
      <c r="L508" t="b">
        <v>1</v>
      </c>
      <c r="M508" s="3" t="s">
        <v>102</v>
      </c>
    </row>
    <row r="509" spans="1:13" ht="34" x14ac:dyDescent="0.2">
      <c r="A509" t="s">
        <v>859</v>
      </c>
      <c r="B509" t="s">
        <v>390</v>
      </c>
      <c r="C509" t="s">
        <v>332</v>
      </c>
      <c r="D509" s="1">
        <v>45191</v>
      </c>
      <c r="E509" s="6" t="s">
        <v>78</v>
      </c>
      <c r="F509" t="s">
        <v>54</v>
      </c>
      <c r="G509" s="3" t="s">
        <v>55</v>
      </c>
      <c r="H509">
        <v>4.3</v>
      </c>
      <c r="I509">
        <v>35.79</v>
      </c>
      <c r="J509">
        <v>153.88999999999999</v>
      </c>
      <c r="K509" t="s">
        <v>96</v>
      </c>
      <c r="L509" t="b">
        <v>0</v>
      </c>
    </row>
    <row r="510" spans="1:13" ht="17" x14ac:dyDescent="0.2">
      <c r="A510" t="s">
        <v>860</v>
      </c>
      <c r="B510" t="s">
        <v>602</v>
      </c>
      <c r="C510" t="s">
        <v>191</v>
      </c>
      <c r="D510" s="1">
        <v>45449</v>
      </c>
      <c r="E510" s="6" t="s">
        <v>78</v>
      </c>
      <c r="F510" t="s">
        <v>30</v>
      </c>
      <c r="G510" s="3" t="s">
        <v>31</v>
      </c>
      <c r="H510">
        <v>2.2000000000000002</v>
      </c>
      <c r="I510">
        <v>73.64</v>
      </c>
      <c r="J510">
        <v>162.01</v>
      </c>
      <c r="K510" t="s">
        <v>56</v>
      </c>
      <c r="L510" t="b">
        <v>0</v>
      </c>
    </row>
    <row r="511" spans="1:13" ht="34" x14ac:dyDescent="0.2">
      <c r="A511" t="s">
        <v>861</v>
      </c>
      <c r="B511" t="s">
        <v>534</v>
      </c>
      <c r="C511" t="s">
        <v>153</v>
      </c>
      <c r="D511" s="1">
        <v>45126</v>
      </c>
      <c r="E511" s="6" t="s">
        <v>78</v>
      </c>
      <c r="F511" t="s">
        <v>24</v>
      </c>
      <c r="G511" s="3" t="s">
        <v>25</v>
      </c>
      <c r="H511">
        <v>6.9</v>
      </c>
      <c r="I511">
        <v>53.3</v>
      </c>
      <c r="J511">
        <v>367.78</v>
      </c>
      <c r="K511" t="s">
        <v>32</v>
      </c>
      <c r="L511" t="b">
        <v>0</v>
      </c>
    </row>
    <row r="512" spans="1:13" ht="17" x14ac:dyDescent="0.2">
      <c r="A512" t="s">
        <v>862</v>
      </c>
      <c r="B512" t="s">
        <v>863</v>
      </c>
      <c r="C512" t="s">
        <v>175</v>
      </c>
      <c r="D512" s="1">
        <v>44999</v>
      </c>
      <c r="E512" s="6" t="s">
        <v>16</v>
      </c>
      <c r="F512" t="s">
        <v>30</v>
      </c>
      <c r="G512" s="3" t="s">
        <v>31</v>
      </c>
      <c r="H512">
        <v>19.100000000000001</v>
      </c>
      <c r="I512">
        <v>31.01</v>
      </c>
      <c r="J512">
        <v>592.29</v>
      </c>
      <c r="K512" t="s">
        <v>36</v>
      </c>
      <c r="L512" t="b">
        <v>1</v>
      </c>
      <c r="M512" s="3" t="s">
        <v>79</v>
      </c>
    </row>
    <row r="513" spans="1:13" ht="34" x14ac:dyDescent="0.2">
      <c r="A513" t="s">
        <v>864</v>
      </c>
      <c r="B513" t="s">
        <v>288</v>
      </c>
      <c r="C513" t="s">
        <v>85</v>
      </c>
      <c r="D513" s="1">
        <v>45272</v>
      </c>
      <c r="E513" s="6" t="s">
        <v>16</v>
      </c>
      <c r="F513" t="s">
        <v>30</v>
      </c>
      <c r="G513" s="3" t="s">
        <v>31</v>
      </c>
      <c r="H513">
        <v>27</v>
      </c>
      <c r="I513">
        <v>73.98</v>
      </c>
      <c r="J513">
        <v>2000</v>
      </c>
      <c r="K513" t="s">
        <v>32</v>
      </c>
      <c r="L513" t="b">
        <v>1</v>
      </c>
      <c r="M513" s="3" t="s">
        <v>40</v>
      </c>
    </row>
    <row r="514" spans="1:13" ht="34" x14ac:dyDescent="0.2">
      <c r="A514" t="s">
        <v>865</v>
      </c>
      <c r="B514" t="s">
        <v>561</v>
      </c>
      <c r="C514" t="s">
        <v>219</v>
      </c>
      <c r="D514" s="1">
        <v>45539</v>
      </c>
      <c r="E514" s="6" t="s">
        <v>89</v>
      </c>
      <c r="F514" t="s">
        <v>24</v>
      </c>
      <c r="G514" s="3" t="s">
        <v>25</v>
      </c>
      <c r="H514">
        <v>9.1999999999999993</v>
      </c>
      <c r="I514">
        <v>81.87</v>
      </c>
      <c r="J514">
        <v>750</v>
      </c>
      <c r="K514" t="s">
        <v>105</v>
      </c>
      <c r="L514" t="b">
        <v>1</v>
      </c>
      <c r="M514" s="3" t="s">
        <v>40</v>
      </c>
    </row>
    <row r="515" spans="1:13" ht="34" x14ac:dyDescent="0.2">
      <c r="A515" t="s">
        <v>866</v>
      </c>
      <c r="B515" t="s">
        <v>73</v>
      </c>
      <c r="C515" t="s">
        <v>274</v>
      </c>
      <c r="D515" s="1">
        <v>45440</v>
      </c>
      <c r="E515" s="6" t="s">
        <v>23</v>
      </c>
      <c r="F515" t="s">
        <v>61</v>
      </c>
      <c r="G515" s="3" t="s">
        <v>62</v>
      </c>
      <c r="H515">
        <v>4.0999999999999996</v>
      </c>
      <c r="I515">
        <v>75.349999999999994</v>
      </c>
      <c r="J515">
        <v>308.95</v>
      </c>
      <c r="K515" t="s">
        <v>19</v>
      </c>
      <c r="L515" t="b">
        <v>0</v>
      </c>
    </row>
    <row r="516" spans="1:13" ht="68" x14ac:dyDescent="0.2">
      <c r="A516" t="s">
        <v>867</v>
      </c>
      <c r="B516" t="s">
        <v>523</v>
      </c>
      <c r="C516" t="s">
        <v>343</v>
      </c>
      <c r="D516" s="1">
        <v>45328</v>
      </c>
      <c r="E516" s="6" t="s">
        <v>16</v>
      </c>
      <c r="F516" t="s">
        <v>50</v>
      </c>
      <c r="G516" s="3" t="s">
        <v>51</v>
      </c>
      <c r="H516">
        <v>3.4</v>
      </c>
      <c r="I516">
        <v>44.08</v>
      </c>
      <c r="J516">
        <v>149.87</v>
      </c>
      <c r="K516" t="s">
        <v>92</v>
      </c>
      <c r="L516" t="b">
        <v>0</v>
      </c>
    </row>
    <row r="517" spans="1:13" ht="34" x14ac:dyDescent="0.2">
      <c r="A517" t="s">
        <v>868</v>
      </c>
      <c r="B517" t="s">
        <v>290</v>
      </c>
      <c r="C517" t="s">
        <v>350</v>
      </c>
      <c r="D517" s="1">
        <v>45488</v>
      </c>
      <c r="E517" s="6" t="s">
        <v>16</v>
      </c>
      <c r="F517" t="s">
        <v>54</v>
      </c>
      <c r="G517" s="3" t="s">
        <v>55</v>
      </c>
      <c r="H517">
        <v>7.5</v>
      </c>
      <c r="I517">
        <v>26.69</v>
      </c>
      <c r="J517">
        <v>200.19</v>
      </c>
      <c r="K517" t="s">
        <v>92</v>
      </c>
      <c r="L517" t="b">
        <v>0</v>
      </c>
    </row>
    <row r="518" spans="1:13" ht="34" x14ac:dyDescent="0.2">
      <c r="A518" t="s">
        <v>869</v>
      </c>
      <c r="B518" t="s">
        <v>598</v>
      </c>
      <c r="C518" t="s">
        <v>280</v>
      </c>
      <c r="D518" s="1">
        <v>45489</v>
      </c>
      <c r="E518" s="6" t="s">
        <v>89</v>
      </c>
      <c r="F518" t="s">
        <v>54</v>
      </c>
      <c r="G518" s="3" t="s">
        <v>55</v>
      </c>
      <c r="H518">
        <v>7.7</v>
      </c>
      <c r="I518">
        <v>58.82</v>
      </c>
      <c r="J518">
        <v>452.89</v>
      </c>
      <c r="K518" t="s">
        <v>19</v>
      </c>
      <c r="L518" t="b">
        <v>0</v>
      </c>
    </row>
    <row r="519" spans="1:13" ht="17" x14ac:dyDescent="0.2">
      <c r="A519" t="s">
        <v>870</v>
      </c>
      <c r="B519" t="s">
        <v>87</v>
      </c>
      <c r="C519" t="s">
        <v>138</v>
      </c>
      <c r="D519" s="1">
        <v>45255</v>
      </c>
      <c r="E519" s="6" t="s">
        <v>60</v>
      </c>
      <c r="F519" t="s">
        <v>30</v>
      </c>
      <c r="G519" s="3" t="s">
        <v>31</v>
      </c>
      <c r="H519">
        <v>7</v>
      </c>
      <c r="I519">
        <v>73.62</v>
      </c>
      <c r="J519">
        <v>515.37</v>
      </c>
      <c r="K519" t="s">
        <v>92</v>
      </c>
      <c r="L519" t="b">
        <v>0</v>
      </c>
    </row>
    <row r="520" spans="1:13" ht="34" x14ac:dyDescent="0.2">
      <c r="A520" t="s">
        <v>871</v>
      </c>
      <c r="B520" t="s">
        <v>633</v>
      </c>
      <c r="C520" t="s">
        <v>332</v>
      </c>
      <c r="D520" s="1">
        <v>44955</v>
      </c>
      <c r="E520" s="6" t="s">
        <v>44</v>
      </c>
      <c r="F520" t="s">
        <v>45</v>
      </c>
      <c r="G520" s="3" t="s">
        <v>46</v>
      </c>
      <c r="H520">
        <v>3.1</v>
      </c>
      <c r="I520">
        <v>27.28</v>
      </c>
      <c r="J520">
        <v>84.56</v>
      </c>
      <c r="K520" t="s">
        <v>19</v>
      </c>
      <c r="L520" t="b">
        <v>0</v>
      </c>
    </row>
    <row r="521" spans="1:13" ht="17" x14ac:dyDescent="0.2">
      <c r="A521" t="s">
        <v>872</v>
      </c>
      <c r="B521" t="s">
        <v>529</v>
      </c>
      <c r="C521" t="s">
        <v>274</v>
      </c>
      <c r="D521" s="1">
        <v>45617</v>
      </c>
      <c r="E521" s="6" t="s">
        <v>60</v>
      </c>
      <c r="F521" t="s">
        <v>30</v>
      </c>
      <c r="G521" s="3" t="s">
        <v>31</v>
      </c>
      <c r="H521">
        <v>5.6</v>
      </c>
      <c r="I521">
        <v>26.2</v>
      </c>
      <c r="J521">
        <v>146.69999999999999</v>
      </c>
      <c r="K521" t="s">
        <v>92</v>
      </c>
      <c r="L521" t="b">
        <v>0</v>
      </c>
    </row>
    <row r="522" spans="1:13" ht="34" x14ac:dyDescent="0.2">
      <c r="A522" t="s">
        <v>873</v>
      </c>
      <c r="B522" t="s">
        <v>284</v>
      </c>
      <c r="C522" t="s">
        <v>148</v>
      </c>
      <c r="D522" s="1">
        <v>45600</v>
      </c>
      <c r="E522" s="6" t="s">
        <v>23</v>
      </c>
      <c r="F522" t="s">
        <v>24</v>
      </c>
      <c r="G522" s="3" t="s">
        <v>25</v>
      </c>
      <c r="H522">
        <v>4</v>
      </c>
      <c r="I522">
        <v>61.85</v>
      </c>
      <c r="J522">
        <v>247.39</v>
      </c>
      <c r="K522" t="s">
        <v>92</v>
      </c>
      <c r="L522" t="b">
        <v>0</v>
      </c>
    </row>
    <row r="523" spans="1:13" ht="34" x14ac:dyDescent="0.2">
      <c r="A523" t="s">
        <v>874</v>
      </c>
      <c r="B523" t="s">
        <v>642</v>
      </c>
      <c r="C523" t="s">
        <v>166</v>
      </c>
      <c r="D523" s="1">
        <v>45008</v>
      </c>
      <c r="E523" s="6" t="s">
        <v>78</v>
      </c>
      <c r="F523" t="s">
        <v>54</v>
      </c>
      <c r="G523" s="3" t="s">
        <v>55</v>
      </c>
      <c r="H523">
        <v>6.3</v>
      </c>
      <c r="I523">
        <v>80.13</v>
      </c>
      <c r="J523">
        <v>504.8</v>
      </c>
      <c r="K523" t="s">
        <v>96</v>
      </c>
      <c r="L523" t="b">
        <v>0</v>
      </c>
    </row>
    <row r="524" spans="1:13" ht="34" x14ac:dyDescent="0.2">
      <c r="A524" t="s">
        <v>875</v>
      </c>
      <c r="B524" t="s">
        <v>847</v>
      </c>
      <c r="C524" t="s">
        <v>161</v>
      </c>
      <c r="D524" s="1">
        <v>45029</v>
      </c>
      <c r="E524" s="6" t="s">
        <v>23</v>
      </c>
      <c r="F524" t="s">
        <v>24</v>
      </c>
      <c r="G524" s="3" t="s">
        <v>25</v>
      </c>
      <c r="H524">
        <v>2.1</v>
      </c>
      <c r="I524">
        <v>60.2</v>
      </c>
      <c r="J524">
        <v>126.41</v>
      </c>
      <c r="K524" t="s">
        <v>92</v>
      </c>
      <c r="L524" t="b">
        <v>0</v>
      </c>
    </row>
    <row r="525" spans="1:13" ht="34" x14ac:dyDescent="0.2">
      <c r="A525" t="s">
        <v>876</v>
      </c>
      <c r="B525" t="s">
        <v>163</v>
      </c>
      <c r="C525" t="s">
        <v>293</v>
      </c>
      <c r="D525" s="1">
        <v>45552</v>
      </c>
      <c r="E525" s="6" t="s">
        <v>44</v>
      </c>
      <c r="F525" t="s">
        <v>90</v>
      </c>
      <c r="G525" s="3" t="s">
        <v>91</v>
      </c>
      <c r="H525">
        <v>7.1</v>
      </c>
      <c r="I525">
        <v>76.64</v>
      </c>
      <c r="J525">
        <v>544.15</v>
      </c>
      <c r="K525" t="s">
        <v>113</v>
      </c>
      <c r="L525" t="b">
        <v>0</v>
      </c>
    </row>
    <row r="526" spans="1:13" ht="34" x14ac:dyDescent="0.2">
      <c r="A526" t="s">
        <v>877</v>
      </c>
      <c r="B526" t="s">
        <v>504</v>
      </c>
      <c r="C526" t="s">
        <v>499</v>
      </c>
      <c r="D526" s="1">
        <v>45010</v>
      </c>
      <c r="E526" s="6" t="s">
        <v>89</v>
      </c>
      <c r="F526" t="s">
        <v>54</v>
      </c>
      <c r="G526" s="3" t="s">
        <v>55</v>
      </c>
      <c r="H526">
        <v>6.2</v>
      </c>
      <c r="I526">
        <v>64.73</v>
      </c>
      <c r="J526">
        <v>401.32</v>
      </c>
      <c r="K526" t="s">
        <v>105</v>
      </c>
      <c r="L526" t="b">
        <v>0</v>
      </c>
    </row>
    <row r="527" spans="1:13" ht="34" x14ac:dyDescent="0.2">
      <c r="A527" t="s">
        <v>878</v>
      </c>
      <c r="B527" t="s">
        <v>304</v>
      </c>
      <c r="C527" t="s">
        <v>161</v>
      </c>
      <c r="D527" s="1">
        <v>45022</v>
      </c>
      <c r="E527" s="6" t="s">
        <v>23</v>
      </c>
      <c r="F527" t="s">
        <v>90</v>
      </c>
      <c r="G527" s="3" t="s">
        <v>91</v>
      </c>
      <c r="H527">
        <v>4</v>
      </c>
      <c r="I527">
        <v>44.36</v>
      </c>
      <c r="J527">
        <v>177.42</v>
      </c>
      <c r="K527" t="s">
        <v>92</v>
      </c>
      <c r="L527" t="b">
        <v>0</v>
      </c>
    </row>
    <row r="528" spans="1:13" ht="34" x14ac:dyDescent="0.2">
      <c r="A528" t="s">
        <v>879</v>
      </c>
      <c r="B528" t="s">
        <v>276</v>
      </c>
      <c r="C528" t="s">
        <v>499</v>
      </c>
      <c r="D528" s="1">
        <v>45026</v>
      </c>
      <c r="E528" s="6" t="s">
        <v>16</v>
      </c>
      <c r="F528" t="s">
        <v>61</v>
      </c>
      <c r="G528" s="3" t="s">
        <v>62</v>
      </c>
      <c r="H528">
        <v>6.8</v>
      </c>
      <c r="I528">
        <v>82.64</v>
      </c>
      <c r="J528">
        <v>561.95000000000005</v>
      </c>
      <c r="K528" t="s">
        <v>105</v>
      </c>
      <c r="L528" t="b">
        <v>0</v>
      </c>
    </row>
    <row r="529" spans="1:13" ht="34" x14ac:dyDescent="0.2">
      <c r="A529" t="s">
        <v>880</v>
      </c>
      <c r="B529" t="s">
        <v>372</v>
      </c>
      <c r="C529" t="s">
        <v>207</v>
      </c>
      <c r="D529" s="1">
        <v>45325</v>
      </c>
      <c r="E529" s="6" t="s">
        <v>16</v>
      </c>
      <c r="F529" t="s">
        <v>54</v>
      </c>
      <c r="G529" s="3" t="s">
        <v>55</v>
      </c>
      <c r="H529">
        <v>3</v>
      </c>
      <c r="I529">
        <v>83.12</v>
      </c>
      <c r="J529">
        <v>249.37</v>
      </c>
      <c r="K529" t="s">
        <v>36</v>
      </c>
      <c r="L529" t="b">
        <v>0</v>
      </c>
    </row>
    <row r="530" spans="1:13" ht="34" x14ac:dyDescent="0.2">
      <c r="A530" t="s">
        <v>881</v>
      </c>
      <c r="B530" t="s">
        <v>155</v>
      </c>
      <c r="C530" t="s">
        <v>323</v>
      </c>
      <c r="D530" s="1">
        <v>45443</v>
      </c>
      <c r="E530" s="6" t="s">
        <v>23</v>
      </c>
      <c r="F530" t="s">
        <v>54</v>
      </c>
      <c r="G530" s="3" t="s">
        <v>55</v>
      </c>
      <c r="H530">
        <v>3.3</v>
      </c>
      <c r="I530">
        <v>60.34</v>
      </c>
      <c r="J530">
        <v>199.11</v>
      </c>
      <c r="K530" t="s">
        <v>113</v>
      </c>
      <c r="L530" t="b">
        <v>0</v>
      </c>
    </row>
    <row r="531" spans="1:13" ht="34" x14ac:dyDescent="0.2">
      <c r="A531" t="s">
        <v>882</v>
      </c>
      <c r="B531" t="s">
        <v>58</v>
      </c>
      <c r="C531" t="s">
        <v>68</v>
      </c>
      <c r="D531" s="1">
        <v>45424</v>
      </c>
      <c r="E531" s="6" t="s">
        <v>23</v>
      </c>
      <c r="F531" t="s">
        <v>61</v>
      </c>
      <c r="G531" s="3" t="s">
        <v>62</v>
      </c>
      <c r="H531">
        <v>3.8</v>
      </c>
      <c r="I531">
        <v>66.31</v>
      </c>
      <c r="J531">
        <v>251.98</v>
      </c>
      <c r="K531" t="s">
        <v>26</v>
      </c>
      <c r="L531" t="b">
        <v>0</v>
      </c>
    </row>
    <row r="532" spans="1:13" ht="68" x14ac:dyDescent="0.2">
      <c r="A532" t="s">
        <v>883</v>
      </c>
      <c r="B532" t="s">
        <v>884</v>
      </c>
      <c r="C532" t="s">
        <v>332</v>
      </c>
      <c r="D532" s="1">
        <v>43948</v>
      </c>
      <c r="E532" s="6" t="s">
        <v>89</v>
      </c>
      <c r="F532" t="s">
        <v>50</v>
      </c>
      <c r="G532" s="3" t="s">
        <v>51</v>
      </c>
      <c r="H532">
        <v>6.4</v>
      </c>
      <c r="I532">
        <v>81.93</v>
      </c>
      <c r="J532">
        <v>524.33000000000004</v>
      </c>
      <c r="K532" t="s">
        <v>92</v>
      </c>
      <c r="L532" t="b">
        <v>1</v>
      </c>
      <c r="M532" s="3" t="s">
        <v>99</v>
      </c>
    </row>
    <row r="533" spans="1:13" ht="34" x14ac:dyDescent="0.2">
      <c r="A533" t="s">
        <v>885</v>
      </c>
      <c r="B533" t="s">
        <v>171</v>
      </c>
      <c r="C533" t="s">
        <v>332</v>
      </c>
      <c r="D533" s="1">
        <v>45410</v>
      </c>
      <c r="E533" s="6" t="s">
        <v>89</v>
      </c>
      <c r="F533" t="s">
        <v>61</v>
      </c>
      <c r="G533" s="3" t="s">
        <v>62</v>
      </c>
      <c r="H533">
        <v>7.1</v>
      </c>
      <c r="I533">
        <v>71.25</v>
      </c>
      <c r="J533">
        <v>505.87</v>
      </c>
      <c r="K533" t="s">
        <v>113</v>
      </c>
      <c r="L533" t="b">
        <v>0</v>
      </c>
    </row>
    <row r="534" spans="1:13" ht="34" x14ac:dyDescent="0.2">
      <c r="A534" t="s">
        <v>886</v>
      </c>
      <c r="B534" t="s">
        <v>586</v>
      </c>
      <c r="C534" t="s">
        <v>85</v>
      </c>
      <c r="D534" s="1">
        <v>45258</v>
      </c>
      <c r="E534" s="6" t="s">
        <v>89</v>
      </c>
      <c r="F534" t="s">
        <v>24</v>
      </c>
      <c r="G534" s="3" t="s">
        <v>25</v>
      </c>
      <c r="H534">
        <v>3.1</v>
      </c>
      <c r="I534">
        <v>44.09</v>
      </c>
      <c r="J534">
        <v>136.69</v>
      </c>
      <c r="K534" t="s">
        <v>19</v>
      </c>
      <c r="L534" t="b">
        <v>0</v>
      </c>
    </row>
    <row r="535" spans="1:13" ht="17" x14ac:dyDescent="0.2">
      <c r="A535" t="s">
        <v>887</v>
      </c>
      <c r="B535" t="s">
        <v>402</v>
      </c>
      <c r="C535" t="s">
        <v>148</v>
      </c>
      <c r="D535" s="1">
        <v>45378</v>
      </c>
      <c r="E535" s="6" t="s">
        <v>60</v>
      </c>
      <c r="F535" t="s">
        <v>30</v>
      </c>
      <c r="G535" s="3" t="s">
        <v>31</v>
      </c>
      <c r="H535">
        <v>5.8</v>
      </c>
      <c r="I535">
        <v>31.25</v>
      </c>
      <c r="J535">
        <v>181.23</v>
      </c>
      <c r="K535" t="s">
        <v>96</v>
      </c>
      <c r="L535" t="b">
        <v>0</v>
      </c>
    </row>
    <row r="536" spans="1:13" ht="68" x14ac:dyDescent="0.2">
      <c r="A536" t="s">
        <v>888</v>
      </c>
      <c r="B536" t="s">
        <v>372</v>
      </c>
      <c r="C536" t="s">
        <v>49</v>
      </c>
      <c r="D536" s="1">
        <v>45545</v>
      </c>
      <c r="E536" s="6" t="s">
        <v>78</v>
      </c>
      <c r="F536" t="s">
        <v>50</v>
      </c>
      <c r="G536" s="3" t="s">
        <v>51</v>
      </c>
      <c r="H536">
        <v>4</v>
      </c>
      <c r="I536">
        <v>29.67</v>
      </c>
      <c r="J536">
        <v>118.67</v>
      </c>
      <c r="K536" t="s">
        <v>36</v>
      </c>
      <c r="L536" t="b">
        <v>0</v>
      </c>
    </row>
    <row r="537" spans="1:13" ht="34" x14ac:dyDescent="0.2">
      <c r="A537" t="s">
        <v>889</v>
      </c>
      <c r="B537" t="s">
        <v>165</v>
      </c>
      <c r="C537" t="s">
        <v>274</v>
      </c>
      <c r="D537" s="1">
        <v>45055</v>
      </c>
      <c r="E537" s="6" t="s">
        <v>44</v>
      </c>
      <c r="F537" t="s">
        <v>54</v>
      </c>
      <c r="G537" s="3" t="s">
        <v>55</v>
      </c>
      <c r="H537">
        <v>3</v>
      </c>
      <c r="I537">
        <v>78.12</v>
      </c>
      <c r="J537">
        <v>234.36</v>
      </c>
      <c r="K537" t="s">
        <v>105</v>
      </c>
      <c r="L537" t="b">
        <v>0</v>
      </c>
    </row>
    <row r="538" spans="1:13" ht="34" x14ac:dyDescent="0.2">
      <c r="A538" t="s">
        <v>890</v>
      </c>
      <c r="B538" t="s">
        <v>523</v>
      </c>
      <c r="C538" t="s">
        <v>166</v>
      </c>
      <c r="D538" s="1">
        <v>45547</v>
      </c>
      <c r="E538" s="6" t="s">
        <v>23</v>
      </c>
      <c r="F538" t="s">
        <v>54</v>
      </c>
      <c r="G538" s="3" t="s">
        <v>55</v>
      </c>
      <c r="H538">
        <v>4.7</v>
      </c>
      <c r="I538">
        <v>40.909999999999997</v>
      </c>
      <c r="J538">
        <v>192.29</v>
      </c>
      <c r="K538" t="s">
        <v>92</v>
      </c>
      <c r="L538" t="b">
        <v>0</v>
      </c>
    </row>
    <row r="539" spans="1:13" ht="34" x14ac:dyDescent="0.2">
      <c r="A539" t="s">
        <v>891</v>
      </c>
      <c r="B539" t="s">
        <v>690</v>
      </c>
      <c r="C539" t="s">
        <v>166</v>
      </c>
      <c r="D539" s="1">
        <v>45562</v>
      </c>
      <c r="E539" s="6" t="s">
        <v>16</v>
      </c>
      <c r="F539" t="s">
        <v>90</v>
      </c>
      <c r="G539" s="3" t="s">
        <v>91</v>
      </c>
      <c r="H539">
        <v>4.0999999999999996</v>
      </c>
      <c r="I539">
        <v>72.22</v>
      </c>
      <c r="J539">
        <v>296.11</v>
      </c>
      <c r="K539" t="s">
        <v>82</v>
      </c>
      <c r="L539" t="b">
        <v>0</v>
      </c>
    </row>
    <row r="540" spans="1:13" ht="34" x14ac:dyDescent="0.2">
      <c r="A540" t="s">
        <v>892</v>
      </c>
      <c r="B540" t="s">
        <v>331</v>
      </c>
      <c r="C540" t="s">
        <v>68</v>
      </c>
      <c r="D540" s="1">
        <v>45357</v>
      </c>
      <c r="E540" s="6" t="s">
        <v>60</v>
      </c>
      <c r="F540" t="s">
        <v>24</v>
      </c>
      <c r="G540" s="3" t="s">
        <v>25</v>
      </c>
      <c r="H540">
        <v>2.2999999999999998</v>
      </c>
      <c r="I540">
        <v>51.29</v>
      </c>
      <c r="J540">
        <v>117.97</v>
      </c>
      <c r="K540" t="s">
        <v>19</v>
      </c>
      <c r="L540" t="b">
        <v>0</v>
      </c>
    </row>
    <row r="541" spans="1:13" ht="68" x14ac:dyDescent="0.2">
      <c r="A541" t="s">
        <v>893</v>
      </c>
      <c r="B541" t="s">
        <v>823</v>
      </c>
      <c r="C541" t="s">
        <v>95</v>
      </c>
      <c r="D541" s="1">
        <v>45319</v>
      </c>
      <c r="E541" s="6" t="s">
        <v>60</v>
      </c>
      <c r="F541" t="s">
        <v>50</v>
      </c>
      <c r="G541" s="3" t="s">
        <v>51</v>
      </c>
      <c r="H541">
        <v>7.3</v>
      </c>
      <c r="I541">
        <v>54.58</v>
      </c>
      <c r="J541">
        <v>398.47</v>
      </c>
      <c r="K541" t="s">
        <v>19</v>
      </c>
      <c r="L541" t="b">
        <v>0</v>
      </c>
    </row>
    <row r="542" spans="1:13" ht="34" x14ac:dyDescent="0.2">
      <c r="A542" t="s">
        <v>894</v>
      </c>
      <c r="B542" t="s">
        <v>895</v>
      </c>
      <c r="C542" t="s">
        <v>148</v>
      </c>
      <c r="D542" s="1">
        <v>45481</v>
      </c>
      <c r="E542" s="6" t="s">
        <v>60</v>
      </c>
      <c r="F542" t="s">
        <v>54</v>
      </c>
      <c r="G542" s="3" t="s">
        <v>55</v>
      </c>
      <c r="H542">
        <v>5.3</v>
      </c>
      <c r="I542">
        <v>31.09</v>
      </c>
      <c r="J542">
        <v>164.75</v>
      </c>
      <c r="K542" t="s">
        <v>92</v>
      </c>
      <c r="L542" t="b">
        <v>0</v>
      </c>
    </row>
    <row r="543" spans="1:13" ht="17" x14ac:dyDescent="0.2">
      <c r="A543" t="s">
        <v>896</v>
      </c>
      <c r="B543" t="s">
        <v>897</v>
      </c>
      <c r="C543" t="s">
        <v>49</v>
      </c>
      <c r="D543" s="1">
        <v>45611</v>
      </c>
      <c r="E543" s="6" t="s">
        <v>44</v>
      </c>
      <c r="F543" t="s">
        <v>30</v>
      </c>
      <c r="G543" s="3" t="s">
        <v>31</v>
      </c>
      <c r="H543">
        <v>3</v>
      </c>
      <c r="I543">
        <v>29.42</v>
      </c>
      <c r="J543">
        <v>88.27</v>
      </c>
      <c r="K543" t="s">
        <v>36</v>
      </c>
      <c r="L543" t="b">
        <v>0</v>
      </c>
    </row>
    <row r="544" spans="1:13" ht="34" x14ac:dyDescent="0.2">
      <c r="A544" t="s">
        <v>898</v>
      </c>
      <c r="B544" t="s">
        <v>899</v>
      </c>
      <c r="C544" t="s">
        <v>71</v>
      </c>
      <c r="D544" s="1">
        <v>45034</v>
      </c>
      <c r="E544" s="6" t="s">
        <v>44</v>
      </c>
      <c r="F544" t="s">
        <v>45</v>
      </c>
      <c r="G544" s="3" t="s">
        <v>46</v>
      </c>
      <c r="H544">
        <v>24.6</v>
      </c>
      <c r="I544">
        <v>40.67</v>
      </c>
      <c r="J544">
        <v>1000</v>
      </c>
      <c r="K544" t="s">
        <v>113</v>
      </c>
      <c r="L544" t="b">
        <v>1</v>
      </c>
      <c r="M544" s="3" t="s">
        <v>40</v>
      </c>
    </row>
    <row r="545" spans="1:13" ht="34" x14ac:dyDescent="0.2">
      <c r="A545" t="s">
        <v>900</v>
      </c>
      <c r="B545" t="s">
        <v>214</v>
      </c>
      <c r="C545" t="s">
        <v>124</v>
      </c>
      <c r="D545" s="1">
        <v>45488</v>
      </c>
      <c r="E545" s="6" t="s">
        <v>23</v>
      </c>
      <c r="F545" t="s">
        <v>90</v>
      </c>
      <c r="G545" s="3" t="s">
        <v>91</v>
      </c>
      <c r="H545">
        <v>4.0999999999999996</v>
      </c>
      <c r="I545">
        <v>78.28</v>
      </c>
      <c r="J545">
        <v>320.93</v>
      </c>
      <c r="K545" t="s">
        <v>96</v>
      </c>
      <c r="L545" t="b">
        <v>0</v>
      </c>
    </row>
    <row r="546" spans="1:13" ht="34" x14ac:dyDescent="0.2">
      <c r="A546" t="s">
        <v>901</v>
      </c>
      <c r="B546" t="s">
        <v>225</v>
      </c>
      <c r="C546" t="s">
        <v>116</v>
      </c>
      <c r="D546" s="1">
        <v>45629</v>
      </c>
      <c r="E546" s="6" t="s">
        <v>44</v>
      </c>
      <c r="F546" t="s">
        <v>90</v>
      </c>
      <c r="G546" s="3" t="s">
        <v>91</v>
      </c>
      <c r="H546">
        <v>5.3</v>
      </c>
      <c r="I546">
        <v>78.89</v>
      </c>
      <c r="J546">
        <v>418.1</v>
      </c>
      <c r="K546" t="s">
        <v>36</v>
      </c>
      <c r="L546" t="b">
        <v>0</v>
      </c>
    </row>
    <row r="547" spans="1:13" ht="34" x14ac:dyDescent="0.2">
      <c r="A547" t="s">
        <v>902</v>
      </c>
      <c r="B547" t="s">
        <v>135</v>
      </c>
      <c r="C547" t="s">
        <v>172</v>
      </c>
      <c r="D547" s="1">
        <v>44984</v>
      </c>
      <c r="E547" s="6" t="s">
        <v>60</v>
      </c>
      <c r="F547" t="s">
        <v>54</v>
      </c>
      <c r="G547" s="3" t="s">
        <v>55</v>
      </c>
      <c r="H547">
        <v>5.6</v>
      </c>
      <c r="I547">
        <v>61.82</v>
      </c>
      <c r="J547">
        <v>346.18</v>
      </c>
      <c r="K547" t="s">
        <v>113</v>
      </c>
      <c r="L547" t="b">
        <v>0</v>
      </c>
    </row>
    <row r="548" spans="1:13" ht="34" x14ac:dyDescent="0.2">
      <c r="A548" t="s">
        <v>903</v>
      </c>
      <c r="B548" t="s">
        <v>311</v>
      </c>
      <c r="C548" t="s">
        <v>380</v>
      </c>
      <c r="D548" s="1">
        <v>45400</v>
      </c>
      <c r="E548" s="6" t="s">
        <v>89</v>
      </c>
      <c r="F548" t="s">
        <v>24</v>
      </c>
      <c r="G548" s="3" t="s">
        <v>25</v>
      </c>
      <c r="H548">
        <v>4.5999999999999996</v>
      </c>
      <c r="I548">
        <v>64.22</v>
      </c>
      <c r="J548">
        <v>295.39999999999998</v>
      </c>
      <c r="K548" t="s">
        <v>19</v>
      </c>
      <c r="L548" t="b">
        <v>0</v>
      </c>
    </row>
    <row r="549" spans="1:13" ht="34" x14ac:dyDescent="0.2">
      <c r="A549" t="s">
        <v>904</v>
      </c>
      <c r="B549" t="s">
        <v>429</v>
      </c>
      <c r="C549" t="s">
        <v>43</v>
      </c>
      <c r="D549" s="1">
        <v>45421</v>
      </c>
      <c r="E549" s="6" t="s">
        <v>23</v>
      </c>
      <c r="F549" t="s">
        <v>61</v>
      </c>
      <c r="G549" s="3" t="s">
        <v>62</v>
      </c>
      <c r="H549">
        <v>17.399999999999999</v>
      </c>
      <c r="I549">
        <v>31.08</v>
      </c>
      <c r="J549">
        <v>540.79</v>
      </c>
      <c r="K549" t="s">
        <v>92</v>
      </c>
      <c r="L549" t="b">
        <v>1</v>
      </c>
      <c r="M549" s="3" t="s">
        <v>79</v>
      </c>
    </row>
    <row r="550" spans="1:13" ht="17" x14ac:dyDescent="0.2">
      <c r="A550" t="s">
        <v>905</v>
      </c>
      <c r="B550" t="s">
        <v>67</v>
      </c>
      <c r="C550" t="s">
        <v>29</v>
      </c>
      <c r="D550" s="1">
        <v>45174</v>
      </c>
      <c r="E550" s="6" t="s">
        <v>16</v>
      </c>
      <c r="F550" t="s">
        <v>30</v>
      </c>
      <c r="G550" s="3" t="s">
        <v>31</v>
      </c>
      <c r="H550">
        <v>4.5</v>
      </c>
      <c r="I550">
        <v>58.25</v>
      </c>
      <c r="J550">
        <v>262.11</v>
      </c>
      <c r="K550" t="s">
        <v>56</v>
      </c>
      <c r="L550" t="b">
        <v>0</v>
      </c>
    </row>
    <row r="551" spans="1:13" ht="34" x14ac:dyDescent="0.2">
      <c r="A551" t="s">
        <v>906</v>
      </c>
      <c r="B551" t="s">
        <v>683</v>
      </c>
      <c r="C551" t="s">
        <v>156</v>
      </c>
      <c r="D551" s="1">
        <v>45267</v>
      </c>
      <c r="E551" s="6" t="s">
        <v>44</v>
      </c>
      <c r="F551" t="s">
        <v>45</v>
      </c>
      <c r="G551" s="3" t="s">
        <v>46</v>
      </c>
      <c r="H551">
        <v>6</v>
      </c>
      <c r="I551">
        <v>42.84</v>
      </c>
      <c r="J551">
        <v>257.06</v>
      </c>
      <c r="K551" t="s">
        <v>96</v>
      </c>
      <c r="L551" t="b">
        <v>0</v>
      </c>
    </row>
    <row r="552" spans="1:13" ht="34" x14ac:dyDescent="0.2">
      <c r="A552" t="s">
        <v>907</v>
      </c>
      <c r="B552" t="s">
        <v>28</v>
      </c>
      <c r="C552" t="s">
        <v>207</v>
      </c>
      <c r="D552" s="1">
        <v>45185</v>
      </c>
      <c r="E552" s="6" t="s">
        <v>60</v>
      </c>
      <c r="F552" t="s">
        <v>24</v>
      </c>
      <c r="G552" s="3" t="s">
        <v>25</v>
      </c>
      <c r="H552">
        <v>4.4000000000000004</v>
      </c>
      <c r="I552">
        <v>57.98</v>
      </c>
      <c r="J552">
        <v>255.11</v>
      </c>
      <c r="K552" t="s">
        <v>32</v>
      </c>
      <c r="L552" t="b">
        <v>0</v>
      </c>
    </row>
    <row r="553" spans="1:13" ht="68" x14ac:dyDescent="0.2">
      <c r="A553" t="s">
        <v>908</v>
      </c>
      <c r="B553" t="s">
        <v>709</v>
      </c>
      <c r="C553" t="s">
        <v>293</v>
      </c>
      <c r="D553" s="1">
        <v>45057</v>
      </c>
      <c r="E553" s="6" t="s">
        <v>44</v>
      </c>
      <c r="F553" t="s">
        <v>50</v>
      </c>
      <c r="G553" s="3" t="s">
        <v>51</v>
      </c>
      <c r="H553">
        <v>2.2999999999999998</v>
      </c>
      <c r="I553">
        <v>25.23</v>
      </c>
      <c r="J553">
        <v>58.03</v>
      </c>
      <c r="K553" t="s">
        <v>56</v>
      </c>
      <c r="L553" t="b">
        <v>1</v>
      </c>
      <c r="M553" s="3" t="s">
        <v>102</v>
      </c>
    </row>
    <row r="554" spans="1:13" ht="34" x14ac:dyDescent="0.2">
      <c r="A554" t="s">
        <v>909</v>
      </c>
      <c r="B554" t="s">
        <v>701</v>
      </c>
      <c r="C554" t="s">
        <v>178</v>
      </c>
      <c r="D554" s="1">
        <v>45003</v>
      </c>
      <c r="E554" s="6" t="s">
        <v>60</v>
      </c>
      <c r="F554" t="s">
        <v>45</v>
      </c>
      <c r="G554" s="3" t="s">
        <v>46</v>
      </c>
      <c r="H554">
        <v>6.9</v>
      </c>
      <c r="I554">
        <v>62.51</v>
      </c>
      <c r="J554">
        <v>431.29</v>
      </c>
      <c r="K554" t="s">
        <v>26</v>
      </c>
      <c r="L554" t="b">
        <v>0</v>
      </c>
    </row>
    <row r="555" spans="1:13" ht="34" x14ac:dyDescent="0.2">
      <c r="A555" t="s">
        <v>910</v>
      </c>
      <c r="B555" t="s">
        <v>646</v>
      </c>
      <c r="C555" t="s">
        <v>268</v>
      </c>
      <c r="D555" s="1">
        <v>45567</v>
      </c>
      <c r="E555" s="6" t="s">
        <v>16</v>
      </c>
      <c r="F555" t="s">
        <v>30</v>
      </c>
      <c r="G555" s="3" t="s">
        <v>31</v>
      </c>
      <c r="H555">
        <v>2.6</v>
      </c>
      <c r="I555">
        <v>37.42</v>
      </c>
      <c r="J555">
        <v>97.28</v>
      </c>
      <c r="K555" t="s">
        <v>82</v>
      </c>
      <c r="L555" t="b">
        <v>1</v>
      </c>
      <c r="M555" s="3" t="s">
        <v>102</v>
      </c>
    </row>
    <row r="556" spans="1:13" ht="34" x14ac:dyDescent="0.2">
      <c r="A556" t="s">
        <v>911</v>
      </c>
      <c r="B556" t="s">
        <v>912</v>
      </c>
      <c r="C556" t="s">
        <v>59</v>
      </c>
      <c r="D556" s="1">
        <v>45398</v>
      </c>
      <c r="E556" s="6" t="s">
        <v>44</v>
      </c>
      <c r="F556" t="s">
        <v>45</v>
      </c>
      <c r="G556" s="3" t="s">
        <v>46</v>
      </c>
      <c r="H556">
        <v>7.9</v>
      </c>
      <c r="I556">
        <v>53.41</v>
      </c>
      <c r="J556">
        <v>421.97</v>
      </c>
      <c r="K556" t="s">
        <v>82</v>
      </c>
      <c r="L556" t="b">
        <v>0</v>
      </c>
    </row>
    <row r="557" spans="1:13" ht="34" x14ac:dyDescent="0.2">
      <c r="A557" t="s">
        <v>913</v>
      </c>
      <c r="B557" t="s">
        <v>94</v>
      </c>
      <c r="C557" t="s">
        <v>148</v>
      </c>
      <c r="D557" s="1">
        <v>42569</v>
      </c>
      <c r="E557" s="6" t="s">
        <v>16</v>
      </c>
      <c r="F557" t="s">
        <v>45</v>
      </c>
      <c r="G557" s="3" t="s">
        <v>46</v>
      </c>
      <c r="H557">
        <v>6.7</v>
      </c>
      <c r="I557">
        <v>53.26</v>
      </c>
      <c r="J557">
        <v>356.82</v>
      </c>
      <c r="K557" t="s">
        <v>36</v>
      </c>
      <c r="L557" t="b">
        <v>1</v>
      </c>
      <c r="M557" s="3" t="s">
        <v>99</v>
      </c>
    </row>
    <row r="558" spans="1:13" ht="34" x14ac:dyDescent="0.2">
      <c r="A558" t="s">
        <v>914</v>
      </c>
      <c r="B558" t="s">
        <v>98</v>
      </c>
      <c r="C558" t="s">
        <v>370</v>
      </c>
      <c r="D558" s="1">
        <v>45209</v>
      </c>
      <c r="E558" s="6" t="s">
        <v>23</v>
      </c>
      <c r="F558" t="s">
        <v>45</v>
      </c>
      <c r="G558" s="3" t="s">
        <v>46</v>
      </c>
      <c r="H558">
        <v>2.5</v>
      </c>
      <c r="I558">
        <v>57.65</v>
      </c>
      <c r="J558">
        <v>144.12</v>
      </c>
      <c r="K558" t="s">
        <v>113</v>
      </c>
      <c r="L558" t="b">
        <v>0</v>
      </c>
    </row>
    <row r="559" spans="1:13" ht="34" x14ac:dyDescent="0.2">
      <c r="A559" t="s">
        <v>915</v>
      </c>
      <c r="B559" t="s">
        <v>218</v>
      </c>
      <c r="C559" t="s">
        <v>148</v>
      </c>
      <c r="D559" s="1">
        <v>45633</v>
      </c>
      <c r="E559" s="6" t="s">
        <v>60</v>
      </c>
      <c r="F559" t="s">
        <v>54</v>
      </c>
      <c r="G559" s="3" t="s">
        <v>55</v>
      </c>
      <c r="H559">
        <v>7.3</v>
      </c>
      <c r="I559">
        <v>47.16</v>
      </c>
      <c r="J559">
        <v>344.3</v>
      </c>
      <c r="K559" t="s">
        <v>19</v>
      </c>
      <c r="L559" t="b">
        <v>0</v>
      </c>
    </row>
    <row r="560" spans="1:13" ht="34" x14ac:dyDescent="0.2">
      <c r="A560" t="s">
        <v>916</v>
      </c>
      <c r="B560" t="s">
        <v>490</v>
      </c>
      <c r="C560" t="s">
        <v>207</v>
      </c>
      <c r="D560" s="1">
        <v>45577</v>
      </c>
      <c r="E560" s="6" t="s">
        <v>23</v>
      </c>
      <c r="F560" t="s">
        <v>24</v>
      </c>
      <c r="G560" s="3" t="s">
        <v>25</v>
      </c>
      <c r="H560">
        <v>3.6</v>
      </c>
      <c r="I560">
        <v>52.9</v>
      </c>
      <c r="J560">
        <v>190.45</v>
      </c>
      <c r="K560" t="s">
        <v>92</v>
      </c>
      <c r="L560" t="b">
        <v>0</v>
      </c>
    </row>
    <row r="561" spans="1:13" ht="34" x14ac:dyDescent="0.2">
      <c r="A561" t="s">
        <v>917</v>
      </c>
      <c r="B561" t="s">
        <v>918</v>
      </c>
      <c r="C561" t="s">
        <v>35</v>
      </c>
      <c r="D561" s="1">
        <v>45010</v>
      </c>
      <c r="E561" s="6" t="s">
        <v>16</v>
      </c>
      <c r="F561" t="s">
        <v>45</v>
      </c>
      <c r="G561" s="3" t="s">
        <v>46</v>
      </c>
      <c r="H561">
        <v>5.4</v>
      </c>
      <c r="I561">
        <v>34.07</v>
      </c>
      <c r="J561">
        <v>183.97</v>
      </c>
      <c r="K561" t="s">
        <v>105</v>
      </c>
      <c r="L561" t="b">
        <v>1</v>
      </c>
      <c r="M561" s="3" t="s">
        <v>102</v>
      </c>
    </row>
    <row r="562" spans="1:13" ht="34" x14ac:dyDescent="0.2">
      <c r="A562" t="s">
        <v>919</v>
      </c>
      <c r="B562" t="s">
        <v>329</v>
      </c>
      <c r="C562" t="s">
        <v>88</v>
      </c>
      <c r="D562" s="1">
        <v>44987</v>
      </c>
      <c r="E562" s="6" t="s">
        <v>89</v>
      </c>
      <c r="F562" t="s">
        <v>90</v>
      </c>
      <c r="G562" s="3" t="s">
        <v>91</v>
      </c>
      <c r="H562">
        <v>2.5</v>
      </c>
      <c r="I562">
        <v>45.63</v>
      </c>
      <c r="J562">
        <v>114.07</v>
      </c>
      <c r="K562" t="s">
        <v>26</v>
      </c>
      <c r="L562" t="b">
        <v>1</v>
      </c>
      <c r="M562" s="3" t="s">
        <v>102</v>
      </c>
    </row>
    <row r="563" spans="1:13" ht="34" x14ac:dyDescent="0.2">
      <c r="A563" t="s">
        <v>920</v>
      </c>
      <c r="B563" t="s">
        <v>468</v>
      </c>
      <c r="C563" t="s">
        <v>268</v>
      </c>
      <c r="D563" s="1">
        <v>45027</v>
      </c>
      <c r="E563" s="6" t="s">
        <v>89</v>
      </c>
      <c r="F563" t="s">
        <v>61</v>
      </c>
      <c r="G563" s="3" t="s">
        <v>62</v>
      </c>
      <c r="H563">
        <v>7.8</v>
      </c>
      <c r="I563">
        <v>60.38</v>
      </c>
      <c r="J563">
        <v>470.99</v>
      </c>
      <c r="K563" t="s">
        <v>96</v>
      </c>
      <c r="L563" t="b">
        <v>0</v>
      </c>
    </row>
    <row r="564" spans="1:13" ht="34" x14ac:dyDescent="0.2">
      <c r="A564" t="s">
        <v>921</v>
      </c>
      <c r="B564" t="s">
        <v>245</v>
      </c>
      <c r="C564" t="s">
        <v>29</v>
      </c>
      <c r="D564" s="1">
        <v>45495</v>
      </c>
      <c r="E564" s="6" t="s">
        <v>60</v>
      </c>
      <c r="F564" t="s">
        <v>24</v>
      </c>
      <c r="G564" s="3" t="s">
        <v>25</v>
      </c>
      <c r="H564">
        <v>7</v>
      </c>
      <c r="I564">
        <v>74.099999999999994</v>
      </c>
      <c r="J564">
        <v>518.73</v>
      </c>
      <c r="K564" t="s">
        <v>32</v>
      </c>
      <c r="L564" t="b">
        <v>0</v>
      </c>
    </row>
    <row r="565" spans="1:13" ht="17" x14ac:dyDescent="0.2">
      <c r="A565" t="s">
        <v>922</v>
      </c>
      <c r="B565" t="s">
        <v>863</v>
      </c>
      <c r="C565" t="s">
        <v>274</v>
      </c>
      <c r="D565" s="1">
        <v>45236</v>
      </c>
      <c r="E565" s="6" t="s">
        <v>78</v>
      </c>
      <c r="F565" t="s">
        <v>17</v>
      </c>
      <c r="G565" s="3" t="s">
        <v>18</v>
      </c>
      <c r="H565">
        <v>5.4</v>
      </c>
      <c r="I565">
        <v>39.14</v>
      </c>
      <c r="J565">
        <v>211.35</v>
      </c>
      <c r="K565" t="s">
        <v>36</v>
      </c>
      <c r="L565" t="b">
        <v>0</v>
      </c>
    </row>
    <row r="566" spans="1:13" ht="34" x14ac:dyDescent="0.2">
      <c r="A566" t="s">
        <v>923</v>
      </c>
      <c r="B566" t="s">
        <v>490</v>
      </c>
      <c r="C566" t="s">
        <v>15</v>
      </c>
      <c r="D566" s="1">
        <v>44984</v>
      </c>
      <c r="E566" s="6" t="s">
        <v>44</v>
      </c>
      <c r="F566" t="s">
        <v>90</v>
      </c>
      <c r="G566" s="3" t="s">
        <v>91</v>
      </c>
      <c r="H566">
        <v>18.5</v>
      </c>
      <c r="I566">
        <v>76.239999999999995</v>
      </c>
      <c r="J566">
        <v>1410.44</v>
      </c>
      <c r="K566" t="s">
        <v>92</v>
      </c>
      <c r="L566" t="b">
        <v>1</v>
      </c>
      <c r="M566" s="3" t="s">
        <v>79</v>
      </c>
    </row>
    <row r="567" spans="1:13" ht="68" x14ac:dyDescent="0.2">
      <c r="A567" t="s">
        <v>924</v>
      </c>
      <c r="B567" t="s">
        <v>925</v>
      </c>
      <c r="C567" t="s">
        <v>15</v>
      </c>
      <c r="D567" s="1">
        <v>45499</v>
      </c>
      <c r="E567" s="6" t="s">
        <v>23</v>
      </c>
      <c r="F567" t="s">
        <v>50</v>
      </c>
      <c r="G567" s="3" t="s">
        <v>51</v>
      </c>
      <c r="H567">
        <v>2.7</v>
      </c>
      <c r="I567">
        <v>70.430000000000007</v>
      </c>
      <c r="J567">
        <v>190.16</v>
      </c>
      <c r="K567" t="s">
        <v>96</v>
      </c>
      <c r="L567" t="b">
        <v>0</v>
      </c>
    </row>
    <row r="568" spans="1:13" ht="68" x14ac:dyDescent="0.2">
      <c r="A568" t="s">
        <v>926</v>
      </c>
      <c r="B568" t="s">
        <v>276</v>
      </c>
      <c r="C568" t="s">
        <v>196</v>
      </c>
      <c r="D568" s="1">
        <v>45115</v>
      </c>
      <c r="E568" s="6" t="s">
        <v>23</v>
      </c>
      <c r="F568" t="s">
        <v>50</v>
      </c>
      <c r="G568" s="3" t="s">
        <v>51</v>
      </c>
      <c r="H568">
        <v>7.8</v>
      </c>
      <c r="I568">
        <v>73.510000000000005</v>
      </c>
      <c r="J568">
        <v>573.36</v>
      </c>
      <c r="K568" t="s">
        <v>105</v>
      </c>
      <c r="L568" t="b">
        <v>0</v>
      </c>
    </row>
    <row r="569" spans="1:13" ht="34" x14ac:dyDescent="0.2">
      <c r="A569" t="s">
        <v>927</v>
      </c>
      <c r="B569" t="s">
        <v>695</v>
      </c>
      <c r="C569" t="s">
        <v>353</v>
      </c>
      <c r="D569" s="1">
        <v>45492</v>
      </c>
      <c r="E569" s="6" t="s">
        <v>60</v>
      </c>
      <c r="F569" t="s">
        <v>24</v>
      </c>
      <c r="G569" s="3" t="s">
        <v>25</v>
      </c>
      <c r="H569">
        <v>4.5</v>
      </c>
      <c r="I569">
        <v>84.3</v>
      </c>
      <c r="J569">
        <v>379.34</v>
      </c>
      <c r="K569" t="s">
        <v>26</v>
      </c>
      <c r="L569" t="b">
        <v>0</v>
      </c>
    </row>
    <row r="570" spans="1:13" ht="17" x14ac:dyDescent="0.2">
      <c r="A570" t="s">
        <v>928</v>
      </c>
      <c r="B570" t="s">
        <v>558</v>
      </c>
      <c r="C570" t="s">
        <v>186</v>
      </c>
      <c r="D570" s="1">
        <v>45584</v>
      </c>
      <c r="E570" s="6" t="s">
        <v>89</v>
      </c>
      <c r="F570" t="s">
        <v>30</v>
      </c>
      <c r="G570" s="3" t="s">
        <v>31</v>
      </c>
      <c r="H570">
        <v>8</v>
      </c>
      <c r="I570">
        <v>62.63</v>
      </c>
      <c r="J570">
        <v>501.07</v>
      </c>
      <c r="K570" t="s">
        <v>26</v>
      </c>
      <c r="L570" t="b">
        <v>0</v>
      </c>
    </row>
    <row r="571" spans="1:13" ht="34" x14ac:dyDescent="0.2">
      <c r="A571" t="s">
        <v>929</v>
      </c>
      <c r="B571" t="s">
        <v>336</v>
      </c>
      <c r="C571" t="s">
        <v>161</v>
      </c>
      <c r="D571" s="1">
        <v>45594</v>
      </c>
      <c r="E571" s="6" t="s">
        <v>44</v>
      </c>
      <c r="F571" t="s">
        <v>45</v>
      </c>
      <c r="G571" s="3" t="s">
        <v>46</v>
      </c>
      <c r="H571">
        <v>3.9</v>
      </c>
      <c r="I571">
        <v>68.63</v>
      </c>
      <c r="J571">
        <v>267.64</v>
      </c>
      <c r="K571" t="s">
        <v>56</v>
      </c>
      <c r="L571" t="b">
        <v>0</v>
      </c>
    </row>
    <row r="572" spans="1:13" ht="34" x14ac:dyDescent="0.2">
      <c r="A572" t="s">
        <v>930</v>
      </c>
      <c r="B572" t="s">
        <v>931</v>
      </c>
      <c r="C572" t="s">
        <v>85</v>
      </c>
      <c r="D572" s="1">
        <v>45251</v>
      </c>
      <c r="E572" s="6" t="s">
        <v>78</v>
      </c>
      <c r="F572" t="s">
        <v>90</v>
      </c>
      <c r="G572" s="3" t="s">
        <v>91</v>
      </c>
      <c r="H572">
        <v>4.3</v>
      </c>
      <c r="I572">
        <v>48.84</v>
      </c>
      <c r="J572">
        <v>210.02</v>
      </c>
      <c r="K572" t="s">
        <v>92</v>
      </c>
      <c r="L572" t="b">
        <v>0</v>
      </c>
    </row>
    <row r="573" spans="1:13" ht="34" x14ac:dyDescent="0.2">
      <c r="A573" t="s">
        <v>932</v>
      </c>
      <c r="B573" t="s">
        <v>394</v>
      </c>
      <c r="C573" t="s">
        <v>68</v>
      </c>
      <c r="D573" s="1">
        <v>45381</v>
      </c>
      <c r="E573" s="6" t="s">
        <v>44</v>
      </c>
      <c r="F573" t="s">
        <v>45</v>
      </c>
      <c r="G573" s="3" t="s">
        <v>46</v>
      </c>
      <c r="H573">
        <v>5.0999999999999996</v>
      </c>
      <c r="I573">
        <v>80.03</v>
      </c>
      <c r="J573">
        <v>408.15</v>
      </c>
      <c r="K573" t="s">
        <v>32</v>
      </c>
      <c r="L573" t="b">
        <v>0</v>
      </c>
    </row>
    <row r="574" spans="1:13" ht="34" x14ac:dyDescent="0.2">
      <c r="A574" t="s">
        <v>933</v>
      </c>
      <c r="B574" t="s">
        <v>713</v>
      </c>
      <c r="C574" t="s">
        <v>343</v>
      </c>
      <c r="D574" s="1">
        <v>45011</v>
      </c>
      <c r="E574" s="6" t="s">
        <v>89</v>
      </c>
      <c r="F574" t="s">
        <v>61</v>
      </c>
      <c r="G574" s="3" t="s">
        <v>62</v>
      </c>
      <c r="H574">
        <v>2.7</v>
      </c>
      <c r="I574">
        <v>33.979999999999997</v>
      </c>
      <c r="J574">
        <v>91.74</v>
      </c>
      <c r="K574" t="s">
        <v>96</v>
      </c>
      <c r="L574" t="b">
        <v>0</v>
      </c>
    </row>
    <row r="575" spans="1:13" ht="34" x14ac:dyDescent="0.2">
      <c r="A575" t="s">
        <v>934</v>
      </c>
      <c r="B575" t="s">
        <v>488</v>
      </c>
      <c r="C575" t="s">
        <v>207</v>
      </c>
      <c r="D575" s="1">
        <v>45398</v>
      </c>
      <c r="E575" s="6" t="s">
        <v>44</v>
      </c>
      <c r="F575" t="s">
        <v>90</v>
      </c>
      <c r="G575" s="3" t="s">
        <v>91</v>
      </c>
      <c r="H575">
        <v>7.5</v>
      </c>
      <c r="I575">
        <v>58.76</v>
      </c>
      <c r="J575">
        <v>440.71</v>
      </c>
      <c r="K575" t="s">
        <v>56</v>
      </c>
      <c r="L575" t="b">
        <v>0</v>
      </c>
    </row>
    <row r="576" spans="1:13" ht="34" x14ac:dyDescent="0.2">
      <c r="A576" t="s">
        <v>935</v>
      </c>
      <c r="B576" t="s">
        <v>265</v>
      </c>
      <c r="C576" t="s">
        <v>39</v>
      </c>
      <c r="D576" s="1">
        <v>45103</v>
      </c>
      <c r="E576" s="6" t="s">
        <v>60</v>
      </c>
      <c r="F576" t="s">
        <v>45</v>
      </c>
      <c r="G576" s="3" t="s">
        <v>46</v>
      </c>
      <c r="H576">
        <v>7.2</v>
      </c>
      <c r="I576">
        <v>77.81</v>
      </c>
      <c r="J576">
        <v>560.22</v>
      </c>
      <c r="K576" t="s">
        <v>26</v>
      </c>
      <c r="L576" t="b">
        <v>0</v>
      </c>
    </row>
    <row r="577" spans="1:13" ht="34" x14ac:dyDescent="0.2">
      <c r="A577" t="s">
        <v>936</v>
      </c>
      <c r="B577" t="s">
        <v>447</v>
      </c>
      <c r="C577" t="s">
        <v>65</v>
      </c>
      <c r="D577" s="1">
        <v>44954</v>
      </c>
      <c r="E577" s="6" t="s">
        <v>89</v>
      </c>
      <c r="F577" t="s">
        <v>45</v>
      </c>
      <c r="G577" s="3" t="s">
        <v>46</v>
      </c>
      <c r="H577">
        <v>4.3</v>
      </c>
      <c r="I577">
        <v>54.14</v>
      </c>
      <c r="J577">
        <v>232.78</v>
      </c>
      <c r="K577" t="s">
        <v>19</v>
      </c>
      <c r="L577" t="b">
        <v>0</v>
      </c>
    </row>
    <row r="578" spans="1:13" ht="17" x14ac:dyDescent="0.2">
      <c r="A578" t="s">
        <v>937</v>
      </c>
      <c r="B578" t="s">
        <v>586</v>
      </c>
      <c r="C578" t="s">
        <v>189</v>
      </c>
      <c r="D578" s="1">
        <v>45314</v>
      </c>
      <c r="E578" s="6" t="s">
        <v>23</v>
      </c>
      <c r="F578" t="s">
        <v>17</v>
      </c>
      <c r="G578" s="3" t="s">
        <v>18</v>
      </c>
      <c r="H578">
        <v>2.2000000000000002</v>
      </c>
      <c r="I578">
        <v>41.52</v>
      </c>
      <c r="J578">
        <v>91.35</v>
      </c>
      <c r="K578" t="s">
        <v>19</v>
      </c>
      <c r="L578" t="b">
        <v>0</v>
      </c>
    </row>
    <row r="579" spans="1:13" ht="34" x14ac:dyDescent="0.2">
      <c r="A579" t="s">
        <v>938</v>
      </c>
      <c r="B579" t="s">
        <v>939</v>
      </c>
      <c r="C579" t="s">
        <v>332</v>
      </c>
      <c r="D579" s="1">
        <v>41541</v>
      </c>
      <c r="E579" s="6" t="s">
        <v>78</v>
      </c>
      <c r="F579" t="s">
        <v>61</v>
      </c>
      <c r="G579" s="3" t="s">
        <v>62</v>
      </c>
      <c r="H579">
        <v>2.2000000000000002</v>
      </c>
      <c r="I579">
        <v>78.37</v>
      </c>
      <c r="J579">
        <v>172.42</v>
      </c>
      <c r="K579" t="s">
        <v>105</v>
      </c>
      <c r="L579" t="b">
        <v>1</v>
      </c>
      <c r="M579" s="3" t="s">
        <v>99</v>
      </c>
    </row>
    <row r="580" spans="1:13" ht="17" x14ac:dyDescent="0.2">
      <c r="A580" t="s">
        <v>940</v>
      </c>
      <c r="B580" t="s">
        <v>941</v>
      </c>
      <c r="C580" t="s">
        <v>95</v>
      </c>
      <c r="D580" s="1">
        <v>45539</v>
      </c>
      <c r="E580" s="6" t="s">
        <v>78</v>
      </c>
      <c r="F580" t="s">
        <v>30</v>
      </c>
      <c r="G580" s="3" t="s">
        <v>31</v>
      </c>
      <c r="H580">
        <v>2.2999999999999998</v>
      </c>
      <c r="I580">
        <v>53.51</v>
      </c>
      <c r="J580">
        <v>123.08</v>
      </c>
      <c r="K580" t="s">
        <v>56</v>
      </c>
      <c r="L580" t="b">
        <v>0</v>
      </c>
    </row>
    <row r="581" spans="1:13" ht="34" x14ac:dyDescent="0.2">
      <c r="A581" t="s">
        <v>942</v>
      </c>
      <c r="B581" t="s">
        <v>137</v>
      </c>
      <c r="C581" t="s">
        <v>65</v>
      </c>
      <c r="D581" s="1">
        <v>44983</v>
      </c>
      <c r="E581" s="6" t="s">
        <v>78</v>
      </c>
      <c r="F581" t="s">
        <v>54</v>
      </c>
      <c r="G581" s="3" t="s">
        <v>55</v>
      </c>
      <c r="H581">
        <v>2.1</v>
      </c>
      <c r="I581">
        <v>74.040000000000006</v>
      </c>
      <c r="J581">
        <v>155.49</v>
      </c>
      <c r="K581" t="s">
        <v>105</v>
      </c>
      <c r="L581" t="b">
        <v>0</v>
      </c>
    </row>
    <row r="582" spans="1:13" ht="34" x14ac:dyDescent="0.2">
      <c r="A582" t="s">
        <v>943</v>
      </c>
      <c r="B582" t="s">
        <v>944</v>
      </c>
      <c r="C582" t="s">
        <v>161</v>
      </c>
      <c r="D582" s="1">
        <v>45406</v>
      </c>
      <c r="E582" s="6" t="s">
        <v>16</v>
      </c>
      <c r="F582" t="s">
        <v>45</v>
      </c>
      <c r="G582" s="3" t="s">
        <v>46</v>
      </c>
      <c r="H582">
        <v>3.7</v>
      </c>
      <c r="I582">
        <v>54.5</v>
      </c>
      <c r="J582">
        <v>201.64</v>
      </c>
      <c r="K582" t="s">
        <v>113</v>
      </c>
      <c r="L582" t="b">
        <v>0</v>
      </c>
    </row>
    <row r="583" spans="1:13" ht="34" x14ac:dyDescent="0.2">
      <c r="A583" t="s">
        <v>945</v>
      </c>
      <c r="B583" t="s">
        <v>73</v>
      </c>
      <c r="C583" t="s">
        <v>172</v>
      </c>
      <c r="D583" s="1">
        <v>44932</v>
      </c>
      <c r="E583" s="6" t="s">
        <v>78</v>
      </c>
      <c r="F583" t="s">
        <v>90</v>
      </c>
      <c r="G583" s="3" t="s">
        <v>91</v>
      </c>
      <c r="H583">
        <v>7.8</v>
      </c>
      <c r="I583">
        <v>38.68</v>
      </c>
      <c r="J583">
        <v>301.68</v>
      </c>
      <c r="K583" t="s">
        <v>19</v>
      </c>
      <c r="L583" t="b">
        <v>0</v>
      </c>
    </row>
    <row r="584" spans="1:13" ht="17" x14ac:dyDescent="0.2">
      <c r="A584" t="s">
        <v>946</v>
      </c>
      <c r="B584" t="s">
        <v>210</v>
      </c>
      <c r="C584" t="s">
        <v>256</v>
      </c>
      <c r="D584" s="1">
        <v>44959</v>
      </c>
      <c r="E584" s="6" t="s">
        <v>16</v>
      </c>
      <c r="F584" t="s">
        <v>17</v>
      </c>
      <c r="G584" s="3" t="s">
        <v>18</v>
      </c>
      <c r="H584">
        <v>6.6</v>
      </c>
      <c r="I584">
        <v>44.25</v>
      </c>
      <c r="J584">
        <v>292.06</v>
      </c>
      <c r="K584" t="s">
        <v>96</v>
      </c>
      <c r="L584" t="b">
        <v>0</v>
      </c>
    </row>
    <row r="585" spans="1:13" ht="34" x14ac:dyDescent="0.2">
      <c r="A585" t="s">
        <v>947</v>
      </c>
      <c r="B585" t="s">
        <v>182</v>
      </c>
      <c r="C585" t="s">
        <v>183</v>
      </c>
      <c r="D585" s="1">
        <v>45502</v>
      </c>
      <c r="E585" s="6" t="s">
        <v>60</v>
      </c>
      <c r="F585" t="s">
        <v>61</v>
      </c>
      <c r="G585" s="3" t="s">
        <v>62</v>
      </c>
      <c r="H585">
        <v>5.6</v>
      </c>
      <c r="I585">
        <v>30.36</v>
      </c>
      <c r="J585">
        <v>170</v>
      </c>
      <c r="K585" t="s">
        <v>92</v>
      </c>
      <c r="L585" t="b">
        <v>0</v>
      </c>
    </row>
    <row r="586" spans="1:13" ht="17" x14ac:dyDescent="0.2">
      <c r="A586" t="s">
        <v>948</v>
      </c>
      <c r="B586" t="s">
        <v>588</v>
      </c>
      <c r="C586" t="s">
        <v>166</v>
      </c>
      <c r="D586" s="1">
        <v>45462</v>
      </c>
      <c r="E586" s="6" t="s">
        <v>60</v>
      </c>
      <c r="F586" t="s">
        <v>30</v>
      </c>
      <c r="G586" s="3" t="s">
        <v>31</v>
      </c>
      <c r="H586">
        <v>7.5</v>
      </c>
      <c r="I586">
        <v>49.43</v>
      </c>
      <c r="J586">
        <v>370.73</v>
      </c>
      <c r="K586" t="s">
        <v>113</v>
      </c>
      <c r="L586" t="b">
        <v>0</v>
      </c>
    </row>
    <row r="587" spans="1:13" ht="34" x14ac:dyDescent="0.2">
      <c r="A587" t="s">
        <v>949</v>
      </c>
      <c r="B587" t="s">
        <v>270</v>
      </c>
      <c r="C587" t="s">
        <v>49</v>
      </c>
      <c r="D587" s="1">
        <v>45438</v>
      </c>
      <c r="E587" s="6" t="s">
        <v>23</v>
      </c>
      <c r="F587" t="s">
        <v>54</v>
      </c>
      <c r="G587" s="3" t="s">
        <v>55</v>
      </c>
      <c r="H587">
        <v>19.899999999999999</v>
      </c>
      <c r="I587">
        <v>55.92</v>
      </c>
      <c r="J587">
        <v>1112.81</v>
      </c>
      <c r="K587" t="s">
        <v>26</v>
      </c>
      <c r="L587" t="b">
        <v>1</v>
      </c>
      <c r="M587" s="3" t="s">
        <v>79</v>
      </c>
    </row>
    <row r="588" spans="1:13" ht="34" x14ac:dyDescent="0.2">
      <c r="A588" t="s">
        <v>950</v>
      </c>
      <c r="B588" t="s">
        <v>434</v>
      </c>
      <c r="C588" t="s">
        <v>166</v>
      </c>
      <c r="D588" s="1">
        <v>45003</v>
      </c>
      <c r="E588" s="6" t="s">
        <v>23</v>
      </c>
      <c r="F588" t="s">
        <v>90</v>
      </c>
      <c r="G588" s="3" t="s">
        <v>91</v>
      </c>
      <c r="H588">
        <v>3.9</v>
      </c>
      <c r="I588">
        <v>55.41</v>
      </c>
      <c r="J588">
        <v>216.09</v>
      </c>
      <c r="K588" t="s">
        <v>32</v>
      </c>
      <c r="L588" t="b">
        <v>0</v>
      </c>
    </row>
    <row r="589" spans="1:13" ht="34" x14ac:dyDescent="0.2">
      <c r="A589" t="s">
        <v>951</v>
      </c>
      <c r="B589" t="s">
        <v>286</v>
      </c>
      <c r="C589" t="s">
        <v>119</v>
      </c>
      <c r="D589" s="1">
        <v>45391</v>
      </c>
      <c r="E589" s="6" t="s">
        <v>23</v>
      </c>
      <c r="F589" t="s">
        <v>24</v>
      </c>
      <c r="G589" s="3" t="s">
        <v>25</v>
      </c>
      <c r="H589">
        <v>21.6</v>
      </c>
      <c r="I589">
        <v>77.510000000000005</v>
      </c>
      <c r="J589">
        <v>1674.22</v>
      </c>
      <c r="K589" t="s">
        <v>19</v>
      </c>
      <c r="L589" t="b">
        <v>1</v>
      </c>
      <c r="M589" s="3" t="s">
        <v>79</v>
      </c>
    </row>
    <row r="590" spans="1:13" ht="34" x14ac:dyDescent="0.2">
      <c r="A590" t="s">
        <v>952</v>
      </c>
      <c r="B590" t="s">
        <v>624</v>
      </c>
      <c r="C590" t="s">
        <v>196</v>
      </c>
      <c r="D590" s="1">
        <v>45335</v>
      </c>
      <c r="E590" s="6" t="s">
        <v>78</v>
      </c>
      <c r="F590" t="s">
        <v>24</v>
      </c>
      <c r="G590" s="3" t="s">
        <v>25</v>
      </c>
      <c r="H590">
        <v>3.5</v>
      </c>
      <c r="I590">
        <v>52.39</v>
      </c>
      <c r="J590">
        <v>183.35</v>
      </c>
      <c r="K590" t="s">
        <v>19</v>
      </c>
      <c r="L590" t="b">
        <v>0</v>
      </c>
    </row>
    <row r="591" spans="1:13" ht="17" x14ac:dyDescent="0.2">
      <c r="A591" t="s">
        <v>953</v>
      </c>
      <c r="B591" t="s">
        <v>140</v>
      </c>
      <c r="C591" t="s">
        <v>323</v>
      </c>
      <c r="D591" s="1">
        <v>45344</v>
      </c>
      <c r="E591" s="6" t="s">
        <v>89</v>
      </c>
      <c r="F591" t="s">
        <v>30</v>
      </c>
      <c r="G591" s="3" t="s">
        <v>31</v>
      </c>
      <c r="H591">
        <v>3.6</v>
      </c>
      <c r="I591">
        <v>74.41</v>
      </c>
      <c r="J591">
        <v>267.88</v>
      </c>
      <c r="K591" t="s">
        <v>36</v>
      </c>
      <c r="L591" t="b">
        <v>0</v>
      </c>
    </row>
    <row r="592" spans="1:13" ht="34" x14ac:dyDescent="0.2">
      <c r="A592" t="s">
        <v>954</v>
      </c>
      <c r="B592" t="s">
        <v>669</v>
      </c>
      <c r="C592" t="s">
        <v>161</v>
      </c>
      <c r="D592" s="1">
        <v>45643</v>
      </c>
      <c r="E592" s="6" t="s">
        <v>44</v>
      </c>
      <c r="F592" t="s">
        <v>61</v>
      </c>
      <c r="G592" s="3" t="s">
        <v>62</v>
      </c>
      <c r="H592">
        <v>5.8</v>
      </c>
      <c r="I592">
        <v>32.43</v>
      </c>
      <c r="J592">
        <v>188.11</v>
      </c>
      <c r="K592" t="s">
        <v>36</v>
      </c>
      <c r="L592" t="b">
        <v>0</v>
      </c>
    </row>
    <row r="593" spans="1:13" ht="17" x14ac:dyDescent="0.2">
      <c r="A593" t="s">
        <v>955</v>
      </c>
      <c r="B593" t="s">
        <v>177</v>
      </c>
      <c r="C593" t="s">
        <v>138</v>
      </c>
      <c r="D593" s="1">
        <v>44953</v>
      </c>
      <c r="E593" s="6" t="s">
        <v>23</v>
      </c>
      <c r="F593" t="s">
        <v>30</v>
      </c>
      <c r="G593" s="3" t="s">
        <v>31</v>
      </c>
      <c r="H593">
        <v>4.2</v>
      </c>
      <c r="I593">
        <v>60.64</v>
      </c>
      <c r="J593">
        <v>254.7</v>
      </c>
      <c r="K593" t="s">
        <v>19</v>
      </c>
      <c r="L593" t="b">
        <v>0</v>
      </c>
    </row>
    <row r="594" spans="1:13" ht="17" x14ac:dyDescent="0.2">
      <c r="A594" t="s">
        <v>956</v>
      </c>
      <c r="B594" t="s">
        <v>493</v>
      </c>
      <c r="C594" t="s">
        <v>29</v>
      </c>
      <c r="D594" s="1">
        <v>45571</v>
      </c>
      <c r="E594" s="6" t="s">
        <v>23</v>
      </c>
      <c r="F594" t="s">
        <v>17</v>
      </c>
      <c r="G594" s="3" t="s">
        <v>18</v>
      </c>
      <c r="H594">
        <v>5.5</v>
      </c>
      <c r="I594">
        <v>45.99</v>
      </c>
      <c r="J594">
        <v>252.92</v>
      </c>
      <c r="K594" t="s">
        <v>19</v>
      </c>
      <c r="L594" t="b">
        <v>0</v>
      </c>
    </row>
    <row r="595" spans="1:13" ht="34" x14ac:dyDescent="0.2">
      <c r="A595" t="s">
        <v>957</v>
      </c>
      <c r="B595" t="s">
        <v>356</v>
      </c>
      <c r="C595" t="s">
        <v>39</v>
      </c>
      <c r="D595" s="1">
        <v>45595</v>
      </c>
      <c r="E595" s="6" t="s">
        <v>78</v>
      </c>
      <c r="F595" t="s">
        <v>45</v>
      </c>
      <c r="G595" s="3" t="s">
        <v>46</v>
      </c>
      <c r="H595">
        <v>6.5</v>
      </c>
      <c r="I595">
        <v>66.33</v>
      </c>
      <c r="J595">
        <v>431.15</v>
      </c>
      <c r="K595" t="s">
        <v>82</v>
      </c>
      <c r="L595" t="b">
        <v>0</v>
      </c>
    </row>
    <row r="596" spans="1:13" ht="34" x14ac:dyDescent="0.2">
      <c r="A596" t="s">
        <v>958</v>
      </c>
      <c r="B596" t="s">
        <v>470</v>
      </c>
      <c r="C596" t="s">
        <v>211</v>
      </c>
      <c r="D596" s="1">
        <v>45118</v>
      </c>
      <c r="E596" s="6" t="s">
        <v>89</v>
      </c>
      <c r="F596" t="s">
        <v>24</v>
      </c>
      <c r="G596" s="3" t="s">
        <v>25</v>
      </c>
      <c r="H596">
        <v>57.5</v>
      </c>
      <c r="I596">
        <v>34.770000000000003</v>
      </c>
      <c r="J596">
        <v>2000</v>
      </c>
      <c r="K596" t="s">
        <v>19</v>
      </c>
      <c r="L596" t="b">
        <v>1</v>
      </c>
      <c r="M596" s="3" t="s">
        <v>40</v>
      </c>
    </row>
    <row r="597" spans="1:13" ht="17" x14ac:dyDescent="0.2">
      <c r="A597" t="s">
        <v>959</v>
      </c>
      <c r="B597" t="s">
        <v>960</v>
      </c>
      <c r="C597" t="s">
        <v>499</v>
      </c>
      <c r="D597" s="1">
        <v>45523</v>
      </c>
      <c r="E597" s="6" t="s">
        <v>16</v>
      </c>
      <c r="F597" t="s">
        <v>30</v>
      </c>
      <c r="G597" s="3" t="s">
        <v>31</v>
      </c>
      <c r="H597">
        <v>7.1</v>
      </c>
      <c r="I597">
        <v>63.84</v>
      </c>
      <c r="J597">
        <v>453.28</v>
      </c>
      <c r="K597" t="s">
        <v>113</v>
      </c>
      <c r="L597" t="b">
        <v>0</v>
      </c>
    </row>
    <row r="598" spans="1:13" ht="17" x14ac:dyDescent="0.2">
      <c r="A598" t="s">
        <v>961</v>
      </c>
      <c r="B598" t="s">
        <v>635</v>
      </c>
      <c r="C598" t="s">
        <v>119</v>
      </c>
      <c r="D598" s="1">
        <v>45313</v>
      </c>
      <c r="E598" s="6" t="s">
        <v>44</v>
      </c>
      <c r="F598" t="s">
        <v>30</v>
      </c>
      <c r="G598" s="3" t="s">
        <v>31</v>
      </c>
      <c r="H598">
        <v>3.6</v>
      </c>
      <c r="I598">
        <v>49.57</v>
      </c>
      <c r="J598">
        <v>178.45</v>
      </c>
      <c r="K598" t="s">
        <v>56</v>
      </c>
      <c r="L598" t="b">
        <v>0</v>
      </c>
    </row>
    <row r="599" spans="1:13" ht="34" x14ac:dyDescent="0.2">
      <c r="A599" t="s">
        <v>962</v>
      </c>
      <c r="B599" t="s">
        <v>276</v>
      </c>
      <c r="C599" t="s">
        <v>166</v>
      </c>
      <c r="D599" s="1">
        <v>45297</v>
      </c>
      <c r="E599" s="6" t="s">
        <v>23</v>
      </c>
      <c r="F599" t="s">
        <v>24</v>
      </c>
      <c r="G599" s="3" t="s">
        <v>25</v>
      </c>
      <c r="H599">
        <v>4.8</v>
      </c>
      <c r="I599">
        <v>32.94</v>
      </c>
      <c r="J599">
        <v>158.11000000000001</v>
      </c>
      <c r="K599" t="s">
        <v>105</v>
      </c>
      <c r="L599" t="b">
        <v>0</v>
      </c>
    </row>
    <row r="600" spans="1:13" ht="34" x14ac:dyDescent="0.2">
      <c r="A600" t="s">
        <v>963</v>
      </c>
      <c r="B600" t="s">
        <v>664</v>
      </c>
      <c r="C600" t="s">
        <v>130</v>
      </c>
      <c r="D600" s="1">
        <v>45321</v>
      </c>
      <c r="E600" s="6" t="s">
        <v>78</v>
      </c>
      <c r="F600" t="s">
        <v>24</v>
      </c>
      <c r="G600" s="3" t="s">
        <v>25</v>
      </c>
      <c r="H600">
        <v>3.3</v>
      </c>
      <c r="I600">
        <v>61.5</v>
      </c>
      <c r="J600">
        <v>202.95</v>
      </c>
      <c r="K600" t="s">
        <v>19</v>
      </c>
      <c r="L600" t="b">
        <v>0</v>
      </c>
    </row>
    <row r="601" spans="1:13" ht="34" x14ac:dyDescent="0.2">
      <c r="A601" t="s">
        <v>964</v>
      </c>
      <c r="B601" t="s">
        <v>630</v>
      </c>
      <c r="C601" t="s">
        <v>194</v>
      </c>
      <c r="D601" s="1">
        <v>45014</v>
      </c>
      <c r="E601" s="6" t="s">
        <v>78</v>
      </c>
      <c r="F601" t="s">
        <v>45</v>
      </c>
      <c r="G601" s="3" t="s">
        <v>46</v>
      </c>
      <c r="H601">
        <v>4.5</v>
      </c>
      <c r="I601">
        <v>47.59</v>
      </c>
      <c r="J601">
        <v>214.15</v>
      </c>
      <c r="K601" t="s">
        <v>32</v>
      </c>
      <c r="L601" t="b">
        <v>0</v>
      </c>
    </row>
    <row r="602" spans="1:13" ht="17" x14ac:dyDescent="0.2">
      <c r="A602" t="s">
        <v>965</v>
      </c>
      <c r="B602" t="s">
        <v>284</v>
      </c>
      <c r="C602" t="s">
        <v>161</v>
      </c>
      <c r="D602" s="1">
        <v>45039</v>
      </c>
      <c r="E602" s="6" t="s">
        <v>16</v>
      </c>
      <c r="F602" t="s">
        <v>17</v>
      </c>
      <c r="G602" s="3" t="s">
        <v>18</v>
      </c>
      <c r="H602">
        <v>3.5</v>
      </c>
      <c r="I602">
        <v>53</v>
      </c>
      <c r="J602">
        <v>185.51</v>
      </c>
      <c r="K602" t="s">
        <v>92</v>
      </c>
      <c r="L602" t="b">
        <v>0</v>
      </c>
    </row>
    <row r="603" spans="1:13" ht="34" x14ac:dyDescent="0.2">
      <c r="A603" t="s">
        <v>966</v>
      </c>
      <c r="B603" t="s">
        <v>410</v>
      </c>
      <c r="C603" t="s">
        <v>145</v>
      </c>
      <c r="D603" s="1">
        <v>45375</v>
      </c>
      <c r="E603" s="6" t="s">
        <v>16</v>
      </c>
      <c r="F603" t="s">
        <v>61</v>
      </c>
      <c r="G603" s="3" t="s">
        <v>62</v>
      </c>
      <c r="H603">
        <v>98.3</v>
      </c>
      <c r="I603">
        <v>25.44</v>
      </c>
      <c r="J603">
        <v>2500</v>
      </c>
      <c r="K603" t="s">
        <v>96</v>
      </c>
      <c r="L603" t="b">
        <v>1</v>
      </c>
      <c r="M603" s="3" t="s">
        <v>40</v>
      </c>
    </row>
    <row r="604" spans="1:13" ht="34" x14ac:dyDescent="0.2">
      <c r="A604" t="s">
        <v>967</v>
      </c>
      <c r="B604" t="s">
        <v>378</v>
      </c>
      <c r="C604" t="s">
        <v>85</v>
      </c>
      <c r="D604" s="1">
        <v>45611</v>
      </c>
      <c r="E604" s="6" t="s">
        <v>78</v>
      </c>
      <c r="F604" t="s">
        <v>54</v>
      </c>
      <c r="G604" s="3" t="s">
        <v>55</v>
      </c>
      <c r="H604">
        <v>5.4</v>
      </c>
      <c r="I604">
        <v>60.63</v>
      </c>
      <c r="J604">
        <v>327.38</v>
      </c>
      <c r="K604" t="s">
        <v>26</v>
      </c>
      <c r="L604" t="b">
        <v>0</v>
      </c>
    </row>
    <row r="605" spans="1:13" ht="34" x14ac:dyDescent="0.2">
      <c r="A605" t="s">
        <v>968</v>
      </c>
      <c r="B605" t="s">
        <v>652</v>
      </c>
      <c r="C605" t="s">
        <v>39</v>
      </c>
      <c r="D605" s="1">
        <v>44997</v>
      </c>
      <c r="E605" s="6" t="s">
        <v>78</v>
      </c>
      <c r="F605" t="s">
        <v>45</v>
      </c>
      <c r="G605" s="3" t="s">
        <v>46</v>
      </c>
      <c r="H605">
        <v>6.1</v>
      </c>
      <c r="I605">
        <v>53.9</v>
      </c>
      <c r="J605">
        <v>328.82</v>
      </c>
      <c r="K605" t="s">
        <v>82</v>
      </c>
      <c r="L605" t="b">
        <v>0</v>
      </c>
    </row>
    <row r="606" spans="1:13" ht="34" x14ac:dyDescent="0.2">
      <c r="A606" t="s">
        <v>969</v>
      </c>
      <c r="B606" t="s">
        <v>970</v>
      </c>
      <c r="C606" t="s">
        <v>95</v>
      </c>
      <c r="D606" s="1">
        <v>45321</v>
      </c>
      <c r="E606" s="6" t="s">
        <v>78</v>
      </c>
      <c r="F606" t="s">
        <v>45</v>
      </c>
      <c r="G606" s="3" t="s">
        <v>46</v>
      </c>
      <c r="H606">
        <v>5.8</v>
      </c>
      <c r="I606">
        <v>76.69</v>
      </c>
      <c r="J606">
        <v>444.8</v>
      </c>
      <c r="K606" t="s">
        <v>19</v>
      </c>
      <c r="L606" t="b">
        <v>0</v>
      </c>
    </row>
    <row r="607" spans="1:13" ht="34" x14ac:dyDescent="0.2">
      <c r="A607" t="s">
        <v>971</v>
      </c>
      <c r="B607" t="s">
        <v>245</v>
      </c>
      <c r="C607" t="s">
        <v>183</v>
      </c>
      <c r="D607" s="1">
        <v>45432</v>
      </c>
      <c r="E607" s="6" t="s">
        <v>23</v>
      </c>
      <c r="F607" t="s">
        <v>45</v>
      </c>
      <c r="G607" s="3" t="s">
        <v>46</v>
      </c>
      <c r="H607">
        <v>3.1</v>
      </c>
      <c r="I607">
        <v>56.04</v>
      </c>
      <c r="J607">
        <v>173.72</v>
      </c>
      <c r="K607" t="s">
        <v>32</v>
      </c>
      <c r="L607" t="b">
        <v>0</v>
      </c>
    </row>
    <row r="608" spans="1:13" ht="34" x14ac:dyDescent="0.2">
      <c r="A608" t="s">
        <v>972</v>
      </c>
      <c r="B608" t="s">
        <v>960</v>
      </c>
      <c r="C608" t="s">
        <v>211</v>
      </c>
      <c r="D608" s="1">
        <v>45310</v>
      </c>
      <c r="E608" s="6" t="s">
        <v>89</v>
      </c>
      <c r="F608" t="s">
        <v>24</v>
      </c>
      <c r="G608" s="3" t="s">
        <v>25</v>
      </c>
      <c r="H608">
        <v>6.8</v>
      </c>
      <c r="I608">
        <v>73.14</v>
      </c>
      <c r="J608">
        <v>497.36</v>
      </c>
      <c r="K608" t="s">
        <v>113</v>
      </c>
      <c r="L608" t="b">
        <v>0</v>
      </c>
    </row>
    <row r="609" spans="1:13" ht="34" x14ac:dyDescent="0.2">
      <c r="A609" t="s">
        <v>973</v>
      </c>
      <c r="B609" t="s">
        <v>593</v>
      </c>
      <c r="C609" t="s">
        <v>49</v>
      </c>
      <c r="D609" s="1">
        <v>45042</v>
      </c>
      <c r="E609" s="6" t="s">
        <v>16</v>
      </c>
      <c r="F609" t="s">
        <v>61</v>
      </c>
      <c r="G609" s="3" t="s">
        <v>62</v>
      </c>
      <c r="H609">
        <v>6</v>
      </c>
      <c r="I609">
        <v>65.849999999999994</v>
      </c>
      <c r="J609">
        <v>395.07</v>
      </c>
      <c r="K609" t="s">
        <v>96</v>
      </c>
      <c r="L609" t="b">
        <v>0</v>
      </c>
    </row>
    <row r="610" spans="1:13" ht="34" x14ac:dyDescent="0.2">
      <c r="A610" t="s">
        <v>974</v>
      </c>
      <c r="B610" t="s">
        <v>975</v>
      </c>
      <c r="C610" t="s">
        <v>293</v>
      </c>
      <c r="D610" s="1">
        <v>45181</v>
      </c>
      <c r="E610" s="6" t="s">
        <v>78</v>
      </c>
      <c r="F610" t="s">
        <v>24</v>
      </c>
      <c r="G610" s="3" t="s">
        <v>25</v>
      </c>
      <c r="H610">
        <v>5.9</v>
      </c>
      <c r="I610">
        <v>84.85</v>
      </c>
      <c r="J610">
        <v>500.6</v>
      </c>
      <c r="K610" t="s">
        <v>19</v>
      </c>
      <c r="L610" t="b">
        <v>0</v>
      </c>
    </row>
    <row r="611" spans="1:13" ht="34" x14ac:dyDescent="0.2">
      <c r="A611" t="s">
        <v>976</v>
      </c>
      <c r="B611" t="s">
        <v>536</v>
      </c>
      <c r="C611" t="s">
        <v>343</v>
      </c>
      <c r="D611" s="1">
        <v>45522</v>
      </c>
      <c r="E611" s="6" t="s">
        <v>89</v>
      </c>
      <c r="F611" t="s">
        <v>61</v>
      </c>
      <c r="G611" s="3" t="s">
        <v>62</v>
      </c>
      <c r="H611">
        <v>4.4000000000000004</v>
      </c>
      <c r="I611">
        <v>69.2</v>
      </c>
      <c r="J611">
        <v>304.5</v>
      </c>
      <c r="K611" t="s">
        <v>113</v>
      </c>
      <c r="L611" t="b">
        <v>0</v>
      </c>
    </row>
    <row r="612" spans="1:13" ht="17" x14ac:dyDescent="0.2">
      <c r="A612" t="s">
        <v>977</v>
      </c>
      <c r="B612" t="s">
        <v>398</v>
      </c>
      <c r="C612" t="s">
        <v>450</v>
      </c>
      <c r="D612" s="1">
        <v>45306</v>
      </c>
      <c r="E612" s="6" t="s">
        <v>16</v>
      </c>
      <c r="F612" t="s">
        <v>30</v>
      </c>
      <c r="G612" s="3" t="s">
        <v>31</v>
      </c>
      <c r="H612">
        <v>4.0999999999999996</v>
      </c>
      <c r="I612">
        <v>67.8</v>
      </c>
      <c r="J612">
        <v>277.99</v>
      </c>
      <c r="K612" t="s">
        <v>92</v>
      </c>
      <c r="L612" t="b">
        <v>0</v>
      </c>
    </row>
    <row r="613" spans="1:13" ht="34" x14ac:dyDescent="0.2">
      <c r="A613" t="s">
        <v>978</v>
      </c>
      <c r="B613" t="s">
        <v>358</v>
      </c>
      <c r="C613" t="s">
        <v>332</v>
      </c>
      <c r="D613" s="1">
        <v>45023</v>
      </c>
      <c r="E613" s="6" t="s">
        <v>89</v>
      </c>
      <c r="F613" t="s">
        <v>17</v>
      </c>
      <c r="G613" s="3" t="s">
        <v>18</v>
      </c>
      <c r="H613">
        <v>15.3</v>
      </c>
      <c r="I613">
        <v>65.31</v>
      </c>
      <c r="J613">
        <v>1000</v>
      </c>
      <c r="K613" t="s">
        <v>36</v>
      </c>
      <c r="L613" t="b">
        <v>1</v>
      </c>
      <c r="M613" s="3" t="s">
        <v>40</v>
      </c>
    </row>
    <row r="614" spans="1:13" ht="34" x14ac:dyDescent="0.2">
      <c r="A614" t="s">
        <v>979</v>
      </c>
      <c r="B614" t="s">
        <v>980</v>
      </c>
      <c r="C614" t="s">
        <v>266</v>
      </c>
      <c r="D614" s="1">
        <v>45130</v>
      </c>
      <c r="E614" s="6" t="s">
        <v>89</v>
      </c>
      <c r="F614" t="s">
        <v>45</v>
      </c>
      <c r="G614" s="3" t="s">
        <v>46</v>
      </c>
      <c r="H614">
        <v>33.1</v>
      </c>
      <c r="I614">
        <v>75.44</v>
      </c>
      <c r="J614">
        <v>2500</v>
      </c>
      <c r="K614" t="s">
        <v>113</v>
      </c>
      <c r="L614" t="b">
        <v>1</v>
      </c>
      <c r="M614" s="3" t="s">
        <v>40</v>
      </c>
    </row>
    <row r="615" spans="1:13" ht="68" x14ac:dyDescent="0.2">
      <c r="A615" t="s">
        <v>981</v>
      </c>
      <c r="B615" t="s">
        <v>398</v>
      </c>
      <c r="C615" t="s">
        <v>343</v>
      </c>
      <c r="D615" s="1">
        <v>45042</v>
      </c>
      <c r="E615" s="6" t="s">
        <v>16</v>
      </c>
      <c r="F615" t="s">
        <v>50</v>
      </c>
      <c r="G615" s="3" t="s">
        <v>51</v>
      </c>
      <c r="H615">
        <v>3.8</v>
      </c>
      <c r="I615">
        <v>53.25</v>
      </c>
      <c r="J615">
        <v>202.34</v>
      </c>
      <c r="K615" t="s">
        <v>92</v>
      </c>
      <c r="L615" t="b">
        <v>0</v>
      </c>
    </row>
    <row r="616" spans="1:13" ht="34" x14ac:dyDescent="0.2">
      <c r="A616" t="s">
        <v>982</v>
      </c>
      <c r="B616" t="s">
        <v>231</v>
      </c>
      <c r="C616" t="s">
        <v>138</v>
      </c>
      <c r="D616" s="1">
        <v>45005</v>
      </c>
      <c r="E616" s="6" t="s">
        <v>23</v>
      </c>
      <c r="F616" t="s">
        <v>45</v>
      </c>
      <c r="G616" s="3" t="s">
        <v>46</v>
      </c>
      <c r="H616">
        <v>6.4</v>
      </c>
      <c r="I616">
        <v>58.54</v>
      </c>
      <c r="J616">
        <v>374.67</v>
      </c>
      <c r="K616" t="s">
        <v>19</v>
      </c>
      <c r="L616" t="b">
        <v>0</v>
      </c>
    </row>
    <row r="617" spans="1:13" ht="34" x14ac:dyDescent="0.2">
      <c r="A617" t="s">
        <v>983</v>
      </c>
      <c r="B617" t="s">
        <v>519</v>
      </c>
      <c r="C617" t="s">
        <v>119</v>
      </c>
      <c r="D617" s="1">
        <v>44994</v>
      </c>
      <c r="E617" s="6" t="s">
        <v>23</v>
      </c>
      <c r="F617" t="s">
        <v>54</v>
      </c>
      <c r="G617" s="3" t="s">
        <v>55</v>
      </c>
      <c r="H617">
        <v>5.9</v>
      </c>
      <c r="I617">
        <v>38.340000000000003</v>
      </c>
      <c r="J617">
        <v>226.18</v>
      </c>
      <c r="K617" t="s">
        <v>19</v>
      </c>
      <c r="L617" t="b">
        <v>0</v>
      </c>
    </row>
    <row r="618" spans="1:13" ht="34" x14ac:dyDescent="0.2">
      <c r="A618" t="s">
        <v>984</v>
      </c>
      <c r="B618" t="s">
        <v>67</v>
      </c>
      <c r="C618" t="s">
        <v>15</v>
      </c>
      <c r="D618" s="1">
        <v>45626</v>
      </c>
      <c r="E618" s="6" t="s">
        <v>78</v>
      </c>
      <c r="F618" t="s">
        <v>45</v>
      </c>
      <c r="G618" s="3" t="s">
        <v>46</v>
      </c>
      <c r="H618">
        <v>4.5</v>
      </c>
      <c r="I618">
        <v>78.209999999999994</v>
      </c>
      <c r="J618">
        <v>351.95</v>
      </c>
      <c r="K618" t="s">
        <v>56</v>
      </c>
      <c r="L618" t="b">
        <v>0</v>
      </c>
    </row>
    <row r="619" spans="1:13" ht="34" x14ac:dyDescent="0.2">
      <c r="A619" t="s">
        <v>985</v>
      </c>
      <c r="B619" t="s">
        <v>386</v>
      </c>
      <c r="C619" t="s">
        <v>127</v>
      </c>
      <c r="D619" s="1">
        <v>45527</v>
      </c>
      <c r="E619" s="6" t="s">
        <v>44</v>
      </c>
      <c r="F619" t="s">
        <v>45</v>
      </c>
      <c r="G619" s="3" t="s">
        <v>46</v>
      </c>
      <c r="H619">
        <v>5.5</v>
      </c>
      <c r="I619">
        <v>52.83</v>
      </c>
      <c r="J619">
        <v>290.54000000000002</v>
      </c>
      <c r="K619" t="s">
        <v>26</v>
      </c>
      <c r="L619" t="b">
        <v>0</v>
      </c>
    </row>
    <row r="620" spans="1:13" ht="17" x14ac:dyDescent="0.2">
      <c r="A620" t="s">
        <v>986</v>
      </c>
      <c r="B620" t="s">
        <v>987</v>
      </c>
      <c r="C620" t="s">
        <v>71</v>
      </c>
      <c r="D620" s="1">
        <v>44939</v>
      </c>
      <c r="E620" s="6" t="s">
        <v>89</v>
      </c>
      <c r="F620" t="s">
        <v>17</v>
      </c>
      <c r="G620" s="3" t="s">
        <v>18</v>
      </c>
      <c r="H620">
        <v>2.2999999999999998</v>
      </c>
      <c r="I620">
        <v>63.06</v>
      </c>
      <c r="J620">
        <v>145.05000000000001</v>
      </c>
      <c r="K620" t="s">
        <v>92</v>
      </c>
      <c r="L620" t="b">
        <v>0</v>
      </c>
    </row>
    <row r="621" spans="1:13" ht="34" x14ac:dyDescent="0.2">
      <c r="A621" t="s">
        <v>988</v>
      </c>
      <c r="B621" t="s">
        <v>989</v>
      </c>
      <c r="C621" t="s">
        <v>88</v>
      </c>
      <c r="D621" s="1">
        <v>45528</v>
      </c>
      <c r="E621" s="6" t="s">
        <v>44</v>
      </c>
      <c r="F621" t="s">
        <v>90</v>
      </c>
      <c r="G621" s="3" t="s">
        <v>91</v>
      </c>
      <c r="H621">
        <v>4.8</v>
      </c>
      <c r="I621">
        <v>36.67</v>
      </c>
      <c r="J621">
        <v>176.03</v>
      </c>
      <c r="K621" t="s">
        <v>36</v>
      </c>
      <c r="L621" t="b">
        <v>0</v>
      </c>
    </row>
    <row r="622" spans="1:13" ht="34" x14ac:dyDescent="0.2">
      <c r="A622" t="s">
        <v>990</v>
      </c>
      <c r="B622" t="s">
        <v>991</v>
      </c>
      <c r="C622" t="s">
        <v>153</v>
      </c>
      <c r="D622" s="1">
        <v>45558</v>
      </c>
      <c r="E622" s="6" t="s">
        <v>23</v>
      </c>
      <c r="F622" t="s">
        <v>61</v>
      </c>
      <c r="G622" s="3" t="s">
        <v>62</v>
      </c>
      <c r="H622">
        <v>5.2</v>
      </c>
      <c r="I622">
        <v>49.79</v>
      </c>
      <c r="J622">
        <v>258.89</v>
      </c>
      <c r="K622" t="s">
        <v>82</v>
      </c>
      <c r="L622" t="b">
        <v>0</v>
      </c>
    </row>
    <row r="623" spans="1:13" ht="68" x14ac:dyDescent="0.2">
      <c r="A623" t="s">
        <v>992</v>
      </c>
      <c r="B623" t="s">
        <v>539</v>
      </c>
      <c r="C623" t="s">
        <v>450</v>
      </c>
      <c r="D623" s="1">
        <v>45604</v>
      </c>
      <c r="E623" s="6" t="s">
        <v>89</v>
      </c>
      <c r="F623" t="s">
        <v>50</v>
      </c>
      <c r="G623" s="3" t="s">
        <v>51</v>
      </c>
      <c r="H623">
        <v>8</v>
      </c>
      <c r="I623">
        <v>45.56</v>
      </c>
      <c r="J623">
        <v>364.48</v>
      </c>
      <c r="K623" t="s">
        <v>82</v>
      </c>
      <c r="L623" t="b">
        <v>0</v>
      </c>
    </row>
    <row r="624" spans="1:13" ht="17" x14ac:dyDescent="0.2">
      <c r="A624" t="s">
        <v>993</v>
      </c>
      <c r="B624" t="s">
        <v>462</v>
      </c>
      <c r="C624" t="s">
        <v>211</v>
      </c>
      <c r="D624" s="1">
        <v>45092</v>
      </c>
      <c r="E624" s="6" t="s">
        <v>23</v>
      </c>
      <c r="F624" t="s">
        <v>17</v>
      </c>
      <c r="G624" s="3" t="s">
        <v>18</v>
      </c>
      <c r="H624">
        <v>2.9</v>
      </c>
      <c r="I624">
        <v>76.739999999999995</v>
      </c>
      <c r="J624">
        <v>222.56</v>
      </c>
      <c r="K624" t="s">
        <v>92</v>
      </c>
      <c r="L624" t="b">
        <v>0</v>
      </c>
    </row>
    <row r="625" spans="1:13" ht="34" x14ac:dyDescent="0.2">
      <c r="A625" t="s">
        <v>994</v>
      </c>
      <c r="B625" t="s">
        <v>493</v>
      </c>
      <c r="C625" t="s">
        <v>293</v>
      </c>
      <c r="D625" s="1">
        <v>45588</v>
      </c>
      <c r="E625" s="6" t="s">
        <v>23</v>
      </c>
      <c r="F625" t="s">
        <v>90</v>
      </c>
      <c r="G625" s="3" t="s">
        <v>91</v>
      </c>
      <c r="H625">
        <v>4.9000000000000004</v>
      </c>
      <c r="I625">
        <v>62.86</v>
      </c>
      <c r="J625">
        <v>308.02</v>
      </c>
      <c r="K625" t="s">
        <v>19</v>
      </c>
      <c r="L625" t="b">
        <v>0</v>
      </c>
    </row>
    <row r="626" spans="1:13" ht="34" x14ac:dyDescent="0.2">
      <c r="A626" t="s">
        <v>995</v>
      </c>
      <c r="B626" t="s">
        <v>38</v>
      </c>
      <c r="C626" t="s">
        <v>186</v>
      </c>
      <c r="D626" s="1">
        <v>45180</v>
      </c>
      <c r="E626" s="6" t="s">
        <v>78</v>
      </c>
      <c r="F626" t="s">
        <v>54</v>
      </c>
      <c r="G626" s="3" t="s">
        <v>55</v>
      </c>
      <c r="H626">
        <v>98.9</v>
      </c>
      <c r="I626">
        <v>25.28</v>
      </c>
      <c r="J626">
        <v>2500</v>
      </c>
      <c r="K626" t="s">
        <v>32</v>
      </c>
      <c r="L626" t="b">
        <v>1</v>
      </c>
      <c r="M626" s="3" t="s">
        <v>40</v>
      </c>
    </row>
    <row r="627" spans="1:13" ht="17" x14ac:dyDescent="0.2">
      <c r="A627" t="s">
        <v>996</v>
      </c>
      <c r="B627" t="s">
        <v>245</v>
      </c>
      <c r="C627" t="s">
        <v>350</v>
      </c>
      <c r="D627" s="1">
        <v>45359</v>
      </c>
      <c r="E627" s="6" t="s">
        <v>23</v>
      </c>
      <c r="F627" t="s">
        <v>30</v>
      </c>
      <c r="G627" s="3" t="s">
        <v>31</v>
      </c>
      <c r="H627">
        <v>21.9</v>
      </c>
      <c r="I627">
        <v>35.119999999999997</v>
      </c>
      <c r="J627">
        <v>769.13</v>
      </c>
      <c r="K627" t="s">
        <v>32</v>
      </c>
      <c r="L627" t="b">
        <v>1</v>
      </c>
      <c r="M627" s="3" t="s">
        <v>79</v>
      </c>
    </row>
    <row r="628" spans="1:13" ht="17" x14ac:dyDescent="0.2">
      <c r="A628" t="s">
        <v>997</v>
      </c>
      <c r="B628" t="s">
        <v>975</v>
      </c>
      <c r="C628" t="s">
        <v>175</v>
      </c>
      <c r="D628" s="1">
        <v>45195</v>
      </c>
      <c r="E628" s="6" t="s">
        <v>23</v>
      </c>
      <c r="F628" t="s">
        <v>17</v>
      </c>
      <c r="G628" s="3" t="s">
        <v>18</v>
      </c>
      <c r="H628">
        <v>6.7</v>
      </c>
      <c r="I628">
        <v>71.790000000000006</v>
      </c>
      <c r="J628">
        <v>480.96</v>
      </c>
      <c r="K628" t="s">
        <v>19</v>
      </c>
      <c r="L628" t="b">
        <v>0</v>
      </c>
    </row>
    <row r="629" spans="1:13" ht="34" x14ac:dyDescent="0.2">
      <c r="A629" t="s">
        <v>998</v>
      </c>
      <c r="B629" t="s">
        <v>683</v>
      </c>
      <c r="C629" t="s">
        <v>71</v>
      </c>
      <c r="D629" s="1">
        <v>45477</v>
      </c>
      <c r="E629" s="6" t="s">
        <v>60</v>
      </c>
      <c r="F629" t="s">
        <v>61</v>
      </c>
      <c r="G629" s="3" t="s">
        <v>62</v>
      </c>
      <c r="H629">
        <v>5.8</v>
      </c>
      <c r="I629">
        <v>49.2</v>
      </c>
      <c r="J629">
        <v>285.38</v>
      </c>
      <c r="K629" t="s">
        <v>96</v>
      </c>
      <c r="L629" t="b">
        <v>1</v>
      </c>
      <c r="M629" s="3" t="s">
        <v>102</v>
      </c>
    </row>
    <row r="630" spans="1:13" ht="34" x14ac:dyDescent="0.2">
      <c r="A630" t="s">
        <v>999</v>
      </c>
      <c r="B630" t="s">
        <v>345</v>
      </c>
      <c r="C630" t="s">
        <v>343</v>
      </c>
      <c r="D630" s="1">
        <v>45016</v>
      </c>
      <c r="E630" s="6" t="s">
        <v>16</v>
      </c>
      <c r="F630" t="s">
        <v>61</v>
      </c>
      <c r="G630" s="3" t="s">
        <v>62</v>
      </c>
      <c r="H630">
        <v>2</v>
      </c>
      <c r="I630">
        <v>57.03</v>
      </c>
      <c r="J630">
        <v>114.05</v>
      </c>
      <c r="K630" t="s">
        <v>19</v>
      </c>
      <c r="L630" t="b">
        <v>0</v>
      </c>
    </row>
    <row r="631" spans="1:13" ht="34" x14ac:dyDescent="0.2">
      <c r="A631" t="s">
        <v>1000</v>
      </c>
      <c r="B631" t="s">
        <v>527</v>
      </c>
      <c r="C631" t="s">
        <v>211</v>
      </c>
      <c r="D631" s="1">
        <v>45209</v>
      </c>
      <c r="E631" s="6" t="s">
        <v>89</v>
      </c>
      <c r="F631" t="s">
        <v>54</v>
      </c>
      <c r="G631" s="3" t="s">
        <v>55</v>
      </c>
      <c r="H631">
        <v>7.7</v>
      </c>
      <c r="I631">
        <v>78.52</v>
      </c>
      <c r="J631">
        <v>604.61</v>
      </c>
      <c r="K631" t="s">
        <v>82</v>
      </c>
      <c r="L631" t="b">
        <v>0</v>
      </c>
    </row>
    <row r="632" spans="1:13" ht="17" x14ac:dyDescent="0.2">
      <c r="A632" t="s">
        <v>1001</v>
      </c>
      <c r="B632" t="s">
        <v>218</v>
      </c>
      <c r="C632" t="s">
        <v>35</v>
      </c>
      <c r="D632" s="1">
        <v>45606</v>
      </c>
      <c r="E632" s="6" t="s">
        <v>16</v>
      </c>
      <c r="F632" t="s">
        <v>30</v>
      </c>
      <c r="G632" s="3" t="s">
        <v>31</v>
      </c>
      <c r="H632">
        <v>2.1</v>
      </c>
      <c r="I632">
        <v>25.25</v>
      </c>
      <c r="J632">
        <v>53.02</v>
      </c>
      <c r="K632" t="s">
        <v>19</v>
      </c>
      <c r="L632" t="b">
        <v>0</v>
      </c>
    </row>
    <row r="633" spans="1:13" ht="17" x14ac:dyDescent="0.2">
      <c r="A633" t="s">
        <v>1002</v>
      </c>
      <c r="B633" t="s">
        <v>721</v>
      </c>
      <c r="C633" t="s">
        <v>35</v>
      </c>
      <c r="D633" s="1">
        <v>45548</v>
      </c>
      <c r="E633" s="6" t="s">
        <v>78</v>
      </c>
      <c r="F633" t="s">
        <v>30</v>
      </c>
      <c r="G633" s="3" t="s">
        <v>31</v>
      </c>
      <c r="H633">
        <v>3.4</v>
      </c>
      <c r="I633">
        <v>77.62</v>
      </c>
      <c r="J633">
        <v>263.89999999999998</v>
      </c>
      <c r="K633" t="s">
        <v>32</v>
      </c>
      <c r="L633" t="b">
        <v>0</v>
      </c>
    </row>
    <row r="634" spans="1:13" ht="68" x14ac:dyDescent="0.2">
      <c r="A634" t="s">
        <v>1003</v>
      </c>
      <c r="B634" t="s">
        <v>238</v>
      </c>
      <c r="C634" t="s">
        <v>293</v>
      </c>
      <c r="D634" s="1">
        <v>45128</v>
      </c>
      <c r="E634" s="6" t="s">
        <v>78</v>
      </c>
      <c r="F634" t="s">
        <v>50</v>
      </c>
      <c r="G634" s="3" t="s">
        <v>51</v>
      </c>
      <c r="H634">
        <v>2.6</v>
      </c>
      <c r="I634">
        <v>55.2</v>
      </c>
      <c r="J634">
        <v>143.52000000000001</v>
      </c>
      <c r="K634" t="s">
        <v>105</v>
      </c>
      <c r="L634" t="b">
        <v>0</v>
      </c>
    </row>
    <row r="635" spans="1:13" ht="68" x14ac:dyDescent="0.2">
      <c r="A635" t="s">
        <v>1004</v>
      </c>
      <c r="B635" t="s">
        <v>216</v>
      </c>
      <c r="C635" t="s">
        <v>295</v>
      </c>
      <c r="D635" s="1">
        <v>45239</v>
      </c>
      <c r="E635" s="6" t="s">
        <v>78</v>
      </c>
      <c r="F635" t="s">
        <v>50</v>
      </c>
      <c r="G635" s="3" t="s">
        <v>51</v>
      </c>
      <c r="H635">
        <v>2.4</v>
      </c>
      <c r="I635">
        <v>27.74</v>
      </c>
      <c r="J635">
        <v>66.58</v>
      </c>
      <c r="K635" t="s">
        <v>92</v>
      </c>
      <c r="L635" t="b">
        <v>0</v>
      </c>
    </row>
    <row r="636" spans="1:13" ht="17" x14ac:dyDescent="0.2">
      <c r="A636" t="s">
        <v>1005</v>
      </c>
      <c r="B636" t="s">
        <v>711</v>
      </c>
      <c r="C636" t="s">
        <v>323</v>
      </c>
      <c r="D636" s="1">
        <v>45175</v>
      </c>
      <c r="E636" s="6" t="s">
        <v>78</v>
      </c>
      <c r="F636" t="s">
        <v>17</v>
      </c>
      <c r="G636" s="3" t="s">
        <v>18</v>
      </c>
      <c r="H636">
        <v>6.4</v>
      </c>
      <c r="I636">
        <v>60.78</v>
      </c>
      <c r="J636">
        <v>389.01</v>
      </c>
      <c r="K636" t="s">
        <v>113</v>
      </c>
      <c r="L636" t="b">
        <v>0</v>
      </c>
    </row>
    <row r="637" spans="1:13" ht="34" x14ac:dyDescent="0.2">
      <c r="A637" t="s">
        <v>1006</v>
      </c>
      <c r="B637" t="s">
        <v>895</v>
      </c>
      <c r="C637" t="s">
        <v>196</v>
      </c>
      <c r="D637" s="1">
        <v>45527</v>
      </c>
      <c r="E637" s="6" t="s">
        <v>78</v>
      </c>
      <c r="F637" t="s">
        <v>61</v>
      </c>
      <c r="G637" s="3" t="s">
        <v>62</v>
      </c>
      <c r="H637">
        <v>7.3</v>
      </c>
      <c r="I637">
        <v>84.73</v>
      </c>
      <c r="J637">
        <v>618.52</v>
      </c>
      <c r="K637" t="s">
        <v>92</v>
      </c>
      <c r="L637" t="b">
        <v>0</v>
      </c>
    </row>
    <row r="638" spans="1:13" ht="17" x14ac:dyDescent="0.2">
      <c r="A638" t="s">
        <v>1007</v>
      </c>
      <c r="B638" t="s">
        <v>1008</v>
      </c>
      <c r="C638" t="s">
        <v>211</v>
      </c>
      <c r="D638" s="1">
        <v>45302</v>
      </c>
      <c r="E638" s="6" t="s">
        <v>60</v>
      </c>
      <c r="F638" t="s">
        <v>17</v>
      </c>
      <c r="G638" s="3" t="s">
        <v>18</v>
      </c>
      <c r="H638">
        <v>4.2</v>
      </c>
      <c r="I638">
        <v>36.31</v>
      </c>
      <c r="J638">
        <v>152.47999999999999</v>
      </c>
      <c r="K638" t="s">
        <v>82</v>
      </c>
      <c r="L638" t="b">
        <v>0</v>
      </c>
    </row>
    <row r="639" spans="1:13" ht="34" x14ac:dyDescent="0.2">
      <c r="A639" t="s">
        <v>1009</v>
      </c>
      <c r="B639" t="s">
        <v>980</v>
      </c>
      <c r="C639" t="s">
        <v>256</v>
      </c>
      <c r="D639" s="1">
        <v>45491</v>
      </c>
      <c r="E639" s="6" t="s">
        <v>23</v>
      </c>
      <c r="F639" t="s">
        <v>24</v>
      </c>
      <c r="G639" s="3" t="s">
        <v>25</v>
      </c>
      <c r="H639">
        <v>3.4</v>
      </c>
      <c r="I639">
        <v>68.63</v>
      </c>
      <c r="J639">
        <v>233.34</v>
      </c>
      <c r="K639" t="s">
        <v>113</v>
      </c>
      <c r="L639" t="b">
        <v>0</v>
      </c>
    </row>
    <row r="640" spans="1:13" ht="17" x14ac:dyDescent="0.2">
      <c r="A640" t="s">
        <v>1010</v>
      </c>
      <c r="B640" t="s">
        <v>390</v>
      </c>
      <c r="C640" t="s">
        <v>85</v>
      </c>
      <c r="D640" s="1">
        <v>45625</v>
      </c>
      <c r="E640" s="6" t="s">
        <v>23</v>
      </c>
      <c r="F640" t="s">
        <v>30</v>
      </c>
      <c r="G640" s="3" t="s">
        <v>31</v>
      </c>
      <c r="H640">
        <v>6.4</v>
      </c>
      <c r="I640">
        <v>60.38</v>
      </c>
      <c r="J640">
        <v>386.44</v>
      </c>
      <c r="K640" t="s">
        <v>96</v>
      </c>
      <c r="L640" t="b">
        <v>0</v>
      </c>
    </row>
    <row r="641" spans="1:13" ht="34" x14ac:dyDescent="0.2">
      <c r="A641" t="s">
        <v>1011</v>
      </c>
      <c r="B641" t="s">
        <v>158</v>
      </c>
      <c r="C641" t="s">
        <v>207</v>
      </c>
      <c r="D641" s="1">
        <v>45043</v>
      </c>
      <c r="E641" s="6" t="s">
        <v>44</v>
      </c>
      <c r="F641" t="s">
        <v>90</v>
      </c>
      <c r="G641" s="3" t="s">
        <v>91</v>
      </c>
      <c r="H641">
        <v>4.2</v>
      </c>
      <c r="I641">
        <v>64.03</v>
      </c>
      <c r="J641">
        <v>268.94</v>
      </c>
      <c r="K641" t="s">
        <v>82</v>
      </c>
      <c r="L641" t="b">
        <v>0</v>
      </c>
    </row>
    <row r="642" spans="1:13" ht="34" x14ac:dyDescent="0.2">
      <c r="A642" t="s">
        <v>1012</v>
      </c>
      <c r="B642" t="s">
        <v>182</v>
      </c>
      <c r="C642" t="s">
        <v>88</v>
      </c>
      <c r="D642" s="1">
        <v>45044</v>
      </c>
      <c r="E642" s="6" t="s">
        <v>89</v>
      </c>
      <c r="F642" t="s">
        <v>61</v>
      </c>
      <c r="G642" s="3" t="s">
        <v>62</v>
      </c>
      <c r="H642">
        <v>18.399999999999999</v>
      </c>
      <c r="I642">
        <v>40.35</v>
      </c>
      <c r="J642">
        <v>742.44</v>
      </c>
      <c r="K642" t="s">
        <v>92</v>
      </c>
      <c r="L642" t="b">
        <v>1</v>
      </c>
      <c r="M642" s="3" t="s">
        <v>79</v>
      </c>
    </row>
    <row r="643" spans="1:13" ht="34" x14ac:dyDescent="0.2">
      <c r="A643" t="s">
        <v>1013</v>
      </c>
      <c r="B643" t="s">
        <v>649</v>
      </c>
      <c r="C643" t="s">
        <v>370</v>
      </c>
      <c r="D643" s="1">
        <v>45017</v>
      </c>
      <c r="E643" s="6" t="s">
        <v>44</v>
      </c>
      <c r="F643" t="s">
        <v>24</v>
      </c>
      <c r="G643" s="3" t="s">
        <v>25</v>
      </c>
      <c r="H643">
        <v>5.6</v>
      </c>
      <c r="I643">
        <v>27.88</v>
      </c>
      <c r="J643">
        <v>156.11000000000001</v>
      </c>
      <c r="K643" t="s">
        <v>26</v>
      </c>
      <c r="L643" t="b">
        <v>0</v>
      </c>
    </row>
    <row r="644" spans="1:13" ht="34" x14ac:dyDescent="0.2">
      <c r="A644" t="s">
        <v>1014</v>
      </c>
      <c r="B644" t="s">
        <v>331</v>
      </c>
      <c r="C644" t="s">
        <v>353</v>
      </c>
      <c r="D644" s="1">
        <v>45271</v>
      </c>
      <c r="E644" s="6" t="s">
        <v>60</v>
      </c>
      <c r="F644" t="s">
        <v>24</v>
      </c>
      <c r="G644" s="3" t="s">
        <v>25</v>
      </c>
      <c r="H644">
        <v>2.2999999999999998</v>
      </c>
      <c r="I644">
        <v>31.95</v>
      </c>
      <c r="J644">
        <v>73.48</v>
      </c>
      <c r="K644" t="s">
        <v>19</v>
      </c>
      <c r="L644" t="b">
        <v>0</v>
      </c>
    </row>
    <row r="645" spans="1:13" ht="34" x14ac:dyDescent="0.2">
      <c r="A645" t="s">
        <v>1015</v>
      </c>
      <c r="B645" t="s">
        <v>290</v>
      </c>
      <c r="C645" t="s">
        <v>39</v>
      </c>
      <c r="D645" s="1">
        <v>44962</v>
      </c>
      <c r="E645" s="6" t="s">
        <v>16</v>
      </c>
      <c r="F645" t="s">
        <v>61</v>
      </c>
      <c r="G645" s="3" t="s">
        <v>62</v>
      </c>
      <c r="H645">
        <v>2.7</v>
      </c>
      <c r="I645">
        <v>40.159999999999997</v>
      </c>
      <c r="J645">
        <v>108.44</v>
      </c>
      <c r="K645" t="s">
        <v>92</v>
      </c>
      <c r="L645" t="b">
        <v>0</v>
      </c>
    </row>
    <row r="646" spans="1:13" ht="68" x14ac:dyDescent="0.2">
      <c r="A646" t="s">
        <v>1016</v>
      </c>
      <c r="B646" t="s">
        <v>182</v>
      </c>
      <c r="C646" t="s">
        <v>499</v>
      </c>
      <c r="D646" s="1">
        <v>45609</v>
      </c>
      <c r="E646" s="6" t="s">
        <v>44</v>
      </c>
      <c r="F646" t="s">
        <v>50</v>
      </c>
      <c r="G646" s="3" t="s">
        <v>51</v>
      </c>
      <c r="H646">
        <v>3.2</v>
      </c>
      <c r="I646">
        <v>66.14</v>
      </c>
      <c r="J646">
        <v>211.66</v>
      </c>
      <c r="K646" t="s">
        <v>92</v>
      </c>
      <c r="L646" t="b">
        <v>0</v>
      </c>
    </row>
    <row r="647" spans="1:13" ht="34" x14ac:dyDescent="0.2">
      <c r="A647" t="s">
        <v>1017</v>
      </c>
      <c r="B647" t="s">
        <v>77</v>
      </c>
      <c r="C647" t="s">
        <v>196</v>
      </c>
      <c r="D647" s="1">
        <v>45136</v>
      </c>
      <c r="E647" s="6" t="s">
        <v>89</v>
      </c>
      <c r="F647" t="s">
        <v>45</v>
      </c>
      <c r="G647" s="3" t="s">
        <v>46</v>
      </c>
      <c r="H647">
        <v>4.5</v>
      </c>
      <c r="I647">
        <v>31.06</v>
      </c>
      <c r="J647">
        <v>139.76</v>
      </c>
      <c r="K647" t="s">
        <v>26</v>
      </c>
      <c r="L647" t="b">
        <v>0</v>
      </c>
    </row>
    <row r="648" spans="1:13" ht="34" x14ac:dyDescent="0.2">
      <c r="A648" t="s">
        <v>1018</v>
      </c>
      <c r="B648" t="s">
        <v>241</v>
      </c>
      <c r="C648" t="s">
        <v>71</v>
      </c>
      <c r="D648" s="1">
        <v>45269</v>
      </c>
      <c r="E648" s="6" t="s">
        <v>60</v>
      </c>
      <c r="F648" t="s">
        <v>45</v>
      </c>
      <c r="G648" s="3" t="s">
        <v>46</v>
      </c>
      <c r="H648">
        <v>5.7</v>
      </c>
      <c r="I648">
        <v>67.040000000000006</v>
      </c>
      <c r="J648">
        <v>382.15</v>
      </c>
      <c r="K648" t="s">
        <v>105</v>
      </c>
      <c r="L648" t="b">
        <v>0</v>
      </c>
    </row>
    <row r="649" spans="1:13" ht="34" x14ac:dyDescent="0.2">
      <c r="A649" t="s">
        <v>1019</v>
      </c>
      <c r="B649" t="s">
        <v>624</v>
      </c>
      <c r="C649" t="s">
        <v>175</v>
      </c>
      <c r="D649" s="1">
        <v>45191</v>
      </c>
      <c r="E649" s="6" t="s">
        <v>78</v>
      </c>
      <c r="F649" t="s">
        <v>90</v>
      </c>
      <c r="G649" s="3" t="s">
        <v>91</v>
      </c>
      <c r="H649">
        <v>5.0999999999999996</v>
      </c>
      <c r="I649">
        <v>62.06</v>
      </c>
      <c r="J649">
        <v>316.52</v>
      </c>
      <c r="K649" t="s">
        <v>19</v>
      </c>
      <c r="L649" t="b">
        <v>1</v>
      </c>
      <c r="M649" s="3" t="s">
        <v>102</v>
      </c>
    </row>
    <row r="650" spans="1:13" ht="34" x14ac:dyDescent="0.2">
      <c r="A650" t="s">
        <v>1020</v>
      </c>
      <c r="B650" t="s">
        <v>250</v>
      </c>
      <c r="C650" t="s">
        <v>191</v>
      </c>
      <c r="D650" s="1">
        <v>45413</v>
      </c>
      <c r="E650" s="6" t="s">
        <v>89</v>
      </c>
      <c r="F650" t="s">
        <v>90</v>
      </c>
      <c r="G650" s="3" t="s">
        <v>91</v>
      </c>
      <c r="H650">
        <v>6.7</v>
      </c>
      <c r="I650">
        <v>54.86</v>
      </c>
      <c r="J650">
        <v>367.59</v>
      </c>
      <c r="K650" t="s">
        <v>96</v>
      </c>
      <c r="L650" t="b">
        <v>0</v>
      </c>
    </row>
    <row r="651" spans="1:13" ht="17" x14ac:dyDescent="0.2">
      <c r="A651" t="s">
        <v>1021</v>
      </c>
      <c r="B651" t="s">
        <v>115</v>
      </c>
      <c r="C651" t="s">
        <v>207</v>
      </c>
      <c r="D651" s="1">
        <v>45181</v>
      </c>
      <c r="E651" s="6" t="s">
        <v>23</v>
      </c>
      <c r="F651" t="s">
        <v>30</v>
      </c>
      <c r="G651" s="3" t="s">
        <v>31</v>
      </c>
      <c r="H651">
        <v>6.7</v>
      </c>
      <c r="I651">
        <v>74.89</v>
      </c>
      <c r="J651">
        <v>501.76</v>
      </c>
      <c r="K651" t="s">
        <v>26</v>
      </c>
      <c r="L651" t="b">
        <v>0</v>
      </c>
    </row>
    <row r="652" spans="1:13" ht="34" x14ac:dyDescent="0.2">
      <c r="A652" t="s">
        <v>1022</v>
      </c>
      <c r="B652" t="s">
        <v>263</v>
      </c>
      <c r="C652" t="s">
        <v>450</v>
      </c>
      <c r="D652" s="1">
        <v>45035</v>
      </c>
      <c r="E652" s="6" t="s">
        <v>44</v>
      </c>
      <c r="F652" t="s">
        <v>54</v>
      </c>
      <c r="G652" s="3" t="s">
        <v>55</v>
      </c>
      <c r="H652">
        <v>6.2</v>
      </c>
      <c r="I652">
        <v>42.72</v>
      </c>
      <c r="J652">
        <v>264.87</v>
      </c>
      <c r="K652" t="s">
        <v>92</v>
      </c>
      <c r="L652" t="b">
        <v>0</v>
      </c>
    </row>
    <row r="653" spans="1:13" ht="34" x14ac:dyDescent="0.2">
      <c r="A653" t="s">
        <v>1023</v>
      </c>
      <c r="B653" t="s">
        <v>1024</v>
      </c>
      <c r="C653" t="s">
        <v>332</v>
      </c>
      <c r="D653" s="1">
        <v>42708</v>
      </c>
      <c r="E653" s="6" t="s">
        <v>60</v>
      </c>
      <c r="F653" t="s">
        <v>17</v>
      </c>
      <c r="G653" s="3" t="s">
        <v>18</v>
      </c>
      <c r="H653">
        <v>7.5</v>
      </c>
      <c r="I653">
        <v>66.290000000000006</v>
      </c>
      <c r="J653">
        <v>497.19</v>
      </c>
      <c r="K653" t="s">
        <v>19</v>
      </c>
      <c r="L653" t="b">
        <v>1</v>
      </c>
      <c r="M653" s="3" t="s">
        <v>99</v>
      </c>
    </row>
    <row r="654" spans="1:13" ht="34" x14ac:dyDescent="0.2">
      <c r="A654" t="s">
        <v>1025</v>
      </c>
      <c r="B654" t="s">
        <v>424</v>
      </c>
      <c r="C654" t="s">
        <v>138</v>
      </c>
      <c r="D654" s="1">
        <v>45606</v>
      </c>
      <c r="E654" s="6" t="s">
        <v>44</v>
      </c>
      <c r="F654" t="s">
        <v>54</v>
      </c>
      <c r="G654" s="3" t="s">
        <v>55</v>
      </c>
      <c r="H654">
        <v>3.4</v>
      </c>
      <c r="I654">
        <v>25.76</v>
      </c>
      <c r="J654">
        <v>87.6</v>
      </c>
      <c r="K654" t="s">
        <v>32</v>
      </c>
      <c r="L654" t="b">
        <v>0</v>
      </c>
    </row>
    <row r="655" spans="1:13" ht="34" x14ac:dyDescent="0.2">
      <c r="A655" t="s">
        <v>1026</v>
      </c>
      <c r="B655" t="s">
        <v>792</v>
      </c>
      <c r="C655" t="s">
        <v>207</v>
      </c>
      <c r="D655" s="1">
        <v>45225</v>
      </c>
      <c r="E655" s="6" t="s">
        <v>23</v>
      </c>
      <c r="F655" t="s">
        <v>90</v>
      </c>
      <c r="G655" s="3" t="s">
        <v>91</v>
      </c>
      <c r="H655">
        <v>7</v>
      </c>
      <c r="I655">
        <v>65.14</v>
      </c>
      <c r="J655">
        <v>455.99</v>
      </c>
      <c r="K655" t="s">
        <v>82</v>
      </c>
      <c r="L655" t="b">
        <v>0</v>
      </c>
    </row>
    <row r="656" spans="1:13" ht="34" x14ac:dyDescent="0.2">
      <c r="A656" t="s">
        <v>1027</v>
      </c>
      <c r="B656" t="s">
        <v>1028</v>
      </c>
      <c r="C656" t="s">
        <v>350</v>
      </c>
      <c r="D656" s="1">
        <v>45359</v>
      </c>
      <c r="E656" s="6" t="s">
        <v>16</v>
      </c>
      <c r="F656" t="s">
        <v>90</v>
      </c>
      <c r="G656" s="3" t="s">
        <v>91</v>
      </c>
      <c r="H656">
        <v>6.7</v>
      </c>
      <c r="I656">
        <v>29.5</v>
      </c>
      <c r="J656">
        <v>197.67</v>
      </c>
      <c r="K656" t="s">
        <v>36</v>
      </c>
      <c r="L656" t="b">
        <v>0</v>
      </c>
    </row>
    <row r="657" spans="1:12" ht="34" x14ac:dyDescent="0.2">
      <c r="A657" t="s">
        <v>1029</v>
      </c>
      <c r="B657" t="s">
        <v>711</v>
      </c>
      <c r="C657" t="s">
        <v>119</v>
      </c>
      <c r="D657" s="1">
        <v>45354</v>
      </c>
      <c r="E657" s="6" t="s">
        <v>60</v>
      </c>
      <c r="F657" t="s">
        <v>90</v>
      </c>
      <c r="G657" s="3" t="s">
        <v>91</v>
      </c>
      <c r="H657">
        <v>7.4</v>
      </c>
      <c r="I657">
        <v>63.66</v>
      </c>
      <c r="J657">
        <v>471.09</v>
      </c>
      <c r="K657" t="s">
        <v>113</v>
      </c>
      <c r="L657" t="b">
        <v>0</v>
      </c>
    </row>
    <row r="658" spans="1:12" ht="34" x14ac:dyDescent="0.2">
      <c r="A658" t="s">
        <v>1030</v>
      </c>
      <c r="B658" t="s">
        <v>635</v>
      </c>
      <c r="C658" t="s">
        <v>161</v>
      </c>
      <c r="D658" s="1">
        <v>45583</v>
      </c>
      <c r="E658" s="6" t="s">
        <v>23</v>
      </c>
      <c r="F658" t="s">
        <v>45</v>
      </c>
      <c r="G658" s="3" t="s">
        <v>46</v>
      </c>
      <c r="H658">
        <v>3.6</v>
      </c>
      <c r="I658">
        <v>28</v>
      </c>
      <c r="J658">
        <v>100.82</v>
      </c>
      <c r="K658" t="s">
        <v>56</v>
      </c>
      <c r="L658" t="b">
        <v>0</v>
      </c>
    </row>
    <row r="659" spans="1:12" ht="34" x14ac:dyDescent="0.2">
      <c r="A659" t="s">
        <v>1031</v>
      </c>
      <c r="B659" t="s">
        <v>884</v>
      </c>
      <c r="C659" t="s">
        <v>124</v>
      </c>
      <c r="D659" s="1">
        <v>45331</v>
      </c>
      <c r="E659" s="6" t="s">
        <v>16</v>
      </c>
      <c r="F659" t="s">
        <v>24</v>
      </c>
      <c r="G659" s="3" t="s">
        <v>25</v>
      </c>
      <c r="H659">
        <v>7.1</v>
      </c>
      <c r="I659">
        <v>46.61</v>
      </c>
      <c r="J659">
        <v>330.95</v>
      </c>
      <c r="K659" t="s">
        <v>96</v>
      </c>
      <c r="L659" t="b">
        <v>0</v>
      </c>
    </row>
    <row r="660" spans="1:12" ht="34" x14ac:dyDescent="0.2">
      <c r="A660" t="s">
        <v>1032</v>
      </c>
      <c r="B660" t="s">
        <v>484</v>
      </c>
      <c r="C660" t="s">
        <v>133</v>
      </c>
      <c r="D660" s="1">
        <v>45481</v>
      </c>
      <c r="E660" s="6" t="s">
        <v>44</v>
      </c>
      <c r="F660" t="s">
        <v>54</v>
      </c>
      <c r="G660" s="3" t="s">
        <v>55</v>
      </c>
      <c r="H660">
        <v>4.5999999999999996</v>
      </c>
      <c r="I660">
        <v>31.95</v>
      </c>
      <c r="J660">
        <v>146.99</v>
      </c>
      <c r="K660" t="s">
        <v>26</v>
      </c>
      <c r="L660" t="b">
        <v>0</v>
      </c>
    </row>
    <row r="661" spans="1:12" ht="34" x14ac:dyDescent="0.2">
      <c r="A661" t="s">
        <v>1033</v>
      </c>
      <c r="B661" t="s">
        <v>245</v>
      </c>
      <c r="C661" t="s">
        <v>110</v>
      </c>
      <c r="D661" s="1">
        <v>45076</v>
      </c>
      <c r="E661" s="6" t="s">
        <v>23</v>
      </c>
      <c r="F661" t="s">
        <v>24</v>
      </c>
      <c r="G661" s="3" t="s">
        <v>25</v>
      </c>
      <c r="H661">
        <v>7.1</v>
      </c>
      <c r="I661">
        <v>64.8</v>
      </c>
      <c r="J661">
        <v>460.09</v>
      </c>
      <c r="K661" t="s">
        <v>32</v>
      </c>
      <c r="L661" t="b">
        <v>0</v>
      </c>
    </row>
    <row r="662" spans="1:12" ht="34" x14ac:dyDescent="0.2">
      <c r="A662" t="s">
        <v>1034</v>
      </c>
      <c r="B662" t="s">
        <v>118</v>
      </c>
      <c r="C662" t="s">
        <v>122</v>
      </c>
      <c r="D662" s="1">
        <v>45140</v>
      </c>
      <c r="E662" s="6" t="s">
        <v>89</v>
      </c>
      <c r="F662" t="s">
        <v>54</v>
      </c>
      <c r="G662" s="3" t="s">
        <v>55</v>
      </c>
      <c r="H662">
        <v>4.0999999999999996</v>
      </c>
      <c r="I662">
        <v>51.26</v>
      </c>
      <c r="J662">
        <v>210.18</v>
      </c>
      <c r="K662" t="s">
        <v>26</v>
      </c>
      <c r="L662" t="b">
        <v>0</v>
      </c>
    </row>
    <row r="663" spans="1:12" ht="34" x14ac:dyDescent="0.2">
      <c r="A663" t="s">
        <v>1035</v>
      </c>
      <c r="B663" t="s">
        <v>534</v>
      </c>
      <c r="C663" t="s">
        <v>59</v>
      </c>
      <c r="D663" s="1">
        <v>44956</v>
      </c>
      <c r="E663" s="6" t="s">
        <v>78</v>
      </c>
      <c r="F663" t="s">
        <v>45</v>
      </c>
      <c r="G663" s="3" t="s">
        <v>46</v>
      </c>
      <c r="H663">
        <v>7.3</v>
      </c>
      <c r="I663">
        <v>30.58</v>
      </c>
      <c r="J663">
        <v>223.21</v>
      </c>
      <c r="K663" t="s">
        <v>32</v>
      </c>
      <c r="L663" t="b">
        <v>0</v>
      </c>
    </row>
    <row r="664" spans="1:12" ht="68" x14ac:dyDescent="0.2">
      <c r="A664" t="s">
        <v>1036</v>
      </c>
      <c r="B664" t="s">
        <v>214</v>
      </c>
      <c r="C664" t="s">
        <v>95</v>
      </c>
      <c r="D664" s="1">
        <v>45487</v>
      </c>
      <c r="E664" s="6" t="s">
        <v>60</v>
      </c>
      <c r="F664" t="s">
        <v>50</v>
      </c>
      <c r="G664" s="3" t="s">
        <v>51</v>
      </c>
      <c r="H664">
        <v>2.7</v>
      </c>
      <c r="I664">
        <v>49.02</v>
      </c>
      <c r="J664">
        <v>132.34</v>
      </c>
      <c r="K664" t="s">
        <v>96</v>
      </c>
      <c r="L664" t="b">
        <v>0</v>
      </c>
    </row>
    <row r="665" spans="1:12" ht="34" x14ac:dyDescent="0.2">
      <c r="A665" t="s">
        <v>1037</v>
      </c>
      <c r="B665" t="s">
        <v>101</v>
      </c>
      <c r="C665" t="s">
        <v>189</v>
      </c>
      <c r="D665" s="1">
        <v>45313</v>
      </c>
      <c r="E665" s="6" t="s">
        <v>60</v>
      </c>
      <c r="F665" t="s">
        <v>45</v>
      </c>
      <c r="G665" s="3" t="s">
        <v>46</v>
      </c>
      <c r="H665">
        <v>7</v>
      </c>
      <c r="I665">
        <v>66.39</v>
      </c>
      <c r="J665">
        <v>464.76</v>
      </c>
      <c r="K665" t="s">
        <v>36</v>
      </c>
      <c r="L665" t="b">
        <v>0</v>
      </c>
    </row>
    <row r="666" spans="1:12" ht="34" x14ac:dyDescent="0.2">
      <c r="A666" t="s">
        <v>1038</v>
      </c>
      <c r="B666" t="s">
        <v>364</v>
      </c>
      <c r="C666" t="s">
        <v>49</v>
      </c>
      <c r="D666" s="1">
        <v>45255</v>
      </c>
      <c r="E666" s="6" t="s">
        <v>44</v>
      </c>
      <c r="F666" t="s">
        <v>61</v>
      </c>
      <c r="G666" s="3" t="s">
        <v>62</v>
      </c>
      <c r="H666">
        <v>5.9</v>
      </c>
      <c r="I666">
        <v>72.81</v>
      </c>
      <c r="J666">
        <v>429.61</v>
      </c>
      <c r="K666" t="s">
        <v>96</v>
      </c>
      <c r="L666" t="b">
        <v>0</v>
      </c>
    </row>
    <row r="667" spans="1:12" ht="68" x14ac:dyDescent="0.2">
      <c r="A667" t="s">
        <v>1039</v>
      </c>
      <c r="B667" t="s">
        <v>556</v>
      </c>
      <c r="C667" t="s">
        <v>95</v>
      </c>
      <c r="D667" s="1">
        <v>45192</v>
      </c>
      <c r="E667" s="6" t="s">
        <v>23</v>
      </c>
      <c r="F667" t="s">
        <v>50</v>
      </c>
      <c r="G667" s="3" t="s">
        <v>51</v>
      </c>
      <c r="H667">
        <v>6.2</v>
      </c>
      <c r="I667">
        <v>28.52</v>
      </c>
      <c r="J667">
        <v>176.82</v>
      </c>
      <c r="K667" t="s">
        <v>56</v>
      </c>
      <c r="L667" t="b">
        <v>0</v>
      </c>
    </row>
    <row r="668" spans="1:12" ht="34" x14ac:dyDescent="0.2">
      <c r="A668" t="s">
        <v>1040</v>
      </c>
      <c r="B668" t="s">
        <v>286</v>
      </c>
      <c r="C668" t="s">
        <v>191</v>
      </c>
      <c r="D668" s="1">
        <v>45350</v>
      </c>
      <c r="E668" s="6" t="s">
        <v>89</v>
      </c>
      <c r="F668" t="s">
        <v>90</v>
      </c>
      <c r="G668" s="3" t="s">
        <v>91</v>
      </c>
      <c r="H668">
        <v>4.5</v>
      </c>
      <c r="I668">
        <v>60.45</v>
      </c>
      <c r="J668">
        <v>272</v>
      </c>
      <c r="K668" t="s">
        <v>19</v>
      </c>
      <c r="L668" t="b">
        <v>0</v>
      </c>
    </row>
    <row r="669" spans="1:12" ht="17" x14ac:dyDescent="0.2">
      <c r="A669" t="s">
        <v>1041</v>
      </c>
      <c r="B669" t="s">
        <v>329</v>
      </c>
      <c r="C669" t="s">
        <v>293</v>
      </c>
      <c r="D669" s="1">
        <v>45440</v>
      </c>
      <c r="E669" s="6" t="s">
        <v>78</v>
      </c>
      <c r="F669" t="s">
        <v>17</v>
      </c>
      <c r="G669" s="3" t="s">
        <v>18</v>
      </c>
      <c r="H669">
        <v>3.1</v>
      </c>
      <c r="I669">
        <v>47.79</v>
      </c>
      <c r="J669">
        <v>148.13</v>
      </c>
      <c r="K669" t="s">
        <v>26</v>
      </c>
      <c r="L669" t="b">
        <v>0</v>
      </c>
    </row>
    <row r="670" spans="1:12" ht="34" x14ac:dyDescent="0.2">
      <c r="A670" t="s">
        <v>1042</v>
      </c>
      <c r="B670" t="s">
        <v>369</v>
      </c>
      <c r="C670" t="s">
        <v>280</v>
      </c>
      <c r="D670" s="1">
        <v>45141</v>
      </c>
      <c r="E670" s="6" t="s">
        <v>16</v>
      </c>
      <c r="F670" t="s">
        <v>24</v>
      </c>
      <c r="G670" s="3" t="s">
        <v>25</v>
      </c>
      <c r="H670">
        <v>7.2</v>
      </c>
      <c r="I670">
        <v>77.8</v>
      </c>
      <c r="J670">
        <v>560.14</v>
      </c>
      <c r="K670" t="s">
        <v>82</v>
      </c>
      <c r="L670" t="b">
        <v>0</v>
      </c>
    </row>
    <row r="671" spans="1:12" ht="68" x14ac:dyDescent="0.2">
      <c r="A671" t="s">
        <v>1043</v>
      </c>
      <c r="B671" t="s">
        <v>140</v>
      </c>
      <c r="C671" t="s">
        <v>68</v>
      </c>
      <c r="D671" s="1">
        <v>45093</v>
      </c>
      <c r="E671" s="6" t="s">
        <v>60</v>
      </c>
      <c r="F671" t="s">
        <v>50</v>
      </c>
      <c r="G671" s="3" t="s">
        <v>51</v>
      </c>
      <c r="H671">
        <v>4.9000000000000004</v>
      </c>
      <c r="I671">
        <v>54.29</v>
      </c>
      <c r="J671">
        <v>266.01</v>
      </c>
      <c r="K671" t="s">
        <v>36</v>
      </c>
      <c r="L671" t="b">
        <v>0</v>
      </c>
    </row>
    <row r="672" spans="1:12" ht="17" x14ac:dyDescent="0.2">
      <c r="A672" t="s">
        <v>1044</v>
      </c>
      <c r="B672" t="s">
        <v>250</v>
      </c>
      <c r="C672" t="s">
        <v>196</v>
      </c>
      <c r="D672" s="1">
        <v>45616</v>
      </c>
      <c r="E672" s="6" t="s">
        <v>78</v>
      </c>
      <c r="F672" t="s">
        <v>17</v>
      </c>
      <c r="G672" s="3" t="s">
        <v>18</v>
      </c>
      <c r="H672">
        <v>2.2999999999999998</v>
      </c>
      <c r="I672">
        <v>40.700000000000003</v>
      </c>
      <c r="J672">
        <v>93.6</v>
      </c>
      <c r="K672" t="s">
        <v>96</v>
      </c>
      <c r="L672" t="b">
        <v>0</v>
      </c>
    </row>
    <row r="673" spans="1:13" ht="34" x14ac:dyDescent="0.2">
      <c r="A673" t="s">
        <v>1045</v>
      </c>
      <c r="B673" t="s">
        <v>1024</v>
      </c>
      <c r="C673" t="s">
        <v>196</v>
      </c>
      <c r="D673" s="1">
        <v>45445</v>
      </c>
      <c r="E673" s="6" t="s">
        <v>16</v>
      </c>
      <c r="F673" t="s">
        <v>24</v>
      </c>
      <c r="G673" s="3" t="s">
        <v>25</v>
      </c>
      <c r="H673">
        <v>6.2</v>
      </c>
      <c r="I673">
        <v>65.680000000000007</v>
      </c>
      <c r="J673">
        <v>407.19</v>
      </c>
      <c r="K673" t="s">
        <v>113</v>
      </c>
      <c r="L673" t="b">
        <v>0</v>
      </c>
    </row>
    <row r="674" spans="1:13" ht="34" x14ac:dyDescent="0.2">
      <c r="A674" t="s">
        <v>1046</v>
      </c>
      <c r="B674" t="s">
        <v>502</v>
      </c>
      <c r="C674" t="s">
        <v>172</v>
      </c>
      <c r="D674" s="1">
        <v>45113</v>
      </c>
      <c r="E674" s="6" t="s">
        <v>78</v>
      </c>
      <c r="F674" t="s">
        <v>30</v>
      </c>
      <c r="G674" s="3" t="s">
        <v>31</v>
      </c>
      <c r="H674">
        <v>11.5</v>
      </c>
      <c r="I674">
        <v>65.19</v>
      </c>
      <c r="J674">
        <v>750</v>
      </c>
      <c r="K674" t="s">
        <v>96</v>
      </c>
      <c r="L674" t="b">
        <v>1</v>
      </c>
      <c r="M674" s="3" t="s">
        <v>40</v>
      </c>
    </row>
    <row r="675" spans="1:13" ht="34" x14ac:dyDescent="0.2">
      <c r="A675" t="s">
        <v>1047</v>
      </c>
      <c r="B675" t="s">
        <v>835</v>
      </c>
      <c r="C675" t="s">
        <v>138</v>
      </c>
      <c r="D675" s="1">
        <v>45546</v>
      </c>
      <c r="E675" s="6" t="s">
        <v>60</v>
      </c>
      <c r="F675" t="s">
        <v>90</v>
      </c>
      <c r="G675" s="3" t="s">
        <v>91</v>
      </c>
      <c r="H675">
        <v>4.5999999999999996</v>
      </c>
      <c r="I675">
        <v>68.599999999999994</v>
      </c>
      <c r="J675">
        <v>315.56</v>
      </c>
      <c r="K675" t="s">
        <v>26</v>
      </c>
      <c r="L675" t="b">
        <v>0</v>
      </c>
    </row>
    <row r="676" spans="1:13" ht="34" x14ac:dyDescent="0.2">
      <c r="A676" t="s">
        <v>1048</v>
      </c>
      <c r="B676" t="s">
        <v>613</v>
      </c>
      <c r="C676" t="s">
        <v>85</v>
      </c>
      <c r="D676" s="1">
        <v>44941</v>
      </c>
      <c r="E676" s="6" t="s">
        <v>23</v>
      </c>
      <c r="F676" t="s">
        <v>54</v>
      </c>
      <c r="G676" s="3" t="s">
        <v>55</v>
      </c>
      <c r="H676">
        <v>6</v>
      </c>
      <c r="I676">
        <v>63.48</v>
      </c>
      <c r="J676">
        <v>380.91</v>
      </c>
      <c r="K676" t="s">
        <v>26</v>
      </c>
      <c r="L676" t="b">
        <v>1</v>
      </c>
      <c r="M676" s="3" t="s">
        <v>102</v>
      </c>
    </row>
    <row r="677" spans="1:13" ht="34" x14ac:dyDescent="0.2">
      <c r="A677" t="s">
        <v>1049</v>
      </c>
      <c r="B677" t="s">
        <v>703</v>
      </c>
      <c r="C677" t="s">
        <v>450</v>
      </c>
      <c r="D677" s="1">
        <v>45096</v>
      </c>
      <c r="E677" s="6" t="s">
        <v>89</v>
      </c>
      <c r="F677" t="s">
        <v>24</v>
      </c>
      <c r="G677" s="3" t="s">
        <v>25</v>
      </c>
      <c r="H677">
        <v>2.1</v>
      </c>
      <c r="I677">
        <v>81.06</v>
      </c>
      <c r="J677">
        <v>170.23</v>
      </c>
      <c r="K677" t="s">
        <v>92</v>
      </c>
      <c r="L677" t="b">
        <v>0</v>
      </c>
    </row>
    <row r="678" spans="1:13" ht="17" x14ac:dyDescent="0.2">
      <c r="A678" t="s">
        <v>1050</v>
      </c>
      <c r="B678" t="s">
        <v>1051</v>
      </c>
      <c r="C678" t="s">
        <v>194</v>
      </c>
      <c r="D678" s="1">
        <v>45061</v>
      </c>
      <c r="E678" s="6" t="s">
        <v>44</v>
      </c>
      <c r="F678" t="s">
        <v>17</v>
      </c>
      <c r="G678" s="3" t="s">
        <v>18</v>
      </c>
      <c r="H678">
        <v>7.1</v>
      </c>
      <c r="I678">
        <v>77.16</v>
      </c>
      <c r="J678">
        <v>547.87</v>
      </c>
      <c r="K678" t="s">
        <v>56</v>
      </c>
      <c r="L678" t="b">
        <v>0</v>
      </c>
    </row>
    <row r="679" spans="1:13" ht="17" x14ac:dyDescent="0.2">
      <c r="A679" t="s">
        <v>1052</v>
      </c>
      <c r="B679" t="s">
        <v>452</v>
      </c>
      <c r="C679" t="s">
        <v>145</v>
      </c>
      <c r="D679" s="1">
        <v>45425</v>
      </c>
      <c r="E679" s="6" t="s">
        <v>78</v>
      </c>
      <c r="F679" t="s">
        <v>17</v>
      </c>
      <c r="G679" s="3" t="s">
        <v>18</v>
      </c>
      <c r="H679">
        <v>3.9</v>
      </c>
      <c r="I679">
        <v>44.85</v>
      </c>
      <c r="J679">
        <v>174.93</v>
      </c>
      <c r="K679" t="s">
        <v>82</v>
      </c>
      <c r="L679" t="b">
        <v>0</v>
      </c>
    </row>
    <row r="680" spans="1:13" ht="34" x14ac:dyDescent="0.2">
      <c r="A680" t="s">
        <v>1053</v>
      </c>
      <c r="B680" t="s">
        <v>147</v>
      </c>
      <c r="C680" t="s">
        <v>116</v>
      </c>
      <c r="D680" s="1">
        <v>45386</v>
      </c>
      <c r="E680" s="6" t="s">
        <v>60</v>
      </c>
      <c r="F680" t="s">
        <v>24</v>
      </c>
      <c r="G680" s="3" t="s">
        <v>25</v>
      </c>
      <c r="H680">
        <v>5</v>
      </c>
      <c r="I680">
        <v>58.03</v>
      </c>
      <c r="J680">
        <v>290.14999999999998</v>
      </c>
      <c r="K680" t="s">
        <v>32</v>
      </c>
      <c r="L680" t="b">
        <v>0</v>
      </c>
    </row>
    <row r="681" spans="1:13" ht="34" x14ac:dyDescent="0.2">
      <c r="A681" t="s">
        <v>1054</v>
      </c>
      <c r="B681" t="s">
        <v>406</v>
      </c>
      <c r="C681" t="s">
        <v>183</v>
      </c>
      <c r="D681" s="1">
        <v>45250</v>
      </c>
      <c r="E681" s="6" t="s">
        <v>60</v>
      </c>
      <c r="F681" t="s">
        <v>61</v>
      </c>
      <c r="G681" s="3" t="s">
        <v>62</v>
      </c>
      <c r="H681">
        <v>6.9</v>
      </c>
      <c r="I681">
        <v>29.73</v>
      </c>
      <c r="J681">
        <v>205.14</v>
      </c>
      <c r="K681" t="s">
        <v>82</v>
      </c>
      <c r="L681" t="b">
        <v>0</v>
      </c>
    </row>
    <row r="682" spans="1:13" ht="17" x14ac:dyDescent="0.2">
      <c r="A682" t="s">
        <v>1055</v>
      </c>
      <c r="B682" t="s">
        <v>897</v>
      </c>
      <c r="C682" t="s">
        <v>266</v>
      </c>
      <c r="D682" s="1">
        <v>45210</v>
      </c>
      <c r="E682" s="6" t="s">
        <v>78</v>
      </c>
      <c r="F682" t="s">
        <v>17</v>
      </c>
      <c r="G682" s="3" t="s">
        <v>18</v>
      </c>
      <c r="H682">
        <v>2.5</v>
      </c>
      <c r="I682">
        <v>54.91</v>
      </c>
      <c r="J682">
        <v>137.27000000000001</v>
      </c>
      <c r="K682" t="s">
        <v>36</v>
      </c>
      <c r="L682" t="b">
        <v>0</v>
      </c>
    </row>
    <row r="683" spans="1:13" ht="34" x14ac:dyDescent="0.2">
      <c r="A683" t="s">
        <v>1056</v>
      </c>
      <c r="B683" t="s">
        <v>796</v>
      </c>
      <c r="C683" t="s">
        <v>266</v>
      </c>
      <c r="D683" s="1">
        <v>45030</v>
      </c>
      <c r="E683" s="6" t="s">
        <v>44</v>
      </c>
      <c r="F683" t="s">
        <v>90</v>
      </c>
      <c r="G683" s="3" t="s">
        <v>91</v>
      </c>
      <c r="H683">
        <v>7.9</v>
      </c>
      <c r="I683">
        <v>69.709999999999994</v>
      </c>
      <c r="J683">
        <v>550.74</v>
      </c>
      <c r="K683" t="s">
        <v>105</v>
      </c>
      <c r="L683" t="b">
        <v>0</v>
      </c>
    </row>
    <row r="684" spans="1:13" ht="34" x14ac:dyDescent="0.2">
      <c r="A684" t="s">
        <v>1057</v>
      </c>
      <c r="B684" t="s">
        <v>1058</v>
      </c>
      <c r="C684" t="s">
        <v>274</v>
      </c>
      <c r="D684" s="1">
        <v>45140</v>
      </c>
      <c r="E684" s="6" t="s">
        <v>89</v>
      </c>
      <c r="F684" t="s">
        <v>90</v>
      </c>
      <c r="G684" s="3" t="s">
        <v>91</v>
      </c>
      <c r="H684">
        <v>4.4000000000000004</v>
      </c>
      <c r="I684">
        <v>27.15</v>
      </c>
      <c r="J684">
        <v>119.46</v>
      </c>
      <c r="K684" t="s">
        <v>113</v>
      </c>
      <c r="L684" t="b">
        <v>0</v>
      </c>
    </row>
    <row r="685" spans="1:13" ht="34" x14ac:dyDescent="0.2">
      <c r="A685" t="s">
        <v>1059</v>
      </c>
      <c r="B685" t="s">
        <v>28</v>
      </c>
      <c r="C685" t="s">
        <v>130</v>
      </c>
      <c r="D685" s="1">
        <v>45530</v>
      </c>
      <c r="E685" s="6" t="s">
        <v>89</v>
      </c>
      <c r="F685" t="s">
        <v>24</v>
      </c>
      <c r="G685" s="3" t="s">
        <v>25</v>
      </c>
      <c r="H685">
        <v>7</v>
      </c>
      <c r="I685">
        <v>72.510000000000005</v>
      </c>
      <c r="J685">
        <v>507.55</v>
      </c>
      <c r="K685" t="s">
        <v>32</v>
      </c>
      <c r="L685" t="b">
        <v>1</v>
      </c>
      <c r="M685" s="3" t="s">
        <v>102</v>
      </c>
    </row>
    <row r="686" spans="1:13" ht="34" x14ac:dyDescent="0.2">
      <c r="A686" t="s">
        <v>1060</v>
      </c>
      <c r="B686" t="s">
        <v>358</v>
      </c>
      <c r="C686" t="s">
        <v>343</v>
      </c>
      <c r="D686" s="1">
        <v>45086</v>
      </c>
      <c r="E686" s="6" t="s">
        <v>16</v>
      </c>
      <c r="F686" t="s">
        <v>45</v>
      </c>
      <c r="G686" s="3" t="s">
        <v>46</v>
      </c>
      <c r="H686">
        <v>7.3</v>
      </c>
      <c r="I686">
        <v>58.74</v>
      </c>
      <c r="J686">
        <v>428.8</v>
      </c>
      <c r="K686" t="s">
        <v>36</v>
      </c>
      <c r="L686" t="b">
        <v>0</v>
      </c>
    </row>
    <row r="687" spans="1:13" ht="17" x14ac:dyDescent="0.2">
      <c r="A687" t="s">
        <v>1061</v>
      </c>
      <c r="B687" t="s">
        <v>369</v>
      </c>
      <c r="C687" t="s">
        <v>133</v>
      </c>
      <c r="D687" s="1">
        <v>45214</v>
      </c>
      <c r="E687" s="6" t="s">
        <v>44</v>
      </c>
      <c r="F687" t="s">
        <v>17</v>
      </c>
      <c r="G687" s="3" t="s">
        <v>18</v>
      </c>
      <c r="H687">
        <v>7.7</v>
      </c>
      <c r="I687">
        <v>46.8</v>
      </c>
      <c r="J687">
        <v>360.36</v>
      </c>
      <c r="K687" t="s">
        <v>82</v>
      </c>
      <c r="L687" t="b">
        <v>0</v>
      </c>
    </row>
    <row r="688" spans="1:13" ht="17" x14ac:dyDescent="0.2">
      <c r="A688" t="s">
        <v>1062</v>
      </c>
      <c r="B688" t="s">
        <v>302</v>
      </c>
      <c r="C688" t="s">
        <v>191</v>
      </c>
      <c r="D688" s="1">
        <v>45077</v>
      </c>
      <c r="E688" s="6" t="s">
        <v>89</v>
      </c>
      <c r="F688" t="s">
        <v>30</v>
      </c>
      <c r="G688" s="3" t="s">
        <v>31</v>
      </c>
      <c r="H688">
        <v>7.1</v>
      </c>
      <c r="I688">
        <v>44.92</v>
      </c>
      <c r="J688">
        <v>318.92</v>
      </c>
      <c r="K688" t="s">
        <v>96</v>
      </c>
      <c r="L688" t="b">
        <v>0</v>
      </c>
    </row>
    <row r="689" spans="1:13" ht="17" x14ac:dyDescent="0.2">
      <c r="A689" t="s">
        <v>1063</v>
      </c>
      <c r="B689" t="s">
        <v>437</v>
      </c>
      <c r="C689" t="s">
        <v>95</v>
      </c>
      <c r="D689" s="1">
        <v>45114</v>
      </c>
      <c r="E689" s="6" t="s">
        <v>60</v>
      </c>
      <c r="F689" t="s">
        <v>17</v>
      </c>
      <c r="G689" s="3" t="s">
        <v>18</v>
      </c>
      <c r="H689">
        <v>6.3</v>
      </c>
      <c r="I689">
        <v>46.8</v>
      </c>
      <c r="J689">
        <v>294.83</v>
      </c>
      <c r="K689" t="s">
        <v>113</v>
      </c>
      <c r="L689" t="b">
        <v>0</v>
      </c>
    </row>
    <row r="690" spans="1:13" ht="34" x14ac:dyDescent="0.2">
      <c r="A690" t="s">
        <v>1064</v>
      </c>
      <c r="B690" t="s">
        <v>304</v>
      </c>
      <c r="C690" t="s">
        <v>391</v>
      </c>
      <c r="D690" s="1">
        <v>45083</v>
      </c>
      <c r="E690" s="6" t="s">
        <v>44</v>
      </c>
      <c r="F690" t="s">
        <v>90</v>
      </c>
      <c r="G690" s="3" t="s">
        <v>91</v>
      </c>
      <c r="H690">
        <v>2.6</v>
      </c>
      <c r="I690">
        <v>64.53</v>
      </c>
      <c r="J690">
        <v>167.79</v>
      </c>
      <c r="K690" t="s">
        <v>92</v>
      </c>
      <c r="L690" t="b">
        <v>0</v>
      </c>
    </row>
    <row r="691" spans="1:13" ht="34" x14ac:dyDescent="0.2">
      <c r="A691" t="s">
        <v>1065</v>
      </c>
      <c r="B691" t="s">
        <v>918</v>
      </c>
      <c r="C691" t="s">
        <v>370</v>
      </c>
      <c r="D691" s="1">
        <v>45451</v>
      </c>
      <c r="E691" s="6" t="s">
        <v>78</v>
      </c>
      <c r="F691" t="s">
        <v>54</v>
      </c>
      <c r="G691" s="3" t="s">
        <v>55</v>
      </c>
      <c r="H691">
        <v>4.0999999999999996</v>
      </c>
      <c r="I691">
        <v>63.02</v>
      </c>
      <c r="J691">
        <v>258.38</v>
      </c>
      <c r="K691" t="s">
        <v>105</v>
      </c>
      <c r="L691" t="b">
        <v>0</v>
      </c>
    </row>
    <row r="692" spans="1:13" ht="34" x14ac:dyDescent="0.2">
      <c r="A692" t="s">
        <v>1066</v>
      </c>
      <c r="B692" t="s">
        <v>724</v>
      </c>
      <c r="C692" t="s">
        <v>68</v>
      </c>
      <c r="D692" s="1">
        <v>44942</v>
      </c>
      <c r="E692" s="6" t="s">
        <v>23</v>
      </c>
      <c r="F692" t="s">
        <v>54</v>
      </c>
      <c r="G692" s="3" t="s">
        <v>55</v>
      </c>
      <c r="H692">
        <v>6.2</v>
      </c>
      <c r="I692">
        <v>27.75</v>
      </c>
      <c r="J692">
        <v>172.03</v>
      </c>
      <c r="K692" t="s">
        <v>92</v>
      </c>
      <c r="L692" t="b">
        <v>0</v>
      </c>
    </row>
    <row r="693" spans="1:13" ht="17" x14ac:dyDescent="0.2">
      <c r="A693" t="s">
        <v>1067</v>
      </c>
      <c r="B693" t="s">
        <v>107</v>
      </c>
      <c r="C693" t="s">
        <v>256</v>
      </c>
      <c r="D693" s="1">
        <v>45139</v>
      </c>
      <c r="E693" s="6" t="s">
        <v>16</v>
      </c>
      <c r="F693" t="s">
        <v>17</v>
      </c>
      <c r="G693" s="3" t="s">
        <v>18</v>
      </c>
      <c r="H693">
        <v>2.8</v>
      </c>
      <c r="I693">
        <v>68.010000000000005</v>
      </c>
      <c r="J693">
        <v>190.43</v>
      </c>
      <c r="K693" t="s">
        <v>92</v>
      </c>
      <c r="L693" t="b">
        <v>0</v>
      </c>
    </row>
    <row r="694" spans="1:13" ht="34" x14ac:dyDescent="0.2">
      <c r="A694" t="s">
        <v>1068</v>
      </c>
      <c r="B694" t="s">
        <v>482</v>
      </c>
      <c r="C694" t="s">
        <v>68</v>
      </c>
      <c r="D694" s="1">
        <v>45538</v>
      </c>
      <c r="E694" s="6" t="s">
        <v>23</v>
      </c>
      <c r="F694" t="s">
        <v>61</v>
      </c>
      <c r="G694" s="3" t="s">
        <v>62</v>
      </c>
      <c r="H694">
        <v>32.4</v>
      </c>
      <c r="I694">
        <v>61.65</v>
      </c>
      <c r="J694">
        <v>2000</v>
      </c>
      <c r="K694" t="s">
        <v>92</v>
      </c>
      <c r="L694" t="b">
        <v>1</v>
      </c>
      <c r="M694" s="3" t="s">
        <v>40</v>
      </c>
    </row>
    <row r="695" spans="1:13" ht="34" x14ac:dyDescent="0.2">
      <c r="A695" t="s">
        <v>1069</v>
      </c>
      <c r="B695" t="s">
        <v>165</v>
      </c>
      <c r="C695" t="s">
        <v>350</v>
      </c>
      <c r="D695" s="1">
        <v>45506</v>
      </c>
      <c r="E695" s="6" t="s">
        <v>60</v>
      </c>
      <c r="F695" t="s">
        <v>90</v>
      </c>
      <c r="G695" s="3" t="s">
        <v>91</v>
      </c>
      <c r="H695">
        <v>7.6</v>
      </c>
      <c r="I695">
        <v>48.57</v>
      </c>
      <c r="J695">
        <v>369.16</v>
      </c>
      <c r="K695" t="s">
        <v>105</v>
      </c>
      <c r="L695" t="b">
        <v>0</v>
      </c>
    </row>
    <row r="696" spans="1:13" ht="17" x14ac:dyDescent="0.2">
      <c r="A696" t="s">
        <v>1070</v>
      </c>
      <c r="B696" t="s">
        <v>340</v>
      </c>
      <c r="C696" t="s">
        <v>295</v>
      </c>
      <c r="D696" s="1">
        <v>45314</v>
      </c>
      <c r="E696" s="6" t="s">
        <v>60</v>
      </c>
      <c r="F696" t="s">
        <v>30</v>
      </c>
      <c r="G696" s="3" t="s">
        <v>31</v>
      </c>
      <c r="H696">
        <v>6.3</v>
      </c>
      <c r="I696">
        <v>31.47</v>
      </c>
      <c r="J696">
        <v>198.24</v>
      </c>
      <c r="K696" t="s">
        <v>36</v>
      </c>
      <c r="L696" t="b">
        <v>0</v>
      </c>
    </row>
    <row r="697" spans="1:13" ht="34" x14ac:dyDescent="0.2">
      <c r="A697" t="s">
        <v>1071</v>
      </c>
      <c r="B697" t="s">
        <v>193</v>
      </c>
      <c r="C697" t="s">
        <v>332</v>
      </c>
      <c r="D697" s="1">
        <v>45451</v>
      </c>
      <c r="E697" s="6" t="s">
        <v>89</v>
      </c>
      <c r="F697" t="s">
        <v>24</v>
      </c>
      <c r="G697" s="3" t="s">
        <v>25</v>
      </c>
      <c r="H697">
        <v>7.6</v>
      </c>
      <c r="I697">
        <v>75.25</v>
      </c>
      <c r="J697">
        <v>571.88</v>
      </c>
      <c r="K697" t="s">
        <v>113</v>
      </c>
      <c r="L697" t="b">
        <v>0</v>
      </c>
    </row>
    <row r="698" spans="1:13" ht="34" x14ac:dyDescent="0.2">
      <c r="A698" t="s">
        <v>1072</v>
      </c>
      <c r="B698" t="s">
        <v>320</v>
      </c>
      <c r="C698" t="s">
        <v>35</v>
      </c>
      <c r="D698" s="1">
        <v>45012</v>
      </c>
      <c r="E698" s="6" t="s">
        <v>16</v>
      </c>
      <c r="F698" t="s">
        <v>90</v>
      </c>
      <c r="G698" s="3" t="s">
        <v>91</v>
      </c>
      <c r="H698">
        <v>6.6</v>
      </c>
      <c r="I698">
        <v>52.03</v>
      </c>
      <c r="J698">
        <v>343.4</v>
      </c>
      <c r="K698" t="s">
        <v>82</v>
      </c>
      <c r="L698" t="b">
        <v>0</v>
      </c>
    </row>
    <row r="699" spans="1:13" ht="68" x14ac:dyDescent="0.2">
      <c r="A699" t="s">
        <v>1073</v>
      </c>
      <c r="B699" t="s">
        <v>372</v>
      </c>
      <c r="C699" t="s">
        <v>166</v>
      </c>
      <c r="D699" s="1">
        <v>45633</v>
      </c>
      <c r="E699" s="6" t="s">
        <v>16</v>
      </c>
      <c r="F699" t="s">
        <v>50</v>
      </c>
      <c r="G699" s="3" t="s">
        <v>51</v>
      </c>
      <c r="H699">
        <v>7.8</v>
      </c>
      <c r="I699">
        <v>25.26</v>
      </c>
      <c r="J699">
        <v>197.03</v>
      </c>
      <c r="K699" t="s">
        <v>36</v>
      </c>
      <c r="L699" t="b">
        <v>0</v>
      </c>
    </row>
    <row r="700" spans="1:13" ht="34" x14ac:dyDescent="0.2">
      <c r="A700" t="s">
        <v>1074</v>
      </c>
      <c r="B700" t="s">
        <v>1075</v>
      </c>
      <c r="C700" t="s">
        <v>124</v>
      </c>
      <c r="D700" s="1">
        <v>44949</v>
      </c>
      <c r="E700" s="6" t="s">
        <v>89</v>
      </c>
      <c r="F700" t="s">
        <v>24</v>
      </c>
      <c r="G700" s="3" t="s">
        <v>25</v>
      </c>
      <c r="H700">
        <v>5.3</v>
      </c>
      <c r="I700">
        <v>50.97</v>
      </c>
      <c r="J700">
        <v>270.13</v>
      </c>
      <c r="K700" t="s">
        <v>92</v>
      </c>
      <c r="L700" t="b">
        <v>0</v>
      </c>
    </row>
    <row r="701" spans="1:13" ht="17" x14ac:dyDescent="0.2">
      <c r="A701" t="s">
        <v>1076</v>
      </c>
      <c r="B701" t="s">
        <v>417</v>
      </c>
      <c r="C701" t="s">
        <v>323</v>
      </c>
      <c r="D701" s="1">
        <v>45552</v>
      </c>
      <c r="E701" s="6" t="s">
        <v>23</v>
      </c>
      <c r="F701" t="s">
        <v>17</v>
      </c>
      <c r="G701" s="3" t="s">
        <v>18</v>
      </c>
      <c r="H701">
        <v>7.5</v>
      </c>
      <c r="I701">
        <v>71.86</v>
      </c>
      <c r="J701">
        <v>538.99</v>
      </c>
      <c r="K701" t="s">
        <v>56</v>
      </c>
      <c r="L701" t="b">
        <v>0</v>
      </c>
    </row>
    <row r="702" spans="1:13" ht="68" x14ac:dyDescent="0.2">
      <c r="A702" t="s">
        <v>1077</v>
      </c>
      <c r="B702" t="s">
        <v>573</v>
      </c>
      <c r="C702" t="s">
        <v>145</v>
      </c>
      <c r="D702" s="1">
        <v>45015</v>
      </c>
      <c r="E702" s="6" t="s">
        <v>60</v>
      </c>
      <c r="F702" t="s">
        <v>50</v>
      </c>
      <c r="G702" s="3" t="s">
        <v>51</v>
      </c>
      <c r="H702">
        <v>6.4</v>
      </c>
      <c r="I702">
        <v>32.700000000000003</v>
      </c>
      <c r="J702">
        <v>209.3</v>
      </c>
      <c r="K702" t="s">
        <v>32</v>
      </c>
      <c r="L702" t="b">
        <v>0</v>
      </c>
    </row>
    <row r="703" spans="1:13" ht="34" x14ac:dyDescent="0.2">
      <c r="A703" t="s">
        <v>1078</v>
      </c>
      <c r="B703" t="s">
        <v>402</v>
      </c>
      <c r="C703" t="s">
        <v>256</v>
      </c>
      <c r="D703" s="1">
        <v>45409</v>
      </c>
      <c r="E703" s="6" t="s">
        <v>89</v>
      </c>
      <c r="F703" t="s">
        <v>54</v>
      </c>
      <c r="G703" s="3" t="s">
        <v>55</v>
      </c>
      <c r="H703">
        <v>5</v>
      </c>
      <c r="I703">
        <v>48.08</v>
      </c>
      <c r="J703">
        <v>240.4</v>
      </c>
      <c r="K703" t="s">
        <v>96</v>
      </c>
      <c r="L703" t="b">
        <v>0</v>
      </c>
    </row>
    <row r="704" spans="1:13" ht="17" x14ac:dyDescent="0.2">
      <c r="A704" t="s">
        <v>1079</v>
      </c>
      <c r="B704" t="s">
        <v>770</v>
      </c>
      <c r="C704" t="s">
        <v>15</v>
      </c>
      <c r="D704" s="1">
        <v>45309</v>
      </c>
      <c r="E704" s="6" t="s">
        <v>78</v>
      </c>
      <c r="F704" t="s">
        <v>30</v>
      </c>
      <c r="G704" s="3" t="s">
        <v>31</v>
      </c>
      <c r="H704">
        <v>3.6</v>
      </c>
      <c r="I704">
        <v>82.82</v>
      </c>
      <c r="J704">
        <v>298.14</v>
      </c>
      <c r="K704" t="s">
        <v>96</v>
      </c>
      <c r="L704" t="b">
        <v>0</v>
      </c>
    </row>
    <row r="705" spans="1:13" ht="17" x14ac:dyDescent="0.2">
      <c r="A705" t="s">
        <v>1080</v>
      </c>
      <c r="B705" t="s">
        <v>394</v>
      </c>
      <c r="C705" t="s">
        <v>350</v>
      </c>
      <c r="D705" s="1">
        <v>45305</v>
      </c>
      <c r="E705" s="6" t="s">
        <v>89</v>
      </c>
      <c r="F705" t="s">
        <v>17</v>
      </c>
      <c r="G705" s="3" t="s">
        <v>18</v>
      </c>
      <c r="H705">
        <v>6.8</v>
      </c>
      <c r="I705">
        <v>33.29</v>
      </c>
      <c r="J705">
        <v>226.38</v>
      </c>
      <c r="K705" t="s">
        <v>32</v>
      </c>
      <c r="L705" t="b">
        <v>0</v>
      </c>
    </row>
    <row r="706" spans="1:13" ht="34" x14ac:dyDescent="0.2">
      <c r="A706" t="s">
        <v>1081</v>
      </c>
      <c r="B706" t="s">
        <v>709</v>
      </c>
      <c r="C706" t="s">
        <v>159</v>
      </c>
      <c r="D706" s="1">
        <v>45174</v>
      </c>
      <c r="E706" s="6" t="s">
        <v>78</v>
      </c>
      <c r="F706" t="s">
        <v>45</v>
      </c>
      <c r="G706" s="3" t="s">
        <v>46</v>
      </c>
      <c r="H706">
        <v>7.1</v>
      </c>
      <c r="I706">
        <v>57.87</v>
      </c>
      <c r="J706">
        <v>410.87</v>
      </c>
      <c r="K706" t="s">
        <v>56</v>
      </c>
      <c r="L706" t="b">
        <v>0</v>
      </c>
    </row>
    <row r="707" spans="1:13" ht="17" x14ac:dyDescent="0.2">
      <c r="A707" t="s">
        <v>1082</v>
      </c>
      <c r="B707" t="s">
        <v>247</v>
      </c>
      <c r="C707" t="s">
        <v>43</v>
      </c>
      <c r="D707" s="1">
        <v>45619</v>
      </c>
      <c r="E707" s="6" t="s">
        <v>78</v>
      </c>
      <c r="F707" t="s">
        <v>30</v>
      </c>
      <c r="G707" s="3" t="s">
        <v>31</v>
      </c>
      <c r="H707">
        <v>3.2</v>
      </c>
      <c r="I707">
        <v>62.45</v>
      </c>
      <c r="J707">
        <v>199.84</v>
      </c>
      <c r="K707" t="s">
        <v>105</v>
      </c>
      <c r="L707" t="b">
        <v>0</v>
      </c>
    </row>
    <row r="708" spans="1:13" ht="34" x14ac:dyDescent="0.2">
      <c r="A708" t="s">
        <v>1083</v>
      </c>
      <c r="B708" t="s">
        <v>94</v>
      </c>
      <c r="C708" t="s">
        <v>219</v>
      </c>
      <c r="D708" s="1">
        <v>42497</v>
      </c>
      <c r="E708" s="6" t="s">
        <v>16</v>
      </c>
      <c r="F708" t="s">
        <v>54</v>
      </c>
      <c r="G708" s="3" t="s">
        <v>55</v>
      </c>
      <c r="H708">
        <v>7.5</v>
      </c>
      <c r="I708">
        <v>32.96</v>
      </c>
      <c r="J708">
        <v>247.2</v>
      </c>
      <c r="K708" t="s">
        <v>96</v>
      </c>
      <c r="L708" t="b">
        <v>1</v>
      </c>
      <c r="M708" s="3" t="s">
        <v>99</v>
      </c>
    </row>
    <row r="709" spans="1:13" ht="68" x14ac:dyDescent="0.2">
      <c r="A709" t="s">
        <v>1084</v>
      </c>
      <c r="B709" t="s">
        <v>975</v>
      </c>
      <c r="C709" t="s">
        <v>145</v>
      </c>
      <c r="D709" s="1">
        <v>45464</v>
      </c>
      <c r="E709" s="6" t="s">
        <v>78</v>
      </c>
      <c r="F709" t="s">
        <v>50</v>
      </c>
      <c r="G709" s="3" t="s">
        <v>51</v>
      </c>
      <c r="H709">
        <v>5</v>
      </c>
      <c r="I709">
        <v>66.66</v>
      </c>
      <c r="J709">
        <v>333.29</v>
      </c>
      <c r="K709" t="s">
        <v>19</v>
      </c>
      <c r="L709" t="b">
        <v>0</v>
      </c>
    </row>
    <row r="710" spans="1:13" ht="34" x14ac:dyDescent="0.2">
      <c r="A710" t="s">
        <v>1085</v>
      </c>
      <c r="B710" t="s">
        <v>388</v>
      </c>
      <c r="C710" t="s">
        <v>256</v>
      </c>
      <c r="D710" s="1">
        <v>45182</v>
      </c>
      <c r="E710" s="6" t="s">
        <v>89</v>
      </c>
      <c r="F710" t="s">
        <v>90</v>
      </c>
      <c r="G710" s="3" t="s">
        <v>91</v>
      </c>
      <c r="H710">
        <v>6.6</v>
      </c>
      <c r="I710">
        <v>58.74</v>
      </c>
      <c r="J710">
        <v>387.66</v>
      </c>
      <c r="K710" t="s">
        <v>56</v>
      </c>
      <c r="L710" t="b">
        <v>0</v>
      </c>
    </row>
    <row r="711" spans="1:13" ht="34" x14ac:dyDescent="0.2">
      <c r="A711" t="s">
        <v>1086</v>
      </c>
      <c r="B711" t="s">
        <v>931</v>
      </c>
      <c r="C711" t="s">
        <v>175</v>
      </c>
      <c r="D711" s="1">
        <v>45534</v>
      </c>
      <c r="E711" s="6" t="s">
        <v>89</v>
      </c>
      <c r="F711" t="s">
        <v>61</v>
      </c>
      <c r="G711" s="3" t="s">
        <v>62</v>
      </c>
      <c r="H711">
        <v>6</v>
      </c>
      <c r="I711">
        <v>78.63</v>
      </c>
      <c r="J711">
        <v>471.79</v>
      </c>
      <c r="K711" t="s">
        <v>92</v>
      </c>
      <c r="L711" t="b">
        <v>0</v>
      </c>
    </row>
    <row r="712" spans="1:13" ht="34" x14ac:dyDescent="0.2">
      <c r="A712" t="s">
        <v>1087</v>
      </c>
      <c r="B712" t="s">
        <v>364</v>
      </c>
      <c r="C712" t="s">
        <v>196</v>
      </c>
      <c r="D712" s="1">
        <v>45495</v>
      </c>
      <c r="E712" s="6" t="s">
        <v>44</v>
      </c>
      <c r="F712" t="s">
        <v>45</v>
      </c>
      <c r="G712" s="3" t="s">
        <v>46</v>
      </c>
      <c r="H712">
        <v>7.3</v>
      </c>
      <c r="I712">
        <v>50.34</v>
      </c>
      <c r="J712">
        <v>367.51</v>
      </c>
      <c r="K712" t="s">
        <v>96</v>
      </c>
      <c r="L712" t="b">
        <v>0</v>
      </c>
    </row>
    <row r="713" spans="1:13" ht="34" x14ac:dyDescent="0.2">
      <c r="A713" t="s">
        <v>1088</v>
      </c>
      <c r="B713" t="s">
        <v>311</v>
      </c>
      <c r="C713" t="s">
        <v>365</v>
      </c>
      <c r="D713" s="1">
        <v>45014</v>
      </c>
      <c r="E713" s="6" t="s">
        <v>16</v>
      </c>
      <c r="F713" t="s">
        <v>90</v>
      </c>
      <c r="G713" s="3" t="s">
        <v>91</v>
      </c>
      <c r="H713">
        <v>2.2000000000000002</v>
      </c>
      <c r="I713">
        <v>33.72</v>
      </c>
      <c r="J713">
        <v>74.180000000000007</v>
      </c>
      <c r="K713" t="s">
        <v>19</v>
      </c>
      <c r="L713" t="b">
        <v>0</v>
      </c>
    </row>
    <row r="714" spans="1:13" ht="34" x14ac:dyDescent="0.2">
      <c r="A714" t="s">
        <v>1089</v>
      </c>
      <c r="B714" t="s">
        <v>582</v>
      </c>
      <c r="C714" t="s">
        <v>189</v>
      </c>
      <c r="D714" s="1">
        <v>44988</v>
      </c>
      <c r="E714" s="6" t="s">
        <v>23</v>
      </c>
      <c r="F714" t="s">
        <v>24</v>
      </c>
      <c r="G714" s="3" t="s">
        <v>25</v>
      </c>
      <c r="H714">
        <v>3.2</v>
      </c>
      <c r="I714">
        <v>70.010000000000005</v>
      </c>
      <c r="J714">
        <v>224.04</v>
      </c>
      <c r="K714" t="s">
        <v>36</v>
      </c>
      <c r="L714" t="b">
        <v>0</v>
      </c>
    </row>
    <row r="715" spans="1:13" ht="34" x14ac:dyDescent="0.2">
      <c r="A715" t="s">
        <v>1090</v>
      </c>
      <c r="B715" t="s">
        <v>58</v>
      </c>
      <c r="C715" t="s">
        <v>295</v>
      </c>
      <c r="D715" s="1">
        <v>45095</v>
      </c>
      <c r="E715" s="6" t="s">
        <v>44</v>
      </c>
      <c r="F715" t="s">
        <v>45</v>
      </c>
      <c r="G715" s="3" t="s">
        <v>46</v>
      </c>
      <c r="H715">
        <v>6.1</v>
      </c>
      <c r="I715">
        <v>33.79</v>
      </c>
      <c r="J715">
        <v>206.09</v>
      </c>
      <c r="K715" t="s">
        <v>26</v>
      </c>
      <c r="L715" t="b">
        <v>0</v>
      </c>
    </row>
    <row r="716" spans="1:13" ht="34" x14ac:dyDescent="0.2">
      <c r="A716" t="s">
        <v>1091</v>
      </c>
      <c r="B716" t="s">
        <v>449</v>
      </c>
      <c r="C716" t="s">
        <v>65</v>
      </c>
      <c r="D716" s="1">
        <v>45115</v>
      </c>
      <c r="E716" s="6" t="s">
        <v>78</v>
      </c>
      <c r="F716" t="s">
        <v>45</v>
      </c>
      <c r="G716" s="3" t="s">
        <v>46</v>
      </c>
      <c r="H716">
        <v>3.2</v>
      </c>
      <c r="I716">
        <v>57.47</v>
      </c>
      <c r="J716">
        <v>183.91</v>
      </c>
      <c r="K716" t="s">
        <v>36</v>
      </c>
      <c r="L716" t="b">
        <v>1</v>
      </c>
      <c r="M716" s="3" t="s">
        <v>102</v>
      </c>
    </row>
    <row r="717" spans="1:13" ht="17" x14ac:dyDescent="0.2">
      <c r="A717" t="s">
        <v>1092</v>
      </c>
      <c r="B717" t="s">
        <v>1093</v>
      </c>
      <c r="C717" t="s">
        <v>268</v>
      </c>
      <c r="D717" s="1">
        <v>44957</v>
      </c>
      <c r="E717" s="6" t="s">
        <v>16</v>
      </c>
      <c r="F717" t="s">
        <v>17</v>
      </c>
      <c r="G717" s="3" t="s">
        <v>18</v>
      </c>
      <c r="H717">
        <v>2.6</v>
      </c>
      <c r="I717">
        <v>77.08</v>
      </c>
      <c r="J717">
        <v>200.41</v>
      </c>
      <c r="K717" t="s">
        <v>19</v>
      </c>
      <c r="L717" t="b">
        <v>0</v>
      </c>
    </row>
    <row r="718" spans="1:13" ht="34" x14ac:dyDescent="0.2">
      <c r="A718" t="s">
        <v>1094</v>
      </c>
      <c r="B718" t="s">
        <v>442</v>
      </c>
      <c r="C718" t="s">
        <v>156</v>
      </c>
      <c r="D718" s="1">
        <v>45009</v>
      </c>
      <c r="E718" s="6" t="s">
        <v>23</v>
      </c>
      <c r="F718" t="s">
        <v>30</v>
      </c>
      <c r="G718" s="3" t="s">
        <v>31</v>
      </c>
      <c r="H718">
        <v>25.6</v>
      </c>
      <c r="I718">
        <v>58.68</v>
      </c>
      <c r="J718">
        <v>1500</v>
      </c>
      <c r="K718" t="s">
        <v>56</v>
      </c>
      <c r="L718" t="b">
        <v>1</v>
      </c>
      <c r="M718" s="3" t="s">
        <v>40</v>
      </c>
    </row>
    <row r="719" spans="1:13" ht="34" x14ac:dyDescent="0.2">
      <c r="A719" t="s">
        <v>1095</v>
      </c>
      <c r="B719" t="s">
        <v>1096</v>
      </c>
      <c r="C719" t="s">
        <v>59</v>
      </c>
      <c r="D719" s="1">
        <v>45529</v>
      </c>
      <c r="E719" s="6" t="s">
        <v>60</v>
      </c>
      <c r="F719" t="s">
        <v>45</v>
      </c>
      <c r="G719" s="3" t="s">
        <v>46</v>
      </c>
      <c r="H719">
        <v>6.2</v>
      </c>
      <c r="I719">
        <v>27.82</v>
      </c>
      <c r="J719">
        <v>172.48</v>
      </c>
      <c r="K719" t="s">
        <v>113</v>
      </c>
      <c r="L719" t="b">
        <v>0</v>
      </c>
    </row>
    <row r="720" spans="1:13" ht="34" x14ac:dyDescent="0.2">
      <c r="A720" t="s">
        <v>1097</v>
      </c>
      <c r="B720" t="s">
        <v>320</v>
      </c>
      <c r="C720" t="s">
        <v>95</v>
      </c>
      <c r="D720" s="1">
        <v>45460</v>
      </c>
      <c r="E720" s="6" t="s">
        <v>16</v>
      </c>
      <c r="F720" t="s">
        <v>61</v>
      </c>
      <c r="G720" s="3" t="s">
        <v>62</v>
      </c>
      <c r="H720">
        <v>4.5</v>
      </c>
      <c r="I720">
        <v>72.290000000000006</v>
      </c>
      <c r="J720">
        <v>325.29000000000002</v>
      </c>
      <c r="K720" t="s">
        <v>82</v>
      </c>
      <c r="L720" t="b">
        <v>0</v>
      </c>
    </row>
    <row r="721" spans="1:13" ht="34" x14ac:dyDescent="0.2">
      <c r="A721" t="s">
        <v>1098</v>
      </c>
      <c r="B721" t="s">
        <v>800</v>
      </c>
      <c r="C721" t="s">
        <v>138</v>
      </c>
      <c r="D721" s="1">
        <v>45329</v>
      </c>
      <c r="E721" s="6" t="s">
        <v>16</v>
      </c>
      <c r="F721" t="s">
        <v>54</v>
      </c>
      <c r="G721" s="3" t="s">
        <v>55</v>
      </c>
      <c r="H721">
        <v>7.8</v>
      </c>
      <c r="I721">
        <v>28.23</v>
      </c>
      <c r="J721">
        <v>220.18</v>
      </c>
      <c r="K721" t="s">
        <v>96</v>
      </c>
      <c r="L721" t="b">
        <v>0</v>
      </c>
    </row>
    <row r="722" spans="1:13" ht="34" x14ac:dyDescent="0.2">
      <c r="A722" t="s">
        <v>1099</v>
      </c>
      <c r="B722" t="s">
        <v>171</v>
      </c>
      <c r="C722" t="s">
        <v>207</v>
      </c>
      <c r="D722" s="1">
        <v>45173</v>
      </c>
      <c r="E722" s="6" t="s">
        <v>60</v>
      </c>
      <c r="F722" t="s">
        <v>45</v>
      </c>
      <c r="G722" s="3" t="s">
        <v>46</v>
      </c>
      <c r="H722">
        <v>3.2</v>
      </c>
      <c r="I722">
        <v>77.13</v>
      </c>
      <c r="J722">
        <v>246.82</v>
      </c>
      <c r="K722" t="s">
        <v>113</v>
      </c>
      <c r="L722" t="b">
        <v>0</v>
      </c>
    </row>
    <row r="723" spans="1:13" ht="17" x14ac:dyDescent="0.2">
      <c r="A723" t="s">
        <v>1100</v>
      </c>
      <c r="B723" t="s">
        <v>536</v>
      </c>
      <c r="C723" t="s">
        <v>211</v>
      </c>
      <c r="D723" s="1">
        <v>45560</v>
      </c>
      <c r="E723" s="6" t="s">
        <v>16</v>
      </c>
      <c r="F723" t="s">
        <v>30</v>
      </c>
      <c r="G723" s="3" t="s">
        <v>31</v>
      </c>
      <c r="H723">
        <v>7.5</v>
      </c>
      <c r="I723">
        <v>67.28</v>
      </c>
      <c r="J723">
        <v>504.58</v>
      </c>
      <c r="K723" t="s">
        <v>113</v>
      </c>
      <c r="L723" t="b">
        <v>0</v>
      </c>
    </row>
    <row r="724" spans="1:13" ht="34" x14ac:dyDescent="0.2">
      <c r="A724" t="s">
        <v>1101</v>
      </c>
      <c r="B724" t="s">
        <v>163</v>
      </c>
      <c r="C724" t="s">
        <v>133</v>
      </c>
      <c r="D724" s="1">
        <v>45264</v>
      </c>
      <c r="E724" s="6" t="s">
        <v>89</v>
      </c>
      <c r="F724" t="s">
        <v>54</v>
      </c>
      <c r="G724" s="3" t="s">
        <v>55</v>
      </c>
      <c r="H724">
        <v>6.5</v>
      </c>
      <c r="I724">
        <v>57.8</v>
      </c>
      <c r="J724">
        <v>375.68</v>
      </c>
      <c r="K724" t="s">
        <v>113</v>
      </c>
      <c r="L724" t="b">
        <v>0</v>
      </c>
    </row>
    <row r="725" spans="1:13" ht="34" x14ac:dyDescent="0.2">
      <c r="A725" t="s">
        <v>1102</v>
      </c>
      <c r="B725" t="s">
        <v>525</v>
      </c>
      <c r="C725" t="s">
        <v>119</v>
      </c>
      <c r="D725" s="1">
        <v>44945</v>
      </c>
      <c r="E725" s="6" t="s">
        <v>78</v>
      </c>
      <c r="F725" t="s">
        <v>30</v>
      </c>
      <c r="G725" s="3" t="s">
        <v>31</v>
      </c>
      <c r="H725">
        <v>24.1</v>
      </c>
      <c r="I725">
        <v>82.86</v>
      </c>
      <c r="J725">
        <v>2000</v>
      </c>
      <c r="K725" t="s">
        <v>32</v>
      </c>
      <c r="L725" t="b">
        <v>1</v>
      </c>
      <c r="M725" s="3" t="s">
        <v>40</v>
      </c>
    </row>
    <row r="726" spans="1:13" ht="17" x14ac:dyDescent="0.2">
      <c r="A726" t="s">
        <v>1103</v>
      </c>
      <c r="B726" t="s">
        <v>468</v>
      </c>
      <c r="C726" t="s">
        <v>499</v>
      </c>
      <c r="D726" s="1">
        <v>45499</v>
      </c>
      <c r="E726" s="6" t="s">
        <v>23</v>
      </c>
      <c r="F726" t="s">
        <v>17</v>
      </c>
      <c r="G726" s="3" t="s">
        <v>18</v>
      </c>
      <c r="H726">
        <v>19.5</v>
      </c>
      <c r="I726">
        <v>65.959999999999994</v>
      </c>
      <c r="J726">
        <v>1286.22</v>
      </c>
      <c r="K726" t="s">
        <v>96</v>
      </c>
      <c r="L726" t="b">
        <v>1</v>
      </c>
      <c r="M726" s="3" t="s">
        <v>79</v>
      </c>
    </row>
    <row r="727" spans="1:13" ht="68" x14ac:dyDescent="0.2">
      <c r="A727" t="s">
        <v>1104</v>
      </c>
      <c r="B727" t="s">
        <v>1105</v>
      </c>
      <c r="C727" t="s">
        <v>266</v>
      </c>
      <c r="D727" s="1">
        <v>45243</v>
      </c>
      <c r="E727" s="6" t="s">
        <v>44</v>
      </c>
      <c r="F727" t="s">
        <v>50</v>
      </c>
      <c r="G727" s="3" t="s">
        <v>51</v>
      </c>
      <c r="H727">
        <v>6.4</v>
      </c>
      <c r="I727">
        <v>32.159999999999997</v>
      </c>
      <c r="J727">
        <v>205.83</v>
      </c>
      <c r="K727" t="s">
        <v>92</v>
      </c>
      <c r="L727" t="b">
        <v>0</v>
      </c>
    </row>
    <row r="728" spans="1:13" ht="34" x14ac:dyDescent="0.2">
      <c r="A728" t="s">
        <v>1106</v>
      </c>
      <c r="B728" t="s">
        <v>738</v>
      </c>
      <c r="C728" t="s">
        <v>450</v>
      </c>
      <c r="D728" s="1">
        <v>45273</v>
      </c>
      <c r="E728" s="6" t="s">
        <v>23</v>
      </c>
      <c r="F728" t="s">
        <v>61</v>
      </c>
      <c r="G728" s="3" t="s">
        <v>62</v>
      </c>
      <c r="H728">
        <v>30.6</v>
      </c>
      <c r="I728">
        <v>40.85</v>
      </c>
      <c r="J728">
        <v>1250</v>
      </c>
      <c r="K728" t="s">
        <v>96</v>
      </c>
      <c r="L728" t="b">
        <v>1</v>
      </c>
      <c r="M728" s="3" t="s">
        <v>40</v>
      </c>
    </row>
    <row r="729" spans="1:13" ht="34" x14ac:dyDescent="0.2">
      <c r="A729" t="s">
        <v>1107</v>
      </c>
      <c r="B729" t="s">
        <v>94</v>
      </c>
      <c r="C729" t="s">
        <v>293</v>
      </c>
      <c r="D729" s="1">
        <v>45370</v>
      </c>
      <c r="E729" s="6" t="s">
        <v>23</v>
      </c>
      <c r="F729" t="s">
        <v>45</v>
      </c>
      <c r="G729" s="3" t="s">
        <v>46</v>
      </c>
      <c r="H729">
        <v>2</v>
      </c>
      <c r="I729">
        <v>52.98</v>
      </c>
      <c r="J729">
        <v>105.96</v>
      </c>
      <c r="K729" t="s">
        <v>96</v>
      </c>
      <c r="L729" t="b">
        <v>0</v>
      </c>
    </row>
    <row r="730" spans="1:13" ht="34" x14ac:dyDescent="0.2">
      <c r="A730" t="s">
        <v>1108</v>
      </c>
      <c r="B730" t="s">
        <v>563</v>
      </c>
      <c r="C730" t="s">
        <v>22</v>
      </c>
      <c r="D730" s="1">
        <v>45316</v>
      </c>
      <c r="E730" s="6" t="s">
        <v>44</v>
      </c>
      <c r="F730" t="s">
        <v>24</v>
      </c>
      <c r="G730" s="3" t="s">
        <v>25</v>
      </c>
      <c r="H730">
        <v>33.799999999999997</v>
      </c>
      <c r="I730">
        <v>44.36</v>
      </c>
      <c r="J730">
        <v>1500</v>
      </c>
      <c r="K730" t="s">
        <v>56</v>
      </c>
      <c r="L730" t="b">
        <v>1</v>
      </c>
      <c r="M730" s="3" t="s">
        <v>40</v>
      </c>
    </row>
    <row r="731" spans="1:13" ht="34" x14ac:dyDescent="0.2">
      <c r="A731" t="s">
        <v>1109</v>
      </c>
      <c r="B731" t="s">
        <v>327</v>
      </c>
      <c r="C731" t="s">
        <v>323</v>
      </c>
      <c r="D731" s="1">
        <v>44932</v>
      </c>
      <c r="E731" s="6" t="s">
        <v>78</v>
      </c>
      <c r="F731" t="s">
        <v>45</v>
      </c>
      <c r="G731" s="3" t="s">
        <v>46</v>
      </c>
      <c r="H731">
        <v>4.9000000000000004</v>
      </c>
      <c r="I731">
        <v>59.36</v>
      </c>
      <c r="J731">
        <v>290.87</v>
      </c>
      <c r="K731" t="s">
        <v>105</v>
      </c>
      <c r="L731" t="b">
        <v>0</v>
      </c>
    </row>
    <row r="732" spans="1:13" ht="34" x14ac:dyDescent="0.2">
      <c r="A732" t="s">
        <v>1110</v>
      </c>
      <c r="B732" t="s">
        <v>1111</v>
      </c>
      <c r="C732" t="s">
        <v>166</v>
      </c>
      <c r="D732" s="1">
        <v>44964</v>
      </c>
      <c r="E732" s="6" t="s">
        <v>23</v>
      </c>
      <c r="F732" t="s">
        <v>90</v>
      </c>
      <c r="G732" s="3" t="s">
        <v>91</v>
      </c>
      <c r="H732">
        <v>6.7</v>
      </c>
      <c r="I732">
        <v>44.07</v>
      </c>
      <c r="J732">
        <v>295.27999999999997</v>
      </c>
      <c r="K732" t="s">
        <v>36</v>
      </c>
      <c r="L732" t="b">
        <v>0</v>
      </c>
    </row>
    <row r="733" spans="1:13" ht="68" x14ac:dyDescent="0.2">
      <c r="A733" t="s">
        <v>1112</v>
      </c>
      <c r="B733" t="s">
        <v>311</v>
      </c>
      <c r="C733" t="s">
        <v>88</v>
      </c>
      <c r="D733" s="1">
        <v>45653</v>
      </c>
      <c r="E733" s="6" t="s">
        <v>23</v>
      </c>
      <c r="F733" t="s">
        <v>50</v>
      </c>
      <c r="G733" s="3" t="s">
        <v>51</v>
      </c>
      <c r="H733">
        <v>5.0999999999999996</v>
      </c>
      <c r="I733">
        <v>72.180000000000007</v>
      </c>
      <c r="J733">
        <v>368.1</v>
      </c>
      <c r="K733" t="s">
        <v>19</v>
      </c>
      <c r="L733" t="b">
        <v>0</v>
      </c>
    </row>
    <row r="734" spans="1:13" ht="34" x14ac:dyDescent="0.2">
      <c r="A734" t="s">
        <v>1113</v>
      </c>
      <c r="B734" t="s">
        <v>605</v>
      </c>
      <c r="C734" t="s">
        <v>65</v>
      </c>
      <c r="D734" s="1">
        <v>45507</v>
      </c>
      <c r="E734" s="6" t="s">
        <v>78</v>
      </c>
      <c r="F734" t="s">
        <v>61</v>
      </c>
      <c r="G734" s="3" t="s">
        <v>62</v>
      </c>
      <c r="H734">
        <v>5.3</v>
      </c>
      <c r="I734">
        <v>49.21</v>
      </c>
      <c r="J734">
        <v>260.79000000000002</v>
      </c>
      <c r="K734" t="s">
        <v>36</v>
      </c>
      <c r="L734" t="b">
        <v>0</v>
      </c>
    </row>
    <row r="735" spans="1:13" ht="17" x14ac:dyDescent="0.2">
      <c r="A735" t="s">
        <v>1114</v>
      </c>
      <c r="B735" t="s">
        <v>345</v>
      </c>
      <c r="C735" t="s">
        <v>186</v>
      </c>
      <c r="D735" s="1">
        <v>45445</v>
      </c>
      <c r="E735" s="6" t="s">
        <v>78</v>
      </c>
      <c r="F735" t="s">
        <v>30</v>
      </c>
      <c r="G735" s="3" t="s">
        <v>31</v>
      </c>
      <c r="H735">
        <v>7.3</v>
      </c>
      <c r="I735">
        <v>64.8</v>
      </c>
      <c r="J735">
        <v>473.04</v>
      </c>
      <c r="K735" t="s">
        <v>19</v>
      </c>
      <c r="L735" t="b">
        <v>0</v>
      </c>
    </row>
    <row r="736" spans="1:13" ht="34" x14ac:dyDescent="0.2">
      <c r="A736" t="s">
        <v>1115</v>
      </c>
      <c r="B736" t="s">
        <v>376</v>
      </c>
      <c r="C736" t="s">
        <v>39</v>
      </c>
      <c r="D736" s="1">
        <v>45281</v>
      </c>
      <c r="E736" s="6" t="s">
        <v>89</v>
      </c>
      <c r="F736" t="s">
        <v>54</v>
      </c>
      <c r="G736" s="3" t="s">
        <v>55</v>
      </c>
      <c r="H736">
        <v>3.8</v>
      </c>
      <c r="I736">
        <v>82.02</v>
      </c>
      <c r="J736">
        <v>311.67</v>
      </c>
      <c r="K736" t="s">
        <v>105</v>
      </c>
      <c r="L736" t="b">
        <v>0</v>
      </c>
    </row>
    <row r="737" spans="1:13" ht="17" x14ac:dyDescent="0.2">
      <c r="A737" t="s">
        <v>1116</v>
      </c>
      <c r="B737" t="s">
        <v>417</v>
      </c>
      <c r="C737" t="s">
        <v>166</v>
      </c>
      <c r="D737" s="1">
        <v>45408</v>
      </c>
      <c r="E737" s="6" t="s">
        <v>16</v>
      </c>
      <c r="F737" t="s">
        <v>17</v>
      </c>
      <c r="G737" s="3" t="s">
        <v>18</v>
      </c>
      <c r="H737">
        <v>8</v>
      </c>
      <c r="I737">
        <v>74.42</v>
      </c>
      <c r="J737">
        <v>595.37</v>
      </c>
      <c r="K737" t="s">
        <v>56</v>
      </c>
      <c r="L737" t="b">
        <v>0</v>
      </c>
    </row>
    <row r="738" spans="1:13" ht="34" x14ac:dyDescent="0.2">
      <c r="A738" t="s">
        <v>1117</v>
      </c>
      <c r="B738" t="s">
        <v>515</v>
      </c>
      <c r="C738" t="s">
        <v>178</v>
      </c>
      <c r="D738" s="1">
        <v>45075</v>
      </c>
      <c r="E738" s="6" t="s">
        <v>23</v>
      </c>
      <c r="F738" t="s">
        <v>24</v>
      </c>
      <c r="G738" s="3" t="s">
        <v>25</v>
      </c>
      <c r="H738">
        <v>2.7</v>
      </c>
      <c r="I738">
        <v>45.76</v>
      </c>
      <c r="J738">
        <v>123.55</v>
      </c>
      <c r="K738" t="s">
        <v>105</v>
      </c>
      <c r="L738" t="b">
        <v>0</v>
      </c>
    </row>
    <row r="739" spans="1:13" ht="17" x14ac:dyDescent="0.2">
      <c r="A739" t="s">
        <v>1118</v>
      </c>
      <c r="B739" t="s">
        <v>404</v>
      </c>
      <c r="C739" t="s">
        <v>22</v>
      </c>
      <c r="D739" s="1">
        <v>45317</v>
      </c>
      <c r="E739" s="6" t="s">
        <v>78</v>
      </c>
      <c r="F739" t="s">
        <v>30</v>
      </c>
      <c r="G739" s="3" t="s">
        <v>31</v>
      </c>
      <c r="H739">
        <v>7.8</v>
      </c>
      <c r="I739">
        <v>65.95</v>
      </c>
      <c r="J739">
        <v>514.42999999999995</v>
      </c>
      <c r="K739" t="s">
        <v>92</v>
      </c>
      <c r="L739" t="b">
        <v>0</v>
      </c>
    </row>
    <row r="740" spans="1:13" ht="34" x14ac:dyDescent="0.2">
      <c r="A740" t="s">
        <v>1119</v>
      </c>
      <c r="B740" t="s">
        <v>1120</v>
      </c>
      <c r="C740" t="s">
        <v>153</v>
      </c>
      <c r="D740" s="1">
        <v>44986</v>
      </c>
      <c r="E740" s="6" t="s">
        <v>60</v>
      </c>
      <c r="F740" t="s">
        <v>61</v>
      </c>
      <c r="G740" s="3" t="s">
        <v>62</v>
      </c>
      <c r="H740">
        <v>7.5</v>
      </c>
      <c r="I740">
        <v>81.7</v>
      </c>
      <c r="J740">
        <v>612.74</v>
      </c>
      <c r="K740" t="s">
        <v>96</v>
      </c>
      <c r="L740" t="b">
        <v>0</v>
      </c>
    </row>
    <row r="741" spans="1:13" ht="34" x14ac:dyDescent="0.2">
      <c r="A741" t="s">
        <v>1121</v>
      </c>
      <c r="B741" t="s">
        <v>243</v>
      </c>
      <c r="C741" t="s">
        <v>194</v>
      </c>
      <c r="D741" s="1">
        <v>45133</v>
      </c>
      <c r="E741" s="6" t="s">
        <v>89</v>
      </c>
      <c r="F741" t="s">
        <v>45</v>
      </c>
      <c r="G741" s="3" t="s">
        <v>46</v>
      </c>
      <c r="H741">
        <v>5.2</v>
      </c>
      <c r="I741">
        <v>41.97</v>
      </c>
      <c r="J741">
        <v>218.24</v>
      </c>
      <c r="K741" t="s">
        <v>96</v>
      </c>
      <c r="L741" t="b">
        <v>0</v>
      </c>
    </row>
    <row r="742" spans="1:13" ht="34" x14ac:dyDescent="0.2">
      <c r="A742" t="s">
        <v>1122</v>
      </c>
      <c r="B742" t="s">
        <v>588</v>
      </c>
      <c r="C742" t="s">
        <v>191</v>
      </c>
      <c r="D742" s="1">
        <v>44950</v>
      </c>
      <c r="E742" s="6" t="s">
        <v>60</v>
      </c>
      <c r="F742" t="s">
        <v>54</v>
      </c>
      <c r="G742" s="3" t="s">
        <v>55</v>
      </c>
      <c r="H742">
        <v>5.0999999999999996</v>
      </c>
      <c r="I742">
        <v>55.52</v>
      </c>
      <c r="J742">
        <v>283.17</v>
      </c>
      <c r="K742" t="s">
        <v>113</v>
      </c>
      <c r="L742" t="b">
        <v>0</v>
      </c>
    </row>
    <row r="743" spans="1:13" ht="34" x14ac:dyDescent="0.2">
      <c r="A743" t="s">
        <v>1123</v>
      </c>
      <c r="B743" t="s">
        <v>1124</v>
      </c>
      <c r="C743" t="s">
        <v>85</v>
      </c>
      <c r="D743" s="1">
        <v>45293</v>
      </c>
      <c r="E743" s="6" t="s">
        <v>78</v>
      </c>
      <c r="F743" t="s">
        <v>24</v>
      </c>
      <c r="G743" s="3" t="s">
        <v>25</v>
      </c>
      <c r="H743">
        <v>3.8</v>
      </c>
      <c r="I743">
        <v>64.09</v>
      </c>
      <c r="J743">
        <v>243.55</v>
      </c>
      <c r="K743" t="s">
        <v>113</v>
      </c>
      <c r="L743" t="b">
        <v>0</v>
      </c>
    </row>
    <row r="744" spans="1:13" ht="34" x14ac:dyDescent="0.2">
      <c r="A744" t="s">
        <v>1125</v>
      </c>
      <c r="B744" t="s">
        <v>536</v>
      </c>
      <c r="C744" t="s">
        <v>343</v>
      </c>
      <c r="D744" s="1">
        <v>45066</v>
      </c>
      <c r="E744" s="6" t="s">
        <v>89</v>
      </c>
      <c r="F744" t="s">
        <v>90</v>
      </c>
      <c r="G744" s="3" t="s">
        <v>91</v>
      </c>
      <c r="H744">
        <v>7.7</v>
      </c>
      <c r="I744">
        <v>35.04</v>
      </c>
      <c r="J744">
        <v>269.83999999999997</v>
      </c>
      <c r="K744" t="s">
        <v>113</v>
      </c>
      <c r="L744" t="b">
        <v>0</v>
      </c>
    </row>
    <row r="745" spans="1:13" ht="34" x14ac:dyDescent="0.2">
      <c r="A745" t="s">
        <v>1126</v>
      </c>
      <c r="B745" t="s">
        <v>466</v>
      </c>
      <c r="C745" t="s">
        <v>159</v>
      </c>
      <c r="D745" s="1">
        <v>45033</v>
      </c>
      <c r="E745" s="6" t="s">
        <v>16</v>
      </c>
      <c r="F745" t="s">
        <v>24</v>
      </c>
      <c r="G745" s="3" t="s">
        <v>25</v>
      </c>
      <c r="H745">
        <v>5.8</v>
      </c>
      <c r="I745">
        <v>37.65</v>
      </c>
      <c r="J745">
        <v>218.35</v>
      </c>
      <c r="K745" t="s">
        <v>113</v>
      </c>
      <c r="L745" t="b">
        <v>1</v>
      </c>
      <c r="M745" s="3" t="s">
        <v>102</v>
      </c>
    </row>
    <row r="746" spans="1:13" ht="17" x14ac:dyDescent="0.2">
      <c r="A746" t="s">
        <v>1127</v>
      </c>
      <c r="B746" t="s">
        <v>349</v>
      </c>
      <c r="C746" t="s">
        <v>153</v>
      </c>
      <c r="D746" s="1">
        <v>45252</v>
      </c>
      <c r="E746" s="6" t="s">
        <v>44</v>
      </c>
      <c r="F746" t="s">
        <v>30</v>
      </c>
      <c r="G746" s="3" t="s">
        <v>31</v>
      </c>
      <c r="H746">
        <v>7.2</v>
      </c>
      <c r="I746">
        <v>50.45</v>
      </c>
      <c r="J746">
        <v>363.26</v>
      </c>
      <c r="K746" t="s">
        <v>32</v>
      </c>
      <c r="L746" t="b">
        <v>0</v>
      </c>
    </row>
    <row r="747" spans="1:13" ht="17" x14ac:dyDescent="0.2">
      <c r="A747" t="s">
        <v>1128</v>
      </c>
      <c r="B747" t="s">
        <v>137</v>
      </c>
      <c r="C747" t="s">
        <v>29</v>
      </c>
      <c r="D747" s="1">
        <v>45137</v>
      </c>
      <c r="E747" s="6" t="s">
        <v>16</v>
      </c>
      <c r="F747" t="s">
        <v>30</v>
      </c>
      <c r="G747" s="3" t="s">
        <v>31</v>
      </c>
      <c r="H747">
        <v>5.2</v>
      </c>
      <c r="I747">
        <v>67.16</v>
      </c>
      <c r="J747">
        <v>349.26</v>
      </c>
      <c r="K747" t="s">
        <v>105</v>
      </c>
      <c r="L747" t="b">
        <v>0</v>
      </c>
    </row>
    <row r="748" spans="1:13" ht="34" x14ac:dyDescent="0.2">
      <c r="A748" t="s">
        <v>1129</v>
      </c>
      <c r="B748" t="s">
        <v>842</v>
      </c>
      <c r="C748" t="s">
        <v>43</v>
      </c>
      <c r="D748" s="1">
        <v>45405</v>
      </c>
      <c r="E748" s="6" t="s">
        <v>16</v>
      </c>
      <c r="F748" t="s">
        <v>61</v>
      </c>
      <c r="G748" s="3" t="s">
        <v>62</v>
      </c>
      <c r="H748">
        <v>5.9</v>
      </c>
      <c r="I748">
        <v>81.39</v>
      </c>
      <c r="J748">
        <v>480.17</v>
      </c>
      <c r="K748" t="s">
        <v>92</v>
      </c>
      <c r="L748" t="b">
        <v>0</v>
      </c>
    </row>
    <row r="749" spans="1:13" ht="68" x14ac:dyDescent="0.2">
      <c r="A749" t="s">
        <v>1130</v>
      </c>
      <c r="B749" t="s">
        <v>142</v>
      </c>
      <c r="C749" t="s">
        <v>35</v>
      </c>
      <c r="D749" s="1">
        <v>45218</v>
      </c>
      <c r="E749" s="6" t="s">
        <v>44</v>
      </c>
      <c r="F749" t="s">
        <v>50</v>
      </c>
      <c r="G749" s="3" t="s">
        <v>51</v>
      </c>
      <c r="H749">
        <v>2.1</v>
      </c>
      <c r="I749">
        <v>68.010000000000005</v>
      </c>
      <c r="J749">
        <v>142.83000000000001</v>
      </c>
      <c r="K749" t="s">
        <v>19</v>
      </c>
      <c r="L749" t="b">
        <v>0</v>
      </c>
    </row>
    <row r="750" spans="1:13" ht="34" x14ac:dyDescent="0.2">
      <c r="A750" t="s">
        <v>1131</v>
      </c>
      <c r="B750" t="s">
        <v>75</v>
      </c>
      <c r="C750" t="s">
        <v>127</v>
      </c>
      <c r="D750" s="1">
        <v>45569</v>
      </c>
      <c r="E750" s="6" t="s">
        <v>78</v>
      </c>
      <c r="F750" t="s">
        <v>90</v>
      </c>
      <c r="G750" s="3" t="s">
        <v>91</v>
      </c>
      <c r="H750">
        <v>2.4</v>
      </c>
      <c r="I750">
        <v>35.68</v>
      </c>
      <c r="J750">
        <v>85.63</v>
      </c>
      <c r="K750" t="s">
        <v>36</v>
      </c>
      <c r="L750" t="b">
        <v>0</v>
      </c>
    </row>
    <row r="751" spans="1:13" ht="34" x14ac:dyDescent="0.2">
      <c r="A751" t="s">
        <v>1132</v>
      </c>
      <c r="B751" t="s">
        <v>753</v>
      </c>
      <c r="C751" t="s">
        <v>22</v>
      </c>
      <c r="D751" s="1">
        <v>45612</v>
      </c>
      <c r="E751" s="6" t="s">
        <v>78</v>
      </c>
      <c r="F751" t="s">
        <v>90</v>
      </c>
      <c r="G751" s="3" t="s">
        <v>91</v>
      </c>
      <c r="H751">
        <v>5.4</v>
      </c>
      <c r="I751">
        <v>38.659999999999997</v>
      </c>
      <c r="J751">
        <v>208.76</v>
      </c>
      <c r="K751" t="s">
        <v>32</v>
      </c>
      <c r="L751" t="b">
        <v>0</v>
      </c>
    </row>
    <row r="752" spans="1:13" ht="34" x14ac:dyDescent="0.2">
      <c r="A752" t="s">
        <v>1133</v>
      </c>
      <c r="B752" t="s">
        <v>897</v>
      </c>
      <c r="C752" t="s">
        <v>280</v>
      </c>
      <c r="D752" s="1">
        <v>45249</v>
      </c>
      <c r="E752" s="6" t="s">
        <v>60</v>
      </c>
      <c r="F752" t="s">
        <v>61</v>
      </c>
      <c r="G752" s="3" t="s">
        <v>62</v>
      </c>
      <c r="H752">
        <v>4.3</v>
      </c>
      <c r="I752">
        <v>62.81</v>
      </c>
      <c r="J752">
        <v>270.10000000000002</v>
      </c>
      <c r="K752" t="s">
        <v>36</v>
      </c>
      <c r="L752" t="b">
        <v>0</v>
      </c>
    </row>
    <row r="753" spans="1:13" ht="34" x14ac:dyDescent="0.2">
      <c r="A753" t="s">
        <v>1134</v>
      </c>
      <c r="B753" t="s">
        <v>64</v>
      </c>
      <c r="C753" t="s">
        <v>127</v>
      </c>
      <c r="D753" s="1">
        <v>45054</v>
      </c>
      <c r="E753" s="6" t="s">
        <v>89</v>
      </c>
      <c r="F753" t="s">
        <v>54</v>
      </c>
      <c r="G753" s="3" t="s">
        <v>55</v>
      </c>
      <c r="H753">
        <v>11.5</v>
      </c>
      <c r="I753">
        <v>65.400000000000006</v>
      </c>
      <c r="J753">
        <v>750</v>
      </c>
      <c r="K753" t="s">
        <v>32</v>
      </c>
      <c r="L753" t="b">
        <v>1</v>
      </c>
      <c r="M753" s="3" t="s">
        <v>40</v>
      </c>
    </row>
    <row r="754" spans="1:13" ht="34" x14ac:dyDescent="0.2">
      <c r="A754" t="s">
        <v>1135</v>
      </c>
      <c r="B754" t="s">
        <v>155</v>
      </c>
      <c r="C754" t="s">
        <v>295</v>
      </c>
      <c r="D754" s="1">
        <v>45364</v>
      </c>
      <c r="E754" s="6" t="s">
        <v>16</v>
      </c>
      <c r="F754" t="s">
        <v>24</v>
      </c>
      <c r="G754" s="3" t="s">
        <v>25</v>
      </c>
      <c r="H754">
        <v>5.8</v>
      </c>
      <c r="I754">
        <v>62.1</v>
      </c>
      <c r="J754">
        <v>360.19</v>
      </c>
      <c r="K754" t="s">
        <v>113</v>
      </c>
      <c r="L754" t="b">
        <v>0</v>
      </c>
    </row>
    <row r="755" spans="1:13" ht="34" x14ac:dyDescent="0.2">
      <c r="A755" t="s">
        <v>1136</v>
      </c>
      <c r="B755" t="s">
        <v>738</v>
      </c>
      <c r="C755" t="s">
        <v>183</v>
      </c>
      <c r="D755" s="1">
        <v>45209</v>
      </c>
      <c r="E755" s="6" t="s">
        <v>89</v>
      </c>
      <c r="F755" t="s">
        <v>24</v>
      </c>
      <c r="G755" s="3" t="s">
        <v>25</v>
      </c>
      <c r="H755">
        <v>6.2</v>
      </c>
      <c r="I755">
        <v>29.36</v>
      </c>
      <c r="J755">
        <v>182</v>
      </c>
      <c r="K755" t="s">
        <v>96</v>
      </c>
      <c r="L755" t="b">
        <v>0</v>
      </c>
    </row>
    <row r="756" spans="1:13" ht="34" x14ac:dyDescent="0.2">
      <c r="A756" t="s">
        <v>1137</v>
      </c>
      <c r="B756" t="s">
        <v>284</v>
      </c>
      <c r="C756" t="s">
        <v>268</v>
      </c>
      <c r="D756" s="1">
        <v>44998</v>
      </c>
      <c r="E756" s="6" t="s">
        <v>89</v>
      </c>
      <c r="F756" t="s">
        <v>90</v>
      </c>
      <c r="G756" s="3" t="s">
        <v>91</v>
      </c>
      <c r="H756">
        <v>3.7</v>
      </c>
      <c r="I756">
        <v>66.150000000000006</v>
      </c>
      <c r="J756">
        <v>244.77</v>
      </c>
      <c r="K756" t="s">
        <v>92</v>
      </c>
      <c r="L756" t="b">
        <v>0</v>
      </c>
    </row>
    <row r="757" spans="1:13" ht="34" x14ac:dyDescent="0.2">
      <c r="A757" t="s">
        <v>1138</v>
      </c>
      <c r="B757" t="s">
        <v>101</v>
      </c>
      <c r="C757" t="s">
        <v>49</v>
      </c>
      <c r="D757" s="1">
        <v>45337</v>
      </c>
      <c r="E757" s="6" t="s">
        <v>60</v>
      </c>
      <c r="F757" t="s">
        <v>90</v>
      </c>
      <c r="G757" s="3" t="s">
        <v>91</v>
      </c>
      <c r="H757">
        <v>3.7</v>
      </c>
      <c r="I757">
        <v>80.599999999999994</v>
      </c>
      <c r="J757">
        <v>298.23</v>
      </c>
      <c r="K757" t="s">
        <v>36</v>
      </c>
      <c r="L757" t="b">
        <v>0</v>
      </c>
    </row>
    <row r="758" spans="1:13" ht="34" x14ac:dyDescent="0.2">
      <c r="A758" t="s">
        <v>1139</v>
      </c>
      <c r="B758" t="s">
        <v>796</v>
      </c>
      <c r="C758" t="s">
        <v>130</v>
      </c>
      <c r="D758" s="1">
        <v>45052</v>
      </c>
      <c r="E758" s="6" t="s">
        <v>23</v>
      </c>
      <c r="F758" t="s">
        <v>61</v>
      </c>
      <c r="G758" s="3" t="s">
        <v>62</v>
      </c>
      <c r="H758">
        <v>6.9</v>
      </c>
      <c r="I758">
        <v>26.85</v>
      </c>
      <c r="J758">
        <v>185.26</v>
      </c>
      <c r="K758" t="s">
        <v>105</v>
      </c>
      <c r="L758" t="b">
        <v>0</v>
      </c>
    </row>
    <row r="759" spans="1:13" ht="17" x14ac:dyDescent="0.2">
      <c r="A759" t="s">
        <v>1140</v>
      </c>
      <c r="B759" t="s">
        <v>975</v>
      </c>
      <c r="C759" t="s">
        <v>211</v>
      </c>
      <c r="D759" s="1">
        <v>45237</v>
      </c>
      <c r="E759" s="6" t="s">
        <v>89</v>
      </c>
      <c r="F759" t="s">
        <v>30</v>
      </c>
      <c r="G759" s="3" t="s">
        <v>31</v>
      </c>
      <c r="H759">
        <v>2.8</v>
      </c>
      <c r="I759">
        <v>48.46</v>
      </c>
      <c r="J759">
        <v>135.69</v>
      </c>
      <c r="K759" t="s">
        <v>19</v>
      </c>
      <c r="L759" t="b">
        <v>0</v>
      </c>
    </row>
    <row r="760" spans="1:13" ht="34" x14ac:dyDescent="0.2">
      <c r="A760" t="s">
        <v>1141</v>
      </c>
      <c r="B760" t="s">
        <v>1142</v>
      </c>
      <c r="C760" t="s">
        <v>85</v>
      </c>
      <c r="D760" s="1">
        <v>45202</v>
      </c>
      <c r="E760" s="6" t="s">
        <v>16</v>
      </c>
      <c r="F760" t="s">
        <v>45</v>
      </c>
      <c r="G760" s="3" t="s">
        <v>46</v>
      </c>
      <c r="H760">
        <v>18.3</v>
      </c>
      <c r="I760">
        <v>33.64</v>
      </c>
      <c r="J760">
        <v>615.61</v>
      </c>
      <c r="K760" t="s">
        <v>113</v>
      </c>
      <c r="L760" t="b">
        <v>1</v>
      </c>
      <c r="M760" s="3" t="s">
        <v>79</v>
      </c>
    </row>
    <row r="761" spans="1:13" ht="34" x14ac:dyDescent="0.2">
      <c r="A761" t="s">
        <v>1143</v>
      </c>
      <c r="B761" t="s">
        <v>1144</v>
      </c>
      <c r="C761" t="s">
        <v>183</v>
      </c>
      <c r="D761" s="1">
        <v>45625</v>
      </c>
      <c r="E761" s="6" t="s">
        <v>89</v>
      </c>
      <c r="F761" t="s">
        <v>54</v>
      </c>
      <c r="G761" s="3" t="s">
        <v>55</v>
      </c>
      <c r="H761">
        <v>7.7</v>
      </c>
      <c r="I761">
        <v>25.67</v>
      </c>
      <c r="J761">
        <v>197.65</v>
      </c>
      <c r="K761" t="s">
        <v>96</v>
      </c>
      <c r="L761" t="b">
        <v>0</v>
      </c>
    </row>
    <row r="762" spans="1:13" ht="68" x14ac:dyDescent="0.2">
      <c r="A762" t="s">
        <v>1145</v>
      </c>
      <c r="B762" t="s">
        <v>1146</v>
      </c>
      <c r="C762" t="s">
        <v>175</v>
      </c>
      <c r="D762" s="1">
        <v>44978</v>
      </c>
      <c r="E762" s="6" t="s">
        <v>89</v>
      </c>
      <c r="F762" t="s">
        <v>50</v>
      </c>
      <c r="G762" s="3" t="s">
        <v>51</v>
      </c>
      <c r="H762">
        <v>2.7</v>
      </c>
      <c r="I762">
        <v>25.3</v>
      </c>
      <c r="J762">
        <v>68.31</v>
      </c>
      <c r="K762" t="s">
        <v>19</v>
      </c>
      <c r="L762" t="b">
        <v>0</v>
      </c>
    </row>
    <row r="763" spans="1:13" ht="34" x14ac:dyDescent="0.2">
      <c r="A763" t="s">
        <v>1147</v>
      </c>
      <c r="B763" t="s">
        <v>302</v>
      </c>
      <c r="C763" t="s">
        <v>43</v>
      </c>
      <c r="D763" s="1">
        <v>45166</v>
      </c>
      <c r="E763" s="6" t="s">
        <v>78</v>
      </c>
      <c r="F763" t="s">
        <v>61</v>
      </c>
      <c r="G763" s="3" t="s">
        <v>62</v>
      </c>
      <c r="H763">
        <v>5.2</v>
      </c>
      <c r="I763">
        <v>81.819999999999993</v>
      </c>
      <c r="J763">
        <v>425.46</v>
      </c>
      <c r="K763" t="s">
        <v>96</v>
      </c>
      <c r="L763" t="b">
        <v>0</v>
      </c>
    </row>
    <row r="764" spans="1:13" ht="34" x14ac:dyDescent="0.2">
      <c r="A764" t="s">
        <v>1148</v>
      </c>
      <c r="B764" t="s">
        <v>488</v>
      </c>
      <c r="C764" t="s">
        <v>323</v>
      </c>
      <c r="D764" s="1">
        <v>44986</v>
      </c>
      <c r="E764" s="6" t="s">
        <v>78</v>
      </c>
      <c r="F764" t="s">
        <v>30</v>
      </c>
      <c r="G764" s="3" t="s">
        <v>31</v>
      </c>
      <c r="H764">
        <v>6.5</v>
      </c>
      <c r="I764">
        <v>79.209999999999994</v>
      </c>
      <c r="J764">
        <v>514.88</v>
      </c>
      <c r="K764" t="s">
        <v>56</v>
      </c>
      <c r="L764" t="b">
        <v>1</v>
      </c>
      <c r="M764" s="3" t="s">
        <v>102</v>
      </c>
    </row>
    <row r="765" spans="1:13" ht="17" x14ac:dyDescent="0.2">
      <c r="A765" t="s">
        <v>1149</v>
      </c>
      <c r="B765" t="s">
        <v>356</v>
      </c>
      <c r="C765" t="s">
        <v>211</v>
      </c>
      <c r="D765" s="1">
        <v>45465</v>
      </c>
      <c r="E765" s="6" t="s">
        <v>89</v>
      </c>
      <c r="F765" t="s">
        <v>30</v>
      </c>
      <c r="G765" s="3" t="s">
        <v>31</v>
      </c>
      <c r="H765">
        <v>4.5</v>
      </c>
      <c r="I765">
        <v>63.76</v>
      </c>
      <c r="J765">
        <v>286.89999999999998</v>
      </c>
      <c r="K765" t="s">
        <v>82</v>
      </c>
      <c r="L765" t="b">
        <v>0</v>
      </c>
    </row>
    <row r="766" spans="1:13" ht="68" x14ac:dyDescent="0.2">
      <c r="A766" t="s">
        <v>1150</v>
      </c>
      <c r="B766" t="s">
        <v>690</v>
      </c>
      <c r="C766" t="s">
        <v>207</v>
      </c>
      <c r="D766" s="1">
        <v>45089</v>
      </c>
      <c r="E766" s="6" t="s">
        <v>78</v>
      </c>
      <c r="F766" t="s">
        <v>50</v>
      </c>
      <c r="G766" s="3" t="s">
        <v>51</v>
      </c>
      <c r="H766">
        <v>26.1</v>
      </c>
      <c r="I766">
        <v>38.25</v>
      </c>
      <c r="J766">
        <v>1000</v>
      </c>
      <c r="K766" t="s">
        <v>82</v>
      </c>
      <c r="L766" t="b">
        <v>1</v>
      </c>
      <c r="M766" s="3" t="s">
        <v>40</v>
      </c>
    </row>
    <row r="767" spans="1:13" ht="17" x14ac:dyDescent="0.2">
      <c r="A767" t="s">
        <v>1151</v>
      </c>
      <c r="B767" t="s">
        <v>895</v>
      </c>
      <c r="C767" t="s">
        <v>191</v>
      </c>
      <c r="D767" s="1">
        <v>45252</v>
      </c>
      <c r="E767" s="6" t="s">
        <v>89</v>
      </c>
      <c r="F767" t="s">
        <v>30</v>
      </c>
      <c r="G767" s="3" t="s">
        <v>31</v>
      </c>
      <c r="H767">
        <v>2.7</v>
      </c>
      <c r="I767">
        <v>65.260000000000005</v>
      </c>
      <c r="J767">
        <v>176.2</v>
      </c>
      <c r="K767" t="s">
        <v>92</v>
      </c>
      <c r="L767" t="b">
        <v>0</v>
      </c>
    </row>
    <row r="768" spans="1:13" ht="34" x14ac:dyDescent="0.2">
      <c r="A768" t="s">
        <v>1152</v>
      </c>
      <c r="B768" t="s">
        <v>602</v>
      </c>
      <c r="C768" t="s">
        <v>110</v>
      </c>
      <c r="D768" s="1">
        <v>45302</v>
      </c>
      <c r="E768" s="6" t="s">
        <v>89</v>
      </c>
      <c r="F768" t="s">
        <v>24</v>
      </c>
      <c r="G768" s="3" t="s">
        <v>25</v>
      </c>
      <c r="H768">
        <v>7.1</v>
      </c>
      <c r="I768">
        <v>80.94</v>
      </c>
      <c r="J768">
        <v>574.69000000000005</v>
      </c>
      <c r="K768" t="s">
        <v>56</v>
      </c>
      <c r="L768" t="b">
        <v>0</v>
      </c>
    </row>
    <row r="769" spans="1:13" ht="17" x14ac:dyDescent="0.2">
      <c r="A769" t="s">
        <v>1153</v>
      </c>
      <c r="B769" t="s">
        <v>847</v>
      </c>
      <c r="C769" t="s">
        <v>29</v>
      </c>
      <c r="D769" s="1">
        <v>45412</v>
      </c>
      <c r="E769" s="6" t="s">
        <v>16</v>
      </c>
      <c r="F769" t="s">
        <v>17</v>
      </c>
      <c r="G769" s="3" t="s">
        <v>18</v>
      </c>
      <c r="H769">
        <v>5.9</v>
      </c>
      <c r="I769">
        <v>29.39</v>
      </c>
      <c r="J769">
        <v>173.39</v>
      </c>
      <c r="K769" t="s">
        <v>92</v>
      </c>
      <c r="L769" t="b">
        <v>0</v>
      </c>
    </row>
    <row r="770" spans="1:13" ht="34" x14ac:dyDescent="0.2">
      <c r="A770" t="s">
        <v>1154</v>
      </c>
      <c r="B770" t="s">
        <v>690</v>
      </c>
      <c r="C770" t="s">
        <v>122</v>
      </c>
      <c r="D770" s="1">
        <v>45395</v>
      </c>
      <c r="E770" s="6" t="s">
        <v>89</v>
      </c>
      <c r="F770" t="s">
        <v>90</v>
      </c>
      <c r="G770" s="3" t="s">
        <v>91</v>
      </c>
      <c r="H770">
        <v>3.5</v>
      </c>
      <c r="I770">
        <v>36.85</v>
      </c>
      <c r="J770">
        <v>128.96</v>
      </c>
      <c r="K770" t="s">
        <v>82</v>
      </c>
      <c r="L770" t="b">
        <v>0</v>
      </c>
    </row>
    <row r="771" spans="1:13" ht="17" x14ac:dyDescent="0.2">
      <c r="A771" t="s">
        <v>1155</v>
      </c>
      <c r="B771" t="s">
        <v>525</v>
      </c>
      <c r="C771" t="s">
        <v>295</v>
      </c>
      <c r="D771" s="1">
        <v>45452</v>
      </c>
      <c r="E771" s="6" t="s">
        <v>16</v>
      </c>
      <c r="F771" t="s">
        <v>17</v>
      </c>
      <c r="G771" s="3" t="s">
        <v>18</v>
      </c>
      <c r="H771">
        <v>7.7</v>
      </c>
      <c r="I771">
        <v>46.43</v>
      </c>
      <c r="J771">
        <v>357.5</v>
      </c>
      <c r="K771" t="s">
        <v>32</v>
      </c>
      <c r="L771" t="b">
        <v>0</v>
      </c>
    </row>
    <row r="772" spans="1:13" ht="17" x14ac:dyDescent="0.2">
      <c r="A772" t="s">
        <v>1156</v>
      </c>
      <c r="B772" t="s">
        <v>736</v>
      </c>
      <c r="C772" t="s">
        <v>191</v>
      </c>
      <c r="D772" s="1">
        <v>45028</v>
      </c>
      <c r="E772" s="6" t="s">
        <v>23</v>
      </c>
      <c r="F772" t="s">
        <v>30</v>
      </c>
      <c r="G772" s="3" t="s">
        <v>31</v>
      </c>
      <c r="H772">
        <v>2.6</v>
      </c>
      <c r="I772">
        <v>62.17</v>
      </c>
      <c r="J772">
        <v>161.63999999999999</v>
      </c>
      <c r="K772" t="s">
        <v>96</v>
      </c>
      <c r="L772" t="b">
        <v>0</v>
      </c>
    </row>
    <row r="773" spans="1:13" ht="34" x14ac:dyDescent="0.2">
      <c r="A773" t="s">
        <v>1157</v>
      </c>
      <c r="B773" t="s">
        <v>452</v>
      </c>
      <c r="C773" t="s">
        <v>127</v>
      </c>
      <c r="D773" s="1">
        <v>45496</v>
      </c>
      <c r="E773" s="6" t="s">
        <v>16</v>
      </c>
      <c r="F773" t="s">
        <v>54</v>
      </c>
      <c r="G773" s="3" t="s">
        <v>55</v>
      </c>
      <c r="H773">
        <v>4.9000000000000004</v>
      </c>
      <c r="I773">
        <v>44.7</v>
      </c>
      <c r="J773">
        <v>219.03</v>
      </c>
      <c r="K773" t="s">
        <v>82</v>
      </c>
      <c r="L773" t="b">
        <v>0</v>
      </c>
    </row>
    <row r="774" spans="1:13" ht="34" x14ac:dyDescent="0.2">
      <c r="A774" t="s">
        <v>1158</v>
      </c>
      <c r="B774" t="s">
        <v>558</v>
      </c>
      <c r="C774" t="s">
        <v>43</v>
      </c>
      <c r="D774" s="1">
        <v>45248</v>
      </c>
      <c r="E774" s="6" t="s">
        <v>89</v>
      </c>
      <c r="F774" t="s">
        <v>45</v>
      </c>
      <c r="G774" s="3" t="s">
        <v>46</v>
      </c>
      <c r="H774">
        <v>6.2</v>
      </c>
      <c r="I774">
        <v>34.14</v>
      </c>
      <c r="J774">
        <v>211.69</v>
      </c>
      <c r="K774" t="s">
        <v>26</v>
      </c>
      <c r="L774" t="b">
        <v>1</v>
      </c>
      <c r="M774" s="3" t="s">
        <v>102</v>
      </c>
    </row>
    <row r="775" spans="1:13" ht="34" x14ac:dyDescent="0.2">
      <c r="A775" t="s">
        <v>1159</v>
      </c>
      <c r="B775" t="s">
        <v>558</v>
      </c>
      <c r="C775" t="s">
        <v>274</v>
      </c>
      <c r="D775" s="1">
        <v>44957</v>
      </c>
      <c r="E775" s="6" t="s">
        <v>23</v>
      </c>
      <c r="F775" t="s">
        <v>54</v>
      </c>
      <c r="G775" s="3" t="s">
        <v>55</v>
      </c>
      <c r="H775">
        <v>6.8</v>
      </c>
      <c r="I775">
        <v>82.52</v>
      </c>
      <c r="J775">
        <v>561.13</v>
      </c>
      <c r="K775" t="s">
        <v>26</v>
      </c>
      <c r="L775" t="b">
        <v>0</v>
      </c>
    </row>
    <row r="776" spans="1:13" ht="34" x14ac:dyDescent="0.2">
      <c r="A776" t="s">
        <v>1160</v>
      </c>
      <c r="B776" t="s">
        <v>77</v>
      </c>
      <c r="C776" t="s">
        <v>323</v>
      </c>
      <c r="D776" s="1">
        <v>45228</v>
      </c>
      <c r="E776" s="6" t="s">
        <v>16</v>
      </c>
      <c r="F776" t="s">
        <v>24</v>
      </c>
      <c r="G776" s="3" t="s">
        <v>25</v>
      </c>
      <c r="H776">
        <v>3.9</v>
      </c>
      <c r="I776">
        <v>72.14</v>
      </c>
      <c r="J776">
        <v>281.33999999999997</v>
      </c>
      <c r="K776" t="s">
        <v>26</v>
      </c>
      <c r="L776" t="b">
        <v>0</v>
      </c>
    </row>
    <row r="777" spans="1:13" ht="34" x14ac:dyDescent="0.2">
      <c r="A777" t="s">
        <v>1161</v>
      </c>
      <c r="B777" t="s">
        <v>378</v>
      </c>
      <c r="C777" t="s">
        <v>186</v>
      </c>
      <c r="D777" s="1">
        <v>45573</v>
      </c>
      <c r="E777" s="6" t="s">
        <v>16</v>
      </c>
      <c r="F777" t="s">
        <v>61</v>
      </c>
      <c r="G777" s="3" t="s">
        <v>62</v>
      </c>
      <c r="H777">
        <v>3.7</v>
      </c>
      <c r="I777">
        <v>46.57</v>
      </c>
      <c r="J777">
        <v>172.31</v>
      </c>
      <c r="K777" t="s">
        <v>26</v>
      </c>
      <c r="L777" t="b">
        <v>1</v>
      </c>
      <c r="M777" s="3" t="s">
        <v>102</v>
      </c>
    </row>
    <row r="778" spans="1:13" ht="34" x14ac:dyDescent="0.2">
      <c r="A778" t="s">
        <v>1162</v>
      </c>
      <c r="B778" t="s">
        <v>912</v>
      </c>
      <c r="C778" t="s">
        <v>35</v>
      </c>
      <c r="D778" s="1">
        <v>45363</v>
      </c>
      <c r="E778" s="6" t="s">
        <v>78</v>
      </c>
      <c r="F778" t="s">
        <v>54</v>
      </c>
      <c r="G778" s="3" t="s">
        <v>55</v>
      </c>
      <c r="H778">
        <v>7.3</v>
      </c>
      <c r="I778">
        <v>52.77</v>
      </c>
      <c r="J778">
        <v>385.23</v>
      </c>
      <c r="K778" t="s">
        <v>82</v>
      </c>
      <c r="L778" t="b">
        <v>1</v>
      </c>
      <c r="M778" s="3" t="s">
        <v>102</v>
      </c>
    </row>
    <row r="779" spans="1:13" ht="34" x14ac:dyDescent="0.2">
      <c r="A779" t="s">
        <v>1163</v>
      </c>
      <c r="B779" t="s">
        <v>112</v>
      </c>
      <c r="C779" t="s">
        <v>110</v>
      </c>
      <c r="D779" s="1">
        <v>44988</v>
      </c>
      <c r="E779" s="6" t="s">
        <v>16</v>
      </c>
      <c r="F779" t="s">
        <v>45</v>
      </c>
      <c r="G779" s="3" t="s">
        <v>46</v>
      </c>
      <c r="H779">
        <v>4.9000000000000004</v>
      </c>
      <c r="I779">
        <v>31.53</v>
      </c>
      <c r="J779">
        <v>154.5</v>
      </c>
      <c r="K779" t="s">
        <v>113</v>
      </c>
      <c r="L779" t="b">
        <v>0</v>
      </c>
    </row>
    <row r="780" spans="1:13" ht="34" x14ac:dyDescent="0.2">
      <c r="A780" t="s">
        <v>1164</v>
      </c>
      <c r="B780" t="s">
        <v>429</v>
      </c>
      <c r="C780" t="s">
        <v>266</v>
      </c>
      <c r="D780" s="1">
        <v>45647</v>
      </c>
      <c r="E780" s="6" t="s">
        <v>23</v>
      </c>
      <c r="F780" t="s">
        <v>90</v>
      </c>
      <c r="G780" s="3" t="s">
        <v>91</v>
      </c>
      <c r="H780">
        <v>7.1</v>
      </c>
      <c r="I780">
        <v>76.52</v>
      </c>
      <c r="J780">
        <v>543.30999999999995</v>
      </c>
      <c r="K780" t="s">
        <v>92</v>
      </c>
      <c r="L780" t="b">
        <v>0</v>
      </c>
    </row>
    <row r="781" spans="1:13" ht="17" x14ac:dyDescent="0.2">
      <c r="A781" t="s">
        <v>1165</v>
      </c>
      <c r="B781" t="s">
        <v>327</v>
      </c>
      <c r="C781" t="s">
        <v>211</v>
      </c>
      <c r="D781" s="1">
        <v>45442</v>
      </c>
      <c r="E781" s="6" t="s">
        <v>44</v>
      </c>
      <c r="F781" t="s">
        <v>30</v>
      </c>
      <c r="G781" s="3" t="s">
        <v>31</v>
      </c>
      <c r="H781">
        <v>3.6</v>
      </c>
      <c r="I781">
        <v>78.180000000000007</v>
      </c>
      <c r="J781">
        <v>281.45</v>
      </c>
      <c r="K781" t="s">
        <v>105</v>
      </c>
      <c r="L781" t="b">
        <v>0</v>
      </c>
    </row>
    <row r="782" spans="1:13" ht="34" x14ac:dyDescent="0.2">
      <c r="A782" t="s">
        <v>1166</v>
      </c>
      <c r="B782" t="s">
        <v>1167</v>
      </c>
      <c r="C782" t="s">
        <v>133</v>
      </c>
      <c r="D782" s="1">
        <v>45559</v>
      </c>
      <c r="E782" s="6" t="s">
        <v>16</v>
      </c>
      <c r="F782" t="s">
        <v>90</v>
      </c>
      <c r="G782" s="3" t="s">
        <v>91</v>
      </c>
      <c r="H782">
        <v>7.4</v>
      </c>
      <c r="I782">
        <v>75.98</v>
      </c>
      <c r="J782">
        <v>562.22</v>
      </c>
      <c r="K782" t="s">
        <v>96</v>
      </c>
      <c r="L782" t="b">
        <v>0</v>
      </c>
    </row>
    <row r="783" spans="1:13" ht="34" x14ac:dyDescent="0.2">
      <c r="A783" t="s">
        <v>1168</v>
      </c>
      <c r="B783" t="s">
        <v>925</v>
      </c>
      <c r="C783" t="s">
        <v>207</v>
      </c>
      <c r="D783" s="1">
        <v>45500</v>
      </c>
      <c r="E783" s="6" t="s">
        <v>89</v>
      </c>
      <c r="F783" t="s">
        <v>24</v>
      </c>
      <c r="G783" s="3" t="s">
        <v>25</v>
      </c>
      <c r="H783">
        <v>6.9</v>
      </c>
      <c r="I783">
        <v>59.73</v>
      </c>
      <c r="J783">
        <v>412.16</v>
      </c>
      <c r="K783" t="s">
        <v>96</v>
      </c>
      <c r="L783" t="b">
        <v>0</v>
      </c>
    </row>
    <row r="784" spans="1:13" ht="17" x14ac:dyDescent="0.2">
      <c r="A784" t="s">
        <v>1169</v>
      </c>
      <c r="B784" t="s">
        <v>129</v>
      </c>
      <c r="C784" t="s">
        <v>332</v>
      </c>
      <c r="D784" s="1">
        <v>45203</v>
      </c>
      <c r="E784" s="6" t="s">
        <v>89</v>
      </c>
      <c r="F784" t="s">
        <v>30</v>
      </c>
      <c r="G784" s="3" t="s">
        <v>31</v>
      </c>
      <c r="H784">
        <v>7.4</v>
      </c>
      <c r="I784">
        <v>58.1</v>
      </c>
      <c r="J784">
        <v>429.91</v>
      </c>
      <c r="K784" t="s">
        <v>32</v>
      </c>
      <c r="L784" t="b">
        <v>0</v>
      </c>
    </row>
    <row r="785" spans="1:13" ht="17" x14ac:dyDescent="0.2">
      <c r="A785" t="s">
        <v>1170</v>
      </c>
      <c r="B785" t="s">
        <v>104</v>
      </c>
      <c r="C785" t="s">
        <v>59</v>
      </c>
      <c r="D785" s="1">
        <v>45611</v>
      </c>
      <c r="E785" s="6" t="s">
        <v>60</v>
      </c>
      <c r="F785" t="s">
        <v>17</v>
      </c>
      <c r="G785" s="3" t="s">
        <v>18</v>
      </c>
      <c r="H785">
        <v>5.9</v>
      </c>
      <c r="I785">
        <v>33.92</v>
      </c>
      <c r="J785">
        <v>200.12</v>
      </c>
      <c r="K785" t="s">
        <v>105</v>
      </c>
      <c r="L785" t="b">
        <v>0</v>
      </c>
    </row>
    <row r="786" spans="1:13" ht="17" x14ac:dyDescent="0.2">
      <c r="A786" t="s">
        <v>1171</v>
      </c>
      <c r="B786" t="s">
        <v>118</v>
      </c>
      <c r="C786" t="s">
        <v>130</v>
      </c>
      <c r="D786" s="1">
        <v>44933</v>
      </c>
      <c r="E786" s="6" t="s">
        <v>78</v>
      </c>
      <c r="F786" t="s">
        <v>30</v>
      </c>
      <c r="G786" s="3" t="s">
        <v>31</v>
      </c>
      <c r="H786">
        <v>7.3</v>
      </c>
      <c r="I786">
        <v>60.38</v>
      </c>
      <c r="J786">
        <v>440.75</v>
      </c>
      <c r="K786" t="s">
        <v>26</v>
      </c>
      <c r="L786" t="b">
        <v>0</v>
      </c>
    </row>
    <row r="787" spans="1:13" ht="68" x14ac:dyDescent="0.2">
      <c r="A787" t="s">
        <v>1172</v>
      </c>
      <c r="B787" t="s">
        <v>975</v>
      </c>
      <c r="C787" t="s">
        <v>172</v>
      </c>
      <c r="D787" s="1">
        <v>45260</v>
      </c>
      <c r="E787" s="6" t="s">
        <v>60</v>
      </c>
      <c r="F787" t="s">
        <v>50</v>
      </c>
      <c r="G787" s="3" t="s">
        <v>51</v>
      </c>
      <c r="H787">
        <v>4.8</v>
      </c>
      <c r="I787">
        <v>55.62</v>
      </c>
      <c r="J787">
        <v>267</v>
      </c>
      <c r="K787" t="s">
        <v>19</v>
      </c>
      <c r="L787" t="b">
        <v>0</v>
      </c>
    </row>
    <row r="788" spans="1:13" ht="34" x14ac:dyDescent="0.2">
      <c r="A788" t="s">
        <v>1173</v>
      </c>
      <c r="B788" t="s">
        <v>64</v>
      </c>
      <c r="C788" t="s">
        <v>110</v>
      </c>
      <c r="D788" s="1">
        <v>45279</v>
      </c>
      <c r="E788" s="6" t="s">
        <v>89</v>
      </c>
      <c r="F788" t="s">
        <v>54</v>
      </c>
      <c r="G788" s="3" t="s">
        <v>55</v>
      </c>
      <c r="H788">
        <v>5</v>
      </c>
      <c r="I788">
        <v>64.760000000000005</v>
      </c>
      <c r="J788">
        <v>323.8</v>
      </c>
      <c r="K788" t="s">
        <v>32</v>
      </c>
      <c r="L788" t="b">
        <v>0</v>
      </c>
    </row>
    <row r="789" spans="1:13" ht="68" x14ac:dyDescent="0.2">
      <c r="A789" t="s">
        <v>1174</v>
      </c>
      <c r="B789" t="s">
        <v>454</v>
      </c>
      <c r="C789" t="s">
        <v>130</v>
      </c>
      <c r="D789" s="1">
        <v>45001</v>
      </c>
      <c r="E789" s="6" t="s">
        <v>23</v>
      </c>
      <c r="F789" t="s">
        <v>50</v>
      </c>
      <c r="G789" s="3" t="s">
        <v>51</v>
      </c>
      <c r="H789">
        <v>6.5</v>
      </c>
      <c r="I789">
        <v>33.42</v>
      </c>
      <c r="J789">
        <v>217.24</v>
      </c>
      <c r="K789" t="s">
        <v>26</v>
      </c>
      <c r="L789" t="b">
        <v>0</v>
      </c>
    </row>
    <row r="790" spans="1:13" ht="68" x14ac:dyDescent="0.2">
      <c r="A790" t="s">
        <v>1175</v>
      </c>
      <c r="B790" t="s">
        <v>666</v>
      </c>
      <c r="C790" t="s">
        <v>274</v>
      </c>
      <c r="D790" s="1">
        <v>44968</v>
      </c>
      <c r="E790" s="6" t="s">
        <v>23</v>
      </c>
      <c r="F790" t="s">
        <v>50</v>
      </c>
      <c r="G790" s="3" t="s">
        <v>51</v>
      </c>
      <c r="H790">
        <v>5.4</v>
      </c>
      <c r="I790">
        <v>58.95</v>
      </c>
      <c r="J790">
        <v>318.32</v>
      </c>
      <c r="K790" t="s">
        <v>113</v>
      </c>
      <c r="L790" t="b">
        <v>0</v>
      </c>
    </row>
    <row r="791" spans="1:13" ht="17" x14ac:dyDescent="0.2">
      <c r="A791" t="s">
        <v>1176</v>
      </c>
      <c r="B791" t="s">
        <v>28</v>
      </c>
      <c r="C791" t="s">
        <v>353</v>
      </c>
      <c r="D791" s="1">
        <v>45384</v>
      </c>
      <c r="E791" s="6" t="s">
        <v>60</v>
      </c>
      <c r="F791" t="s">
        <v>17</v>
      </c>
      <c r="G791" s="3" t="s">
        <v>18</v>
      </c>
      <c r="H791">
        <v>7.6</v>
      </c>
      <c r="I791">
        <v>27.43</v>
      </c>
      <c r="J791">
        <v>208.43</v>
      </c>
      <c r="K791" t="s">
        <v>32</v>
      </c>
      <c r="L791" t="b">
        <v>0</v>
      </c>
    </row>
    <row r="792" spans="1:13" ht="17" x14ac:dyDescent="0.2">
      <c r="A792" t="s">
        <v>1177</v>
      </c>
      <c r="B792" t="s">
        <v>493</v>
      </c>
      <c r="C792" t="s">
        <v>186</v>
      </c>
      <c r="D792" s="1">
        <v>45558</v>
      </c>
      <c r="E792" s="6" t="s">
        <v>44</v>
      </c>
      <c r="F792" t="s">
        <v>30</v>
      </c>
      <c r="G792" s="3" t="s">
        <v>31</v>
      </c>
      <c r="H792">
        <v>2.4</v>
      </c>
      <c r="I792">
        <v>47.17</v>
      </c>
      <c r="J792">
        <v>113.2</v>
      </c>
      <c r="K792" t="s">
        <v>19</v>
      </c>
      <c r="L792" t="b">
        <v>0</v>
      </c>
    </row>
    <row r="793" spans="1:13" ht="17" x14ac:dyDescent="0.2">
      <c r="A793" t="s">
        <v>1178</v>
      </c>
      <c r="B793" t="s">
        <v>1179</v>
      </c>
      <c r="C793" t="s">
        <v>35</v>
      </c>
      <c r="D793" s="1">
        <v>45445</v>
      </c>
      <c r="E793" s="6" t="s">
        <v>60</v>
      </c>
      <c r="F793" t="s">
        <v>30</v>
      </c>
      <c r="G793" s="3" t="s">
        <v>31</v>
      </c>
      <c r="H793">
        <v>5.0999999999999996</v>
      </c>
      <c r="I793">
        <v>72.489999999999995</v>
      </c>
      <c r="J793">
        <v>369.69</v>
      </c>
      <c r="K793" t="s">
        <v>32</v>
      </c>
      <c r="L793" t="b">
        <v>0</v>
      </c>
    </row>
    <row r="794" spans="1:13" ht="17" x14ac:dyDescent="0.2">
      <c r="A794" t="s">
        <v>1180</v>
      </c>
      <c r="B794" t="s">
        <v>1181</v>
      </c>
      <c r="C794" t="s">
        <v>274</v>
      </c>
      <c r="D794" s="1">
        <v>45262</v>
      </c>
      <c r="E794" s="6" t="s">
        <v>44</v>
      </c>
      <c r="F794" t="s">
        <v>17</v>
      </c>
      <c r="G794" s="3" t="s">
        <v>18</v>
      </c>
      <c r="H794">
        <v>7.5</v>
      </c>
      <c r="I794">
        <v>77.89</v>
      </c>
      <c r="J794">
        <v>584.20000000000005</v>
      </c>
      <c r="K794" t="s">
        <v>19</v>
      </c>
      <c r="L794" t="b">
        <v>0</v>
      </c>
    </row>
    <row r="795" spans="1:13" ht="34" x14ac:dyDescent="0.2">
      <c r="A795" t="s">
        <v>1182</v>
      </c>
      <c r="B795" t="s">
        <v>185</v>
      </c>
      <c r="C795" t="s">
        <v>211</v>
      </c>
      <c r="D795" s="1">
        <v>44942</v>
      </c>
      <c r="E795" s="6" t="s">
        <v>16</v>
      </c>
      <c r="F795" t="s">
        <v>54</v>
      </c>
      <c r="G795" s="3" t="s">
        <v>55</v>
      </c>
      <c r="H795">
        <v>2.6</v>
      </c>
      <c r="I795">
        <v>83.11</v>
      </c>
      <c r="J795">
        <v>216.08</v>
      </c>
      <c r="K795" t="s">
        <v>113</v>
      </c>
      <c r="L795" t="b">
        <v>0</v>
      </c>
    </row>
    <row r="796" spans="1:13" ht="34" x14ac:dyDescent="0.2">
      <c r="A796" t="s">
        <v>1183</v>
      </c>
      <c r="B796" t="s">
        <v>975</v>
      </c>
      <c r="C796" t="s">
        <v>148</v>
      </c>
      <c r="D796" s="1">
        <v>45197</v>
      </c>
      <c r="E796" s="6" t="s">
        <v>89</v>
      </c>
      <c r="F796" t="s">
        <v>45</v>
      </c>
      <c r="G796" s="3" t="s">
        <v>46</v>
      </c>
      <c r="H796">
        <v>7</v>
      </c>
      <c r="I796">
        <v>40.799999999999997</v>
      </c>
      <c r="J796">
        <v>285.58999999999997</v>
      </c>
      <c r="K796" t="s">
        <v>19</v>
      </c>
      <c r="L796" t="b">
        <v>0</v>
      </c>
    </row>
    <row r="797" spans="1:13" ht="68" x14ac:dyDescent="0.2">
      <c r="A797" t="s">
        <v>1184</v>
      </c>
      <c r="B797" t="s">
        <v>633</v>
      </c>
      <c r="C797" t="s">
        <v>295</v>
      </c>
      <c r="D797" s="1">
        <v>45233</v>
      </c>
      <c r="E797" s="6" t="s">
        <v>89</v>
      </c>
      <c r="F797" t="s">
        <v>50</v>
      </c>
      <c r="G797" s="3" t="s">
        <v>51</v>
      </c>
      <c r="H797">
        <v>4.3</v>
      </c>
      <c r="I797">
        <v>47.71</v>
      </c>
      <c r="J797">
        <v>205.16</v>
      </c>
      <c r="K797" t="s">
        <v>19</v>
      </c>
      <c r="L797" t="b">
        <v>0</v>
      </c>
    </row>
    <row r="798" spans="1:13" ht="34" x14ac:dyDescent="0.2">
      <c r="A798" t="s">
        <v>1185</v>
      </c>
      <c r="B798" t="s">
        <v>635</v>
      </c>
      <c r="C798" t="s">
        <v>293</v>
      </c>
      <c r="D798" s="1">
        <v>45607</v>
      </c>
      <c r="E798" s="6" t="s">
        <v>23</v>
      </c>
      <c r="F798" t="s">
        <v>90</v>
      </c>
      <c r="G798" s="3" t="s">
        <v>91</v>
      </c>
      <c r="H798">
        <v>5.0999999999999996</v>
      </c>
      <c r="I798">
        <v>47.58</v>
      </c>
      <c r="J798">
        <v>242.66</v>
      </c>
      <c r="K798" t="s">
        <v>56</v>
      </c>
      <c r="L798" t="b">
        <v>0</v>
      </c>
    </row>
    <row r="799" spans="1:13" ht="34" x14ac:dyDescent="0.2">
      <c r="A799" t="s">
        <v>1186</v>
      </c>
      <c r="B799" t="s">
        <v>336</v>
      </c>
      <c r="C799" t="s">
        <v>499</v>
      </c>
      <c r="D799" s="1">
        <v>38789</v>
      </c>
      <c r="E799" s="6" t="s">
        <v>60</v>
      </c>
      <c r="F799" t="s">
        <v>61</v>
      </c>
      <c r="G799" s="3" t="s">
        <v>62</v>
      </c>
      <c r="H799">
        <v>4.0999999999999996</v>
      </c>
      <c r="I799">
        <v>77.06</v>
      </c>
      <c r="J799">
        <v>315.95999999999998</v>
      </c>
      <c r="K799" t="s">
        <v>32</v>
      </c>
      <c r="L799" t="b">
        <v>1</v>
      </c>
      <c r="M799" s="3" t="s">
        <v>99</v>
      </c>
    </row>
    <row r="800" spans="1:13" ht="17" x14ac:dyDescent="0.2">
      <c r="A800" t="s">
        <v>1187</v>
      </c>
      <c r="B800" t="s">
        <v>302</v>
      </c>
      <c r="C800" t="s">
        <v>65</v>
      </c>
      <c r="D800" s="1">
        <v>45501</v>
      </c>
      <c r="E800" s="6" t="s">
        <v>23</v>
      </c>
      <c r="F800" t="s">
        <v>17</v>
      </c>
      <c r="G800" s="3" t="s">
        <v>18</v>
      </c>
      <c r="H800">
        <v>7.3</v>
      </c>
      <c r="I800">
        <v>25.4</v>
      </c>
      <c r="J800">
        <v>185.39</v>
      </c>
      <c r="K800" t="s">
        <v>96</v>
      </c>
      <c r="L800" t="b">
        <v>0</v>
      </c>
    </row>
    <row r="801" spans="1:13" ht="17" x14ac:dyDescent="0.2">
      <c r="A801" t="s">
        <v>1188</v>
      </c>
      <c r="B801" t="s">
        <v>918</v>
      </c>
      <c r="C801" t="s">
        <v>138</v>
      </c>
      <c r="D801" s="1">
        <v>45603</v>
      </c>
      <c r="E801" s="6" t="s">
        <v>16</v>
      </c>
      <c r="F801" t="s">
        <v>17</v>
      </c>
      <c r="G801" s="3" t="s">
        <v>18</v>
      </c>
      <c r="H801">
        <v>3</v>
      </c>
      <c r="I801">
        <v>29.63</v>
      </c>
      <c r="J801">
        <v>88.88</v>
      </c>
      <c r="K801" t="s">
        <v>105</v>
      </c>
      <c r="L801" t="b">
        <v>0</v>
      </c>
    </row>
    <row r="802" spans="1:13" ht="34" x14ac:dyDescent="0.2">
      <c r="A802" t="s">
        <v>1189</v>
      </c>
      <c r="B802" t="s">
        <v>1167</v>
      </c>
      <c r="C802" t="s">
        <v>186</v>
      </c>
      <c r="D802" s="1">
        <v>44936</v>
      </c>
      <c r="E802" s="6" t="s">
        <v>78</v>
      </c>
      <c r="F802" t="s">
        <v>45</v>
      </c>
      <c r="G802" s="3" t="s">
        <v>46</v>
      </c>
      <c r="H802">
        <v>3.3</v>
      </c>
      <c r="I802">
        <v>36.21</v>
      </c>
      <c r="J802">
        <v>119.51</v>
      </c>
      <c r="K802" t="s">
        <v>96</v>
      </c>
      <c r="L802" t="b">
        <v>0</v>
      </c>
    </row>
    <row r="803" spans="1:13" ht="34" x14ac:dyDescent="0.2">
      <c r="A803" t="s">
        <v>1190</v>
      </c>
      <c r="B803" t="s">
        <v>58</v>
      </c>
      <c r="C803" t="s">
        <v>22</v>
      </c>
      <c r="D803" s="1">
        <v>45455</v>
      </c>
      <c r="E803" s="6" t="s">
        <v>78</v>
      </c>
      <c r="F803" t="s">
        <v>90</v>
      </c>
      <c r="G803" s="3" t="s">
        <v>91</v>
      </c>
      <c r="H803">
        <v>6</v>
      </c>
      <c r="I803">
        <v>49.88</v>
      </c>
      <c r="J803">
        <v>299.26</v>
      </c>
      <c r="K803" t="s">
        <v>26</v>
      </c>
      <c r="L803" t="b">
        <v>0</v>
      </c>
    </row>
    <row r="804" spans="1:13" ht="34" x14ac:dyDescent="0.2">
      <c r="A804" t="s">
        <v>1191</v>
      </c>
      <c r="B804" t="s">
        <v>602</v>
      </c>
      <c r="C804" t="s">
        <v>343</v>
      </c>
      <c r="D804" s="1">
        <v>45051</v>
      </c>
      <c r="E804" s="6" t="s">
        <v>23</v>
      </c>
      <c r="F804" t="s">
        <v>90</v>
      </c>
      <c r="G804" s="3" t="s">
        <v>91</v>
      </c>
      <c r="H804">
        <v>4.9000000000000004</v>
      </c>
      <c r="I804">
        <v>53.73</v>
      </c>
      <c r="J804">
        <v>263.27</v>
      </c>
      <c r="K804" t="s">
        <v>56</v>
      </c>
      <c r="L804" t="b">
        <v>0</v>
      </c>
    </row>
    <row r="805" spans="1:13" ht="68" x14ac:dyDescent="0.2">
      <c r="A805" t="s">
        <v>1192</v>
      </c>
      <c r="B805" t="s">
        <v>468</v>
      </c>
      <c r="C805" t="s">
        <v>353</v>
      </c>
      <c r="D805" s="1">
        <v>45370</v>
      </c>
      <c r="E805" s="6" t="s">
        <v>23</v>
      </c>
      <c r="F805" t="s">
        <v>50</v>
      </c>
      <c r="G805" s="3" t="s">
        <v>51</v>
      </c>
      <c r="H805">
        <v>5.9</v>
      </c>
      <c r="I805">
        <v>49.65</v>
      </c>
      <c r="J805">
        <v>292.95999999999998</v>
      </c>
      <c r="K805" t="s">
        <v>96</v>
      </c>
      <c r="L805" t="b">
        <v>0</v>
      </c>
    </row>
    <row r="806" spans="1:13" ht="34" x14ac:dyDescent="0.2">
      <c r="A806" t="s">
        <v>1193</v>
      </c>
      <c r="B806" t="s">
        <v>171</v>
      </c>
      <c r="C806" t="s">
        <v>380</v>
      </c>
      <c r="D806" s="1">
        <v>45071</v>
      </c>
      <c r="E806" s="6" t="s">
        <v>23</v>
      </c>
      <c r="F806" t="s">
        <v>24</v>
      </c>
      <c r="G806" s="3" t="s">
        <v>25</v>
      </c>
      <c r="H806">
        <v>2.8</v>
      </c>
      <c r="I806">
        <v>60.54</v>
      </c>
      <c r="J806">
        <v>169.51</v>
      </c>
      <c r="K806" t="s">
        <v>113</v>
      </c>
      <c r="L806" t="b">
        <v>0</v>
      </c>
    </row>
    <row r="807" spans="1:13" ht="34" x14ac:dyDescent="0.2">
      <c r="A807" t="s">
        <v>1194</v>
      </c>
      <c r="B807" t="s">
        <v>556</v>
      </c>
      <c r="C807" t="s">
        <v>274</v>
      </c>
      <c r="D807" s="1">
        <v>44989</v>
      </c>
      <c r="E807" s="6" t="s">
        <v>23</v>
      </c>
      <c r="F807" t="s">
        <v>24</v>
      </c>
      <c r="G807" s="3" t="s">
        <v>25</v>
      </c>
      <c r="H807">
        <v>7.3</v>
      </c>
      <c r="I807">
        <v>33.81</v>
      </c>
      <c r="J807">
        <v>246.83</v>
      </c>
      <c r="K807" t="s">
        <v>56</v>
      </c>
      <c r="L807" t="b">
        <v>0</v>
      </c>
    </row>
    <row r="808" spans="1:13" ht="34" x14ac:dyDescent="0.2">
      <c r="A808" t="s">
        <v>1195</v>
      </c>
      <c r="B808" t="s">
        <v>912</v>
      </c>
      <c r="C808" t="s">
        <v>29</v>
      </c>
      <c r="D808" s="1">
        <v>45321</v>
      </c>
      <c r="E808" s="6" t="s">
        <v>60</v>
      </c>
      <c r="F808" t="s">
        <v>45</v>
      </c>
      <c r="G808" s="3" t="s">
        <v>46</v>
      </c>
      <c r="H808">
        <v>8.9</v>
      </c>
      <c r="I808">
        <v>56</v>
      </c>
      <c r="J808">
        <v>500</v>
      </c>
      <c r="K808" t="s">
        <v>82</v>
      </c>
      <c r="L808" t="b">
        <v>1</v>
      </c>
      <c r="M808" s="3" t="s">
        <v>40</v>
      </c>
    </row>
    <row r="809" spans="1:13" ht="34" x14ac:dyDescent="0.2">
      <c r="A809" t="s">
        <v>1196</v>
      </c>
      <c r="B809" t="s">
        <v>593</v>
      </c>
      <c r="C809" t="s">
        <v>39</v>
      </c>
      <c r="D809" s="1">
        <v>45108</v>
      </c>
      <c r="E809" s="6" t="s">
        <v>78</v>
      </c>
      <c r="F809" t="s">
        <v>24</v>
      </c>
      <c r="G809" s="3" t="s">
        <v>25</v>
      </c>
      <c r="H809">
        <v>7.3</v>
      </c>
      <c r="I809">
        <v>68.680000000000007</v>
      </c>
      <c r="J809">
        <v>501.35</v>
      </c>
      <c r="K809" t="s">
        <v>96</v>
      </c>
      <c r="L809" t="b">
        <v>0</v>
      </c>
    </row>
    <row r="810" spans="1:13" ht="34" x14ac:dyDescent="0.2">
      <c r="A810" t="s">
        <v>1197</v>
      </c>
      <c r="B810" t="s">
        <v>1198</v>
      </c>
      <c r="C810" t="s">
        <v>161</v>
      </c>
      <c r="D810" s="1">
        <v>44966</v>
      </c>
      <c r="E810" s="6" t="s">
        <v>60</v>
      </c>
      <c r="F810" t="s">
        <v>90</v>
      </c>
      <c r="G810" s="3" t="s">
        <v>91</v>
      </c>
      <c r="H810">
        <v>3.3</v>
      </c>
      <c r="I810">
        <v>61.39</v>
      </c>
      <c r="J810">
        <v>202.59</v>
      </c>
      <c r="K810" t="s">
        <v>113</v>
      </c>
      <c r="L810" t="b">
        <v>0</v>
      </c>
    </row>
    <row r="811" spans="1:13" ht="17" x14ac:dyDescent="0.2">
      <c r="A811" t="s">
        <v>1199</v>
      </c>
      <c r="B811" t="s">
        <v>349</v>
      </c>
      <c r="C811" t="s">
        <v>323</v>
      </c>
      <c r="D811" s="1">
        <v>45106</v>
      </c>
      <c r="E811" s="6" t="s">
        <v>89</v>
      </c>
      <c r="F811" t="s">
        <v>17</v>
      </c>
      <c r="G811" s="3" t="s">
        <v>18</v>
      </c>
      <c r="H811">
        <v>3</v>
      </c>
      <c r="I811">
        <v>74.819999999999993</v>
      </c>
      <c r="J811">
        <v>224.47</v>
      </c>
      <c r="K811" t="s">
        <v>32</v>
      </c>
      <c r="L811" t="b">
        <v>0</v>
      </c>
    </row>
    <row r="812" spans="1:13" ht="68" x14ac:dyDescent="0.2">
      <c r="A812" t="s">
        <v>1200</v>
      </c>
      <c r="B812" t="s">
        <v>163</v>
      </c>
      <c r="C812" t="s">
        <v>35</v>
      </c>
      <c r="D812" s="1">
        <v>45522</v>
      </c>
      <c r="E812" s="6" t="s">
        <v>23</v>
      </c>
      <c r="F812" t="s">
        <v>50</v>
      </c>
      <c r="G812" s="3" t="s">
        <v>51</v>
      </c>
      <c r="H812">
        <v>6.8</v>
      </c>
      <c r="I812">
        <v>74.23</v>
      </c>
      <c r="J812">
        <v>504.74</v>
      </c>
      <c r="K812" t="s">
        <v>113</v>
      </c>
      <c r="L812" t="b">
        <v>0</v>
      </c>
    </row>
    <row r="813" spans="1:13" ht="34" x14ac:dyDescent="0.2">
      <c r="A813" t="s">
        <v>1201</v>
      </c>
      <c r="B813" t="s">
        <v>311</v>
      </c>
      <c r="C813" t="s">
        <v>274</v>
      </c>
      <c r="D813" s="1">
        <v>45034</v>
      </c>
      <c r="E813" s="6" t="s">
        <v>60</v>
      </c>
      <c r="F813" t="s">
        <v>45</v>
      </c>
      <c r="G813" s="3" t="s">
        <v>46</v>
      </c>
      <c r="H813">
        <v>3</v>
      </c>
      <c r="I813">
        <v>66.14</v>
      </c>
      <c r="J813">
        <v>198.41</v>
      </c>
      <c r="K813" t="s">
        <v>19</v>
      </c>
      <c r="L813" t="b">
        <v>0</v>
      </c>
    </row>
    <row r="814" spans="1:13" ht="34" x14ac:dyDescent="0.2">
      <c r="A814" t="s">
        <v>1202</v>
      </c>
      <c r="B814" t="s">
        <v>536</v>
      </c>
      <c r="C814" t="s">
        <v>175</v>
      </c>
      <c r="D814" s="1">
        <v>44936</v>
      </c>
      <c r="E814" s="6" t="s">
        <v>44</v>
      </c>
      <c r="F814" t="s">
        <v>90</v>
      </c>
      <c r="G814" s="3" t="s">
        <v>91</v>
      </c>
      <c r="H814">
        <v>3.4</v>
      </c>
      <c r="I814">
        <v>48.13</v>
      </c>
      <c r="J814">
        <v>163.63</v>
      </c>
      <c r="K814" t="s">
        <v>113</v>
      </c>
      <c r="L814" t="b">
        <v>0</v>
      </c>
    </row>
    <row r="815" spans="1:13" ht="34" x14ac:dyDescent="0.2">
      <c r="A815" t="s">
        <v>1203</v>
      </c>
      <c r="B815" t="s">
        <v>476</v>
      </c>
      <c r="C815" t="s">
        <v>450</v>
      </c>
      <c r="D815" s="1">
        <v>44984</v>
      </c>
      <c r="E815" s="6" t="s">
        <v>89</v>
      </c>
      <c r="F815" t="s">
        <v>24</v>
      </c>
      <c r="G815" s="3" t="s">
        <v>25</v>
      </c>
      <c r="H815">
        <v>3.2</v>
      </c>
      <c r="I815">
        <v>76.58</v>
      </c>
      <c r="J815">
        <v>245.04</v>
      </c>
      <c r="K815" t="s">
        <v>105</v>
      </c>
      <c r="L815" t="b">
        <v>0</v>
      </c>
    </row>
    <row r="816" spans="1:13" ht="34" x14ac:dyDescent="0.2">
      <c r="A816" t="s">
        <v>1204</v>
      </c>
      <c r="B816" t="s">
        <v>486</v>
      </c>
      <c r="C816" t="s">
        <v>450</v>
      </c>
      <c r="D816" s="1">
        <v>45496</v>
      </c>
      <c r="E816" s="6" t="s">
        <v>23</v>
      </c>
      <c r="F816" t="s">
        <v>61</v>
      </c>
      <c r="G816" s="3" t="s">
        <v>62</v>
      </c>
      <c r="H816">
        <v>7</v>
      </c>
      <c r="I816">
        <v>61.33</v>
      </c>
      <c r="J816">
        <v>429.31</v>
      </c>
      <c r="K816" t="s">
        <v>56</v>
      </c>
      <c r="L816" t="b">
        <v>0</v>
      </c>
    </row>
    <row r="817" spans="1:13" ht="17" x14ac:dyDescent="0.2">
      <c r="A817" t="s">
        <v>1205</v>
      </c>
      <c r="B817" t="s">
        <v>1096</v>
      </c>
      <c r="C817" t="s">
        <v>380</v>
      </c>
      <c r="D817" s="1">
        <v>45038</v>
      </c>
      <c r="E817" s="6" t="s">
        <v>89</v>
      </c>
      <c r="F817" t="s">
        <v>17</v>
      </c>
      <c r="G817" s="3" t="s">
        <v>18</v>
      </c>
      <c r="H817">
        <v>7.4</v>
      </c>
      <c r="I817">
        <v>60.99</v>
      </c>
      <c r="J817">
        <v>451.32</v>
      </c>
      <c r="K817" t="s">
        <v>113</v>
      </c>
      <c r="L817" t="b">
        <v>0</v>
      </c>
    </row>
    <row r="818" spans="1:13" ht="34" x14ac:dyDescent="0.2">
      <c r="A818" t="s">
        <v>1206</v>
      </c>
      <c r="B818" t="s">
        <v>270</v>
      </c>
      <c r="C818" t="s">
        <v>353</v>
      </c>
      <c r="D818" s="1">
        <v>45171</v>
      </c>
      <c r="E818" s="6" t="s">
        <v>89</v>
      </c>
      <c r="F818" t="s">
        <v>90</v>
      </c>
      <c r="G818" s="3" t="s">
        <v>91</v>
      </c>
      <c r="H818">
        <v>2.6</v>
      </c>
      <c r="I818">
        <v>64.56</v>
      </c>
      <c r="J818">
        <v>167.87</v>
      </c>
      <c r="K818" t="s">
        <v>26</v>
      </c>
      <c r="L818" t="b">
        <v>0</v>
      </c>
    </row>
    <row r="819" spans="1:13" ht="34" x14ac:dyDescent="0.2">
      <c r="A819" t="s">
        <v>1207</v>
      </c>
      <c r="B819" t="s">
        <v>1181</v>
      </c>
      <c r="C819" t="s">
        <v>65</v>
      </c>
      <c r="D819" s="1">
        <v>45021</v>
      </c>
      <c r="E819" s="6" t="s">
        <v>16</v>
      </c>
      <c r="F819" t="s">
        <v>24</v>
      </c>
      <c r="G819" s="3" t="s">
        <v>25</v>
      </c>
      <c r="H819">
        <v>7.4</v>
      </c>
      <c r="I819">
        <v>71.489999999999995</v>
      </c>
      <c r="J819">
        <v>529.04</v>
      </c>
      <c r="K819" t="s">
        <v>19</v>
      </c>
      <c r="L819" t="b">
        <v>0</v>
      </c>
    </row>
    <row r="820" spans="1:13" ht="34" x14ac:dyDescent="0.2">
      <c r="A820" t="s">
        <v>1208</v>
      </c>
      <c r="B820" t="s">
        <v>633</v>
      </c>
      <c r="C820" t="s">
        <v>189</v>
      </c>
      <c r="D820" s="1">
        <v>44996</v>
      </c>
      <c r="E820" s="6" t="s">
        <v>44</v>
      </c>
      <c r="F820" t="s">
        <v>61</v>
      </c>
      <c r="G820" s="3" t="s">
        <v>62</v>
      </c>
      <c r="H820">
        <v>5.0999999999999996</v>
      </c>
      <c r="I820">
        <v>47.22</v>
      </c>
      <c r="J820">
        <v>240.84</v>
      </c>
      <c r="K820" t="s">
        <v>19</v>
      </c>
      <c r="L820" t="b">
        <v>0</v>
      </c>
    </row>
    <row r="821" spans="1:13" ht="34" x14ac:dyDescent="0.2">
      <c r="A821" t="s">
        <v>1209</v>
      </c>
      <c r="B821" t="s">
        <v>1210</v>
      </c>
      <c r="C821" t="s">
        <v>88</v>
      </c>
      <c r="D821" s="1">
        <v>44955</v>
      </c>
      <c r="E821" s="6" t="s">
        <v>60</v>
      </c>
      <c r="F821" t="s">
        <v>61</v>
      </c>
      <c r="G821" s="3" t="s">
        <v>62</v>
      </c>
      <c r="H821">
        <v>3.4</v>
      </c>
      <c r="I821">
        <v>73.14</v>
      </c>
      <c r="J821">
        <v>248.67</v>
      </c>
      <c r="K821" t="s">
        <v>19</v>
      </c>
      <c r="L821" t="b">
        <v>0</v>
      </c>
    </row>
    <row r="822" spans="1:13" ht="34" x14ac:dyDescent="0.2">
      <c r="A822" t="s">
        <v>1211</v>
      </c>
      <c r="B822" t="s">
        <v>713</v>
      </c>
      <c r="C822" t="s">
        <v>219</v>
      </c>
      <c r="D822" s="1">
        <v>44985</v>
      </c>
      <c r="E822" s="6" t="s">
        <v>16</v>
      </c>
      <c r="F822" t="s">
        <v>54</v>
      </c>
      <c r="G822" s="3" t="s">
        <v>55</v>
      </c>
      <c r="H822">
        <v>5.5</v>
      </c>
      <c r="I822">
        <v>69.48</v>
      </c>
      <c r="J822">
        <v>382.16</v>
      </c>
      <c r="K822" t="s">
        <v>96</v>
      </c>
      <c r="L822" t="b">
        <v>0</v>
      </c>
    </row>
    <row r="823" spans="1:13" ht="34" x14ac:dyDescent="0.2">
      <c r="A823" t="s">
        <v>1212</v>
      </c>
      <c r="B823" t="s">
        <v>298</v>
      </c>
      <c r="C823" t="s">
        <v>280</v>
      </c>
      <c r="D823" s="1">
        <v>45516</v>
      </c>
      <c r="E823" s="6" t="s">
        <v>23</v>
      </c>
      <c r="F823" t="s">
        <v>90</v>
      </c>
      <c r="G823" s="3" t="s">
        <v>91</v>
      </c>
      <c r="H823">
        <v>4.5999999999999996</v>
      </c>
      <c r="I823">
        <v>40.270000000000003</v>
      </c>
      <c r="J823">
        <v>185.25</v>
      </c>
      <c r="K823" t="s">
        <v>92</v>
      </c>
      <c r="L823" t="b">
        <v>0</v>
      </c>
    </row>
    <row r="824" spans="1:13" ht="34" x14ac:dyDescent="0.2">
      <c r="A824" t="s">
        <v>1213</v>
      </c>
      <c r="B824" t="s">
        <v>135</v>
      </c>
      <c r="C824" t="s">
        <v>59</v>
      </c>
      <c r="D824" s="1">
        <v>45488</v>
      </c>
      <c r="E824" s="6" t="s">
        <v>60</v>
      </c>
      <c r="F824" t="s">
        <v>90</v>
      </c>
      <c r="G824" s="3" t="s">
        <v>91</v>
      </c>
      <c r="H824">
        <v>3.7</v>
      </c>
      <c r="I824">
        <v>77.61</v>
      </c>
      <c r="J824">
        <v>287.14</v>
      </c>
      <c r="K824" t="s">
        <v>113</v>
      </c>
      <c r="L824" t="b">
        <v>0</v>
      </c>
    </row>
    <row r="825" spans="1:13" ht="34" x14ac:dyDescent="0.2">
      <c r="A825" t="s">
        <v>1214</v>
      </c>
      <c r="B825" t="s">
        <v>488</v>
      </c>
      <c r="C825" t="s">
        <v>43</v>
      </c>
      <c r="D825" s="1">
        <v>45238</v>
      </c>
      <c r="E825" s="6" t="s">
        <v>44</v>
      </c>
      <c r="F825" t="s">
        <v>45</v>
      </c>
      <c r="G825" s="3" t="s">
        <v>46</v>
      </c>
      <c r="H825">
        <v>37</v>
      </c>
      <c r="I825">
        <v>67.55</v>
      </c>
      <c r="J825">
        <v>2500</v>
      </c>
      <c r="K825" t="s">
        <v>56</v>
      </c>
      <c r="L825" t="b">
        <v>1</v>
      </c>
      <c r="M825" s="3" t="s">
        <v>40</v>
      </c>
    </row>
    <row r="826" spans="1:13" ht="34" x14ac:dyDescent="0.2">
      <c r="A826" t="s">
        <v>1215</v>
      </c>
      <c r="B826" t="s">
        <v>460</v>
      </c>
      <c r="C826" t="s">
        <v>15</v>
      </c>
      <c r="D826" s="1">
        <v>38452</v>
      </c>
      <c r="E826" s="6" t="s">
        <v>23</v>
      </c>
      <c r="F826" t="s">
        <v>90</v>
      </c>
      <c r="G826" s="3" t="s">
        <v>91</v>
      </c>
      <c r="H826">
        <v>5.0999999999999996</v>
      </c>
      <c r="I826">
        <v>47.5</v>
      </c>
      <c r="J826">
        <v>242.26</v>
      </c>
      <c r="K826" t="s">
        <v>82</v>
      </c>
      <c r="L826" t="b">
        <v>1</v>
      </c>
      <c r="M826" s="3" t="s">
        <v>99</v>
      </c>
    </row>
    <row r="827" spans="1:13" ht="34" x14ac:dyDescent="0.2">
      <c r="A827" t="s">
        <v>1216</v>
      </c>
      <c r="B827" t="s">
        <v>1217</v>
      </c>
      <c r="C827" t="s">
        <v>119</v>
      </c>
      <c r="D827" s="1">
        <v>45066</v>
      </c>
      <c r="E827" s="6" t="s">
        <v>60</v>
      </c>
      <c r="F827" t="s">
        <v>54</v>
      </c>
      <c r="G827" s="3" t="s">
        <v>55</v>
      </c>
      <c r="H827">
        <v>4.5</v>
      </c>
      <c r="I827">
        <v>31.39</v>
      </c>
      <c r="J827">
        <v>141.28</v>
      </c>
      <c r="K827" t="s">
        <v>105</v>
      </c>
      <c r="L827" t="b">
        <v>0</v>
      </c>
    </row>
    <row r="828" spans="1:13" ht="34" x14ac:dyDescent="0.2">
      <c r="A828" t="s">
        <v>1218</v>
      </c>
      <c r="B828" t="s">
        <v>613</v>
      </c>
      <c r="C828" t="s">
        <v>85</v>
      </c>
      <c r="D828" s="1">
        <v>45559</v>
      </c>
      <c r="E828" s="6" t="s">
        <v>89</v>
      </c>
      <c r="F828" t="s">
        <v>45</v>
      </c>
      <c r="G828" s="3" t="s">
        <v>46</v>
      </c>
      <c r="H828">
        <v>3.6</v>
      </c>
      <c r="I828">
        <v>57.17</v>
      </c>
      <c r="J828">
        <v>205.8</v>
      </c>
      <c r="K828" t="s">
        <v>26</v>
      </c>
      <c r="L828" t="b">
        <v>0</v>
      </c>
    </row>
    <row r="829" spans="1:13" ht="34" x14ac:dyDescent="0.2">
      <c r="A829" t="s">
        <v>1219</v>
      </c>
      <c r="B829" t="s">
        <v>180</v>
      </c>
      <c r="C829" t="s">
        <v>172</v>
      </c>
      <c r="D829" s="1">
        <v>45114</v>
      </c>
      <c r="E829" s="6" t="s">
        <v>60</v>
      </c>
      <c r="F829" t="s">
        <v>54</v>
      </c>
      <c r="G829" s="3" t="s">
        <v>55</v>
      </c>
      <c r="H829">
        <v>5.7</v>
      </c>
      <c r="I829">
        <v>84.51</v>
      </c>
      <c r="J829">
        <v>481.7</v>
      </c>
      <c r="K829" t="s">
        <v>92</v>
      </c>
      <c r="L829" t="b">
        <v>0</v>
      </c>
    </row>
    <row r="830" spans="1:13" ht="17" x14ac:dyDescent="0.2">
      <c r="A830" t="s">
        <v>1220</v>
      </c>
      <c r="B830" t="s">
        <v>334</v>
      </c>
      <c r="C830" t="s">
        <v>178</v>
      </c>
      <c r="D830" s="1">
        <v>45425</v>
      </c>
      <c r="E830" s="6" t="s">
        <v>60</v>
      </c>
      <c r="F830" t="s">
        <v>30</v>
      </c>
      <c r="G830" s="3" t="s">
        <v>31</v>
      </c>
      <c r="H830">
        <v>4.5</v>
      </c>
      <c r="I830">
        <v>72.03</v>
      </c>
      <c r="J830">
        <v>324.12</v>
      </c>
      <c r="K830" t="s">
        <v>113</v>
      </c>
      <c r="L830" t="b">
        <v>0</v>
      </c>
    </row>
    <row r="831" spans="1:13" ht="68" x14ac:dyDescent="0.2">
      <c r="A831" t="s">
        <v>1221</v>
      </c>
      <c r="B831" t="s">
        <v>104</v>
      </c>
      <c r="C831" t="s">
        <v>65</v>
      </c>
      <c r="D831" s="1">
        <v>45108</v>
      </c>
      <c r="E831" s="6" t="s">
        <v>78</v>
      </c>
      <c r="F831" t="s">
        <v>50</v>
      </c>
      <c r="G831" s="3" t="s">
        <v>51</v>
      </c>
      <c r="H831">
        <v>4.2</v>
      </c>
      <c r="I831">
        <v>58.29</v>
      </c>
      <c r="J831">
        <v>244.84</v>
      </c>
      <c r="K831" t="s">
        <v>105</v>
      </c>
      <c r="L831" t="b">
        <v>0</v>
      </c>
    </row>
    <row r="832" spans="1:13" ht="34" x14ac:dyDescent="0.2">
      <c r="A832" t="s">
        <v>1222</v>
      </c>
      <c r="B832" t="s">
        <v>101</v>
      </c>
      <c r="C832" t="s">
        <v>138</v>
      </c>
      <c r="D832" s="1">
        <v>45388</v>
      </c>
      <c r="E832" s="6" t="s">
        <v>60</v>
      </c>
      <c r="F832" t="s">
        <v>45</v>
      </c>
      <c r="G832" s="3" t="s">
        <v>46</v>
      </c>
      <c r="H832">
        <v>18.3</v>
      </c>
      <c r="I832">
        <v>71.45</v>
      </c>
      <c r="J832">
        <v>1307.54</v>
      </c>
      <c r="K832" t="s">
        <v>36</v>
      </c>
      <c r="L832" t="b">
        <v>1</v>
      </c>
      <c r="M832" s="3" t="s">
        <v>79</v>
      </c>
    </row>
    <row r="833" spans="1:13" ht="68" x14ac:dyDescent="0.2">
      <c r="A833" t="s">
        <v>1223</v>
      </c>
      <c r="B833" t="s">
        <v>605</v>
      </c>
      <c r="C833" t="s">
        <v>196</v>
      </c>
      <c r="D833" s="1">
        <v>45337</v>
      </c>
      <c r="E833" s="6" t="s">
        <v>16</v>
      </c>
      <c r="F833" t="s">
        <v>50</v>
      </c>
      <c r="G833" s="3" t="s">
        <v>51</v>
      </c>
      <c r="H833">
        <v>7.1</v>
      </c>
      <c r="I833">
        <v>64.56</v>
      </c>
      <c r="J833">
        <v>458.35</v>
      </c>
      <c r="K833" t="s">
        <v>36</v>
      </c>
      <c r="L833" t="b">
        <v>0</v>
      </c>
    </row>
    <row r="834" spans="1:13" ht="17" x14ac:dyDescent="0.2">
      <c r="A834" t="s">
        <v>1224</v>
      </c>
      <c r="B834" t="s">
        <v>531</v>
      </c>
      <c r="C834" t="s">
        <v>499</v>
      </c>
      <c r="D834" s="1">
        <v>45516</v>
      </c>
      <c r="E834" s="6" t="s">
        <v>23</v>
      </c>
      <c r="F834" t="s">
        <v>30</v>
      </c>
      <c r="G834" s="3" t="s">
        <v>31</v>
      </c>
      <c r="H834">
        <v>22.1</v>
      </c>
      <c r="I834">
        <v>66.959999999999994</v>
      </c>
      <c r="J834">
        <v>1479.82</v>
      </c>
      <c r="K834" t="s">
        <v>113</v>
      </c>
      <c r="L834" t="b">
        <v>1</v>
      </c>
      <c r="M834" s="3" t="s">
        <v>79</v>
      </c>
    </row>
    <row r="835" spans="1:13" ht="34" x14ac:dyDescent="0.2">
      <c r="A835" t="s">
        <v>1225</v>
      </c>
      <c r="B835" t="s">
        <v>336</v>
      </c>
      <c r="C835" t="s">
        <v>380</v>
      </c>
      <c r="D835" s="1">
        <v>45529</v>
      </c>
      <c r="E835" s="6" t="s">
        <v>78</v>
      </c>
      <c r="F835" t="s">
        <v>90</v>
      </c>
      <c r="G835" s="3" t="s">
        <v>91</v>
      </c>
      <c r="H835">
        <v>3.3</v>
      </c>
      <c r="I835">
        <v>49.03</v>
      </c>
      <c r="J835">
        <v>161.81</v>
      </c>
      <c r="K835" t="s">
        <v>56</v>
      </c>
      <c r="L835" t="b">
        <v>1</v>
      </c>
      <c r="M835" s="3" t="s">
        <v>102</v>
      </c>
    </row>
    <row r="836" spans="1:13" ht="34" x14ac:dyDescent="0.2">
      <c r="A836" t="s">
        <v>1226</v>
      </c>
      <c r="B836" t="s">
        <v>486</v>
      </c>
      <c r="C836" t="s">
        <v>145</v>
      </c>
      <c r="D836" s="1">
        <v>45631</v>
      </c>
      <c r="E836" s="6" t="s">
        <v>44</v>
      </c>
      <c r="F836" t="s">
        <v>24</v>
      </c>
      <c r="G836" s="3" t="s">
        <v>25</v>
      </c>
      <c r="H836">
        <v>3</v>
      </c>
      <c r="I836">
        <v>82.87</v>
      </c>
      <c r="J836">
        <v>248.62</v>
      </c>
      <c r="K836" t="s">
        <v>56</v>
      </c>
      <c r="L836" t="b">
        <v>0</v>
      </c>
    </row>
    <row r="837" spans="1:13" ht="34" x14ac:dyDescent="0.2">
      <c r="A837" t="s">
        <v>1227</v>
      </c>
      <c r="B837" t="s">
        <v>863</v>
      </c>
      <c r="C837" t="s">
        <v>450</v>
      </c>
      <c r="D837" s="1">
        <v>45303</v>
      </c>
      <c r="E837" s="6" t="s">
        <v>89</v>
      </c>
      <c r="F837" t="s">
        <v>90</v>
      </c>
      <c r="G837" s="3" t="s">
        <v>91</v>
      </c>
      <c r="H837">
        <v>6.9</v>
      </c>
      <c r="I837">
        <v>53.3</v>
      </c>
      <c r="J837">
        <v>367.77</v>
      </c>
      <c r="K837" t="s">
        <v>36</v>
      </c>
      <c r="L837" t="b">
        <v>0</v>
      </c>
    </row>
    <row r="838" spans="1:13" ht="34" x14ac:dyDescent="0.2">
      <c r="A838" t="s">
        <v>1228</v>
      </c>
      <c r="B838" t="s">
        <v>75</v>
      </c>
      <c r="C838" t="s">
        <v>274</v>
      </c>
      <c r="D838" s="1">
        <v>45631</v>
      </c>
      <c r="E838" s="6" t="s">
        <v>78</v>
      </c>
      <c r="F838" t="s">
        <v>61</v>
      </c>
      <c r="G838" s="3" t="s">
        <v>62</v>
      </c>
      <c r="H838">
        <v>2.5</v>
      </c>
      <c r="I838">
        <v>40.79</v>
      </c>
      <c r="J838">
        <v>101.96</v>
      </c>
      <c r="K838" t="s">
        <v>36</v>
      </c>
      <c r="L838" t="b">
        <v>0</v>
      </c>
    </row>
    <row r="839" spans="1:13" ht="34" x14ac:dyDescent="0.2">
      <c r="A839" t="s">
        <v>1229</v>
      </c>
      <c r="B839" t="s">
        <v>573</v>
      </c>
      <c r="C839" t="s">
        <v>211</v>
      </c>
      <c r="D839" s="1">
        <v>45539</v>
      </c>
      <c r="E839" s="6" t="s">
        <v>60</v>
      </c>
      <c r="F839" t="s">
        <v>90</v>
      </c>
      <c r="G839" s="3" t="s">
        <v>91</v>
      </c>
      <c r="H839">
        <v>5.7</v>
      </c>
      <c r="I839">
        <v>68.47</v>
      </c>
      <c r="J839">
        <v>390.28</v>
      </c>
      <c r="K839" t="s">
        <v>32</v>
      </c>
      <c r="L839" t="b">
        <v>0</v>
      </c>
    </row>
    <row r="840" spans="1:13" ht="34" x14ac:dyDescent="0.2">
      <c r="A840" t="s">
        <v>1230</v>
      </c>
      <c r="B840" t="s">
        <v>1144</v>
      </c>
      <c r="C840" t="s">
        <v>391</v>
      </c>
      <c r="D840" s="1">
        <v>45404</v>
      </c>
      <c r="E840" s="6" t="s">
        <v>23</v>
      </c>
      <c r="F840" t="s">
        <v>45</v>
      </c>
      <c r="G840" s="3" t="s">
        <v>46</v>
      </c>
      <c r="H840">
        <v>6.3</v>
      </c>
      <c r="I840">
        <v>60.85</v>
      </c>
      <c r="J840">
        <v>383.34</v>
      </c>
      <c r="K840" t="s">
        <v>96</v>
      </c>
      <c r="L840" t="b">
        <v>0</v>
      </c>
    </row>
    <row r="841" spans="1:13" ht="17" x14ac:dyDescent="0.2">
      <c r="A841" t="s">
        <v>1231</v>
      </c>
      <c r="B841" t="s">
        <v>394</v>
      </c>
      <c r="C841" t="s">
        <v>274</v>
      </c>
      <c r="D841" s="1">
        <v>45307</v>
      </c>
      <c r="E841" s="6" t="s">
        <v>16</v>
      </c>
      <c r="F841" t="s">
        <v>17</v>
      </c>
      <c r="G841" s="3" t="s">
        <v>18</v>
      </c>
      <c r="H841">
        <v>4.5999999999999996</v>
      </c>
      <c r="I841">
        <v>37.1</v>
      </c>
      <c r="J841">
        <v>170.67</v>
      </c>
      <c r="K841" t="s">
        <v>32</v>
      </c>
      <c r="L841" t="b">
        <v>0</v>
      </c>
    </row>
    <row r="842" spans="1:13" ht="34" x14ac:dyDescent="0.2">
      <c r="A842" t="s">
        <v>1232</v>
      </c>
      <c r="B842" t="s">
        <v>270</v>
      </c>
      <c r="C842" t="s">
        <v>391</v>
      </c>
      <c r="D842" s="1">
        <v>45391</v>
      </c>
      <c r="E842" s="6" t="s">
        <v>89</v>
      </c>
      <c r="F842" t="s">
        <v>45</v>
      </c>
      <c r="G842" s="3" t="s">
        <v>46</v>
      </c>
      <c r="H842">
        <v>3.2</v>
      </c>
      <c r="I842">
        <v>72.040000000000006</v>
      </c>
      <c r="J842">
        <v>230.52</v>
      </c>
      <c r="K842" t="s">
        <v>26</v>
      </c>
      <c r="L842" t="b">
        <v>0</v>
      </c>
    </row>
    <row r="843" spans="1:13" ht="34" x14ac:dyDescent="0.2">
      <c r="A843" t="s">
        <v>1233</v>
      </c>
      <c r="B843" t="s">
        <v>464</v>
      </c>
      <c r="C843" t="s">
        <v>280</v>
      </c>
      <c r="D843" s="1">
        <v>45601</v>
      </c>
      <c r="E843" s="6" t="s">
        <v>78</v>
      </c>
      <c r="F843" t="s">
        <v>30</v>
      </c>
      <c r="G843" s="3" t="s">
        <v>31</v>
      </c>
      <c r="H843">
        <v>11.5</v>
      </c>
      <c r="I843">
        <v>65.44</v>
      </c>
      <c r="J843">
        <v>750</v>
      </c>
      <c r="K843" t="s">
        <v>92</v>
      </c>
      <c r="L843" t="b">
        <v>1</v>
      </c>
      <c r="M843" s="3" t="s">
        <v>40</v>
      </c>
    </row>
    <row r="844" spans="1:13" ht="17" x14ac:dyDescent="0.2">
      <c r="A844" t="s">
        <v>1234</v>
      </c>
      <c r="B844" t="s">
        <v>556</v>
      </c>
      <c r="C844" t="s">
        <v>196</v>
      </c>
      <c r="D844" s="1">
        <v>45230</v>
      </c>
      <c r="E844" s="6" t="s">
        <v>44</v>
      </c>
      <c r="F844" t="s">
        <v>30</v>
      </c>
      <c r="G844" s="3" t="s">
        <v>31</v>
      </c>
      <c r="H844">
        <v>5.9</v>
      </c>
      <c r="I844">
        <v>83.54</v>
      </c>
      <c r="J844">
        <v>492.88</v>
      </c>
      <c r="K844" t="s">
        <v>56</v>
      </c>
      <c r="L844" t="b">
        <v>0</v>
      </c>
    </row>
    <row r="845" spans="1:13" ht="34" x14ac:dyDescent="0.2">
      <c r="A845" t="s">
        <v>1235</v>
      </c>
      <c r="B845" t="s">
        <v>390</v>
      </c>
      <c r="C845" t="s">
        <v>391</v>
      </c>
      <c r="D845" s="1">
        <v>45118</v>
      </c>
      <c r="E845" s="6" t="s">
        <v>60</v>
      </c>
      <c r="F845" t="s">
        <v>45</v>
      </c>
      <c r="G845" s="3" t="s">
        <v>46</v>
      </c>
      <c r="H845">
        <v>6.7</v>
      </c>
      <c r="I845">
        <v>46.19</v>
      </c>
      <c r="J845">
        <v>309.45999999999998</v>
      </c>
      <c r="K845" t="s">
        <v>96</v>
      </c>
      <c r="L845" t="b">
        <v>0</v>
      </c>
    </row>
    <row r="846" spans="1:13" ht="34" x14ac:dyDescent="0.2">
      <c r="A846" t="s">
        <v>1236</v>
      </c>
      <c r="B846" t="s">
        <v>1237</v>
      </c>
      <c r="C846" t="s">
        <v>196</v>
      </c>
      <c r="D846" s="1">
        <v>45115</v>
      </c>
      <c r="E846" s="6" t="s">
        <v>16</v>
      </c>
      <c r="F846" t="s">
        <v>61</v>
      </c>
      <c r="G846" s="3" t="s">
        <v>62</v>
      </c>
      <c r="H846">
        <v>5.5</v>
      </c>
      <c r="I846">
        <v>56.06</v>
      </c>
      <c r="J846">
        <v>308.36</v>
      </c>
      <c r="K846" t="s">
        <v>36</v>
      </c>
      <c r="L846" t="b">
        <v>0</v>
      </c>
    </row>
    <row r="847" spans="1:13" ht="34" x14ac:dyDescent="0.2">
      <c r="A847" t="s">
        <v>1238</v>
      </c>
      <c r="B847" t="s">
        <v>452</v>
      </c>
      <c r="C847" t="s">
        <v>95</v>
      </c>
      <c r="D847" s="1">
        <v>45172</v>
      </c>
      <c r="E847" s="6" t="s">
        <v>16</v>
      </c>
      <c r="F847" t="s">
        <v>90</v>
      </c>
      <c r="G847" s="3" t="s">
        <v>91</v>
      </c>
      <c r="H847">
        <v>7.5</v>
      </c>
      <c r="I847">
        <v>57.98</v>
      </c>
      <c r="J847">
        <v>434.82</v>
      </c>
      <c r="K847" t="s">
        <v>82</v>
      </c>
      <c r="L847" t="b">
        <v>0</v>
      </c>
    </row>
    <row r="848" spans="1:13" ht="34" x14ac:dyDescent="0.2">
      <c r="A848" t="s">
        <v>1239</v>
      </c>
      <c r="B848" t="s">
        <v>486</v>
      </c>
      <c r="C848" t="s">
        <v>499</v>
      </c>
      <c r="D848" s="1">
        <v>45043</v>
      </c>
      <c r="E848" s="6" t="s">
        <v>23</v>
      </c>
      <c r="F848" t="s">
        <v>54</v>
      </c>
      <c r="G848" s="3" t="s">
        <v>55</v>
      </c>
      <c r="H848">
        <v>4.0999999999999996</v>
      </c>
      <c r="I848">
        <v>73.930000000000007</v>
      </c>
      <c r="J848">
        <v>303.12</v>
      </c>
      <c r="K848" t="s">
        <v>56</v>
      </c>
      <c r="L848" t="b">
        <v>0</v>
      </c>
    </row>
    <row r="849" spans="1:13" ht="17" x14ac:dyDescent="0.2">
      <c r="A849" t="s">
        <v>1240</v>
      </c>
      <c r="B849" t="s">
        <v>502</v>
      </c>
      <c r="C849" t="s">
        <v>266</v>
      </c>
      <c r="D849" s="1">
        <v>45486</v>
      </c>
      <c r="E849" s="6" t="s">
        <v>44</v>
      </c>
      <c r="F849" t="s">
        <v>30</v>
      </c>
      <c r="G849" s="3" t="s">
        <v>31</v>
      </c>
      <c r="H849">
        <v>4.7</v>
      </c>
      <c r="I849">
        <v>49.24</v>
      </c>
      <c r="J849">
        <v>231.42</v>
      </c>
      <c r="K849" t="s">
        <v>96</v>
      </c>
      <c r="L849" t="b">
        <v>0</v>
      </c>
    </row>
    <row r="850" spans="1:13" ht="34" x14ac:dyDescent="0.2">
      <c r="A850" t="s">
        <v>1241</v>
      </c>
      <c r="B850" t="s">
        <v>515</v>
      </c>
      <c r="C850" t="s">
        <v>35</v>
      </c>
      <c r="D850" s="1">
        <v>45147</v>
      </c>
      <c r="E850" s="6" t="s">
        <v>89</v>
      </c>
      <c r="F850" t="s">
        <v>45</v>
      </c>
      <c r="G850" s="3" t="s">
        <v>46</v>
      </c>
      <c r="H850">
        <v>3.1</v>
      </c>
      <c r="I850">
        <v>55.37</v>
      </c>
      <c r="J850">
        <v>171.66</v>
      </c>
      <c r="K850" t="s">
        <v>105</v>
      </c>
      <c r="L850" t="b">
        <v>0</v>
      </c>
    </row>
    <row r="851" spans="1:13" ht="34" x14ac:dyDescent="0.2">
      <c r="A851" t="s">
        <v>1242</v>
      </c>
      <c r="B851" t="s">
        <v>252</v>
      </c>
      <c r="C851" t="s">
        <v>196</v>
      </c>
      <c r="D851" s="1">
        <v>45129</v>
      </c>
      <c r="E851" s="6" t="s">
        <v>44</v>
      </c>
      <c r="F851" t="s">
        <v>90</v>
      </c>
      <c r="G851" s="3" t="s">
        <v>91</v>
      </c>
      <c r="H851">
        <v>5</v>
      </c>
      <c r="I851">
        <v>45.4</v>
      </c>
      <c r="J851">
        <v>226.99</v>
      </c>
      <c r="K851" t="s">
        <v>113</v>
      </c>
      <c r="L851" t="b">
        <v>0</v>
      </c>
    </row>
    <row r="852" spans="1:13" ht="34" x14ac:dyDescent="0.2">
      <c r="A852" t="s">
        <v>1243</v>
      </c>
      <c r="B852" t="s">
        <v>674</v>
      </c>
      <c r="C852" t="s">
        <v>172</v>
      </c>
      <c r="D852" s="1">
        <v>45278</v>
      </c>
      <c r="E852" s="6" t="s">
        <v>89</v>
      </c>
      <c r="F852" t="s">
        <v>45</v>
      </c>
      <c r="G852" s="3" t="s">
        <v>46</v>
      </c>
      <c r="H852">
        <v>7.3</v>
      </c>
      <c r="I852">
        <v>73.790000000000006</v>
      </c>
      <c r="J852">
        <v>538.66</v>
      </c>
      <c r="K852" t="s">
        <v>36</v>
      </c>
      <c r="L852" t="b">
        <v>0</v>
      </c>
    </row>
    <row r="853" spans="1:13" ht="34" x14ac:dyDescent="0.2">
      <c r="A853" t="s">
        <v>1244</v>
      </c>
      <c r="B853" t="s">
        <v>970</v>
      </c>
      <c r="C853" t="s">
        <v>191</v>
      </c>
      <c r="D853" s="1">
        <v>45560</v>
      </c>
      <c r="E853" s="6" t="s">
        <v>89</v>
      </c>
      <c r="F853" t="s">
        <v>45</v>
      </c>
      <c r="G853" s="3" t="s">
        <v>46</v>
      </c>
      <c r="H853">
        <v>6.2</v>
      </c>
      <c r="I853">
        <v>82.96</v>
      </c>
      <c r="J853">
        <v>514.37</v>
      </c>
      <c r="K853" t="s">
        <v>19</v>
      </c>
      <c r="L853" t="b">
        <v>0</v>
      </c>
    </row>
    <row r="854" spans="1:13" ht="17" x14ac:dyDescent="0.2">
      <c r="A854" t="s">
        <v>1245</v>
      </c>
      <c r="B854" t="s">
        <v>502</v>
      </c>
      <c r="C854" t="s">
        <v>189</v>
      </c>
      <c r="D854" s="1">
        <v>45077</v>
      </c>
      <c r="E854" s="6" t="s">
        <v>60</v>
      </c>
      <c r="F854" t="s">
        <v>17</v>
      </c>
      <c r="G854" s="3" t="s">
        <v>18</v>
      </c>
      <c r="H854">
        <v>6.6</v>
      </c>
      <c r="I854">
        <v>70.45</v>
      </c>
      <c r="J854">
        <v>464.96</v>
      </c>
      <c r="K854" t="s">
        <v>96</v>
      </c>
      <c r="L854" t="b">
        <v>0</v>
      </c>
    </row>
    <row r="855" spans="1:13" ht="17" x14ac:dyDescent="0.2">
      <c r="A855" t="s">
        <v>1246</v>
      </c>
      <c r="B855" t="s">
        <v>340</v>
      </c>
      <c r="C855" t="s">
        <v>191</v>
      </c>
      <c r="D855" s="1">
        <v>45300</v>
      </c>
      <c r="E855" s="6" t="s">
        <v>60</v>
      </c>
      <c r="F855" t="s">
        <v>17</v>
      </c>
      <c r="G855" s="3" t="s">
        <v>18</v>
      </c>
      <c r="H855">
        <v>7.4</v>
      </c>
      <c r="I855">
        <v>76.72</v>
      </c>
      <c r="J855">
        <v>567.74</v>
      </c>
      <c r="K855" t="s">
        <v>36</v>
      </c>
      <c r="L855" t="b">
        <v>0</v>
      </c>
    </row>
    <row r="856" spans="1:13" ht="34" x14ac:dyDescent="0.2">
      <c r="A856" t="s">
        <v>1247</v>
      </c>
      <c r="B856" t="s">
        <v>210</v>
      </c>
      <c r="C856" t="s">
        <v>145</v>
      </c>
      <c r="D856" s="1">
        <v>45266</v>
      </c>
      <c r="E856" s="6" t="s">
        <v>23</v>
      </c>
      <c r="F856" t="s">
        <v>90</v>
      </c>
      <c r="G856" s="3" t="s">
        <v>91</v>
      </c>
      <c r="H856">
        <v>3.5</v>
      </c>
      <c r="I856">
        <v>47.96</v>
      </c>
      <c r="J856">
        <v>167.86</v>
      </c>
      <c r="K856" t="s">
        <v>96</v>
      </c>
      <c r="L856" t="b">
        <v>0</v>
      </c>
    </row>
    <row r="857" spans="1:13" ht="17" x14ac:dyDescent="0.2">
      <c r="A857" t="s">
        <v>1248</v>
      </c>
      <c r="B857" t="s">
        <v>939</v>
      </c>
      <c r="C857" t="s">
        <v>156</v>
      </c>
      <c r="D857" s="1">
        <v>45255</v>
      </c>
      <c r="E857" s="6" t="s">
        <v>78</v>
      </c>
      <c r="F857" t="s">
        <v>30</v>
      </c>
      <c r="G857" s="3" t="s">
        <v>31</v>
      </c>
      <c r="H857">
        <v>6.8</v>
      </c>
      <c r="I857">
        <v>49.75</v>
      </c>
      <c r="J857">
        <v>338.27</v>
      </c>
      <c r="K857" t="s">
        <v>96</v>
      </c>
      <c r="L857" t="b">
        <v>0</v>
      </c>
    </row>
    <row r="858" spans="1:13" ht="34" x14ac:dyDescent="0.2">
      <c r="A858" t="s">
        <v>1249</v>
      </c>
      <c r="B858" t="s">
        <v>664</v>
      </c>
      <c r="C858" t="s">
        <v>138</v>
      </c>
      <c r="D858" s="1">
        <v>45235</v>
      </c>
      <c r="E858" s="6" t="s">
        <v>78</v>
      </c>
      <c r="F858" t="s">
        <v>24</v>
      </c>
      <c r="G858" s="3" t="s">
        <v>25</v>
      </c>
      <c r="H858">
        <v>17.100000000000001</v>
      </c>
      <c r="I858">
        <v>40.799999999999997</v>
      </c>
      <c r="J858">
        <v>697.68</v>
      </c>
      <c r="K858" t="s">
        <v>19</v>
      </c>
      <c r="L858" t="b">
        <v>1</v>
      </c>
      <c r="M858" s="3" t="s">
        <v>79</v>
      </c>
    </row>
    <row r="859" spans="1:13" ht="34" x14ac:dyDescent="0.2">
      <c r="A859" t="s">
        <v>1250</v>
      </c>
      <c r="B859" t="s">
        <v>216</v>
      </c>
      <c r="C859" t="s">
        <v>130</v>
      </c>
      <c r="D859" s="1">
        <v>45586</v>
      </c>
      <c r="E859" s="6" t="s">
        <v>78</v>
      </c>
      <c r="F859" t="s">
        <v>90</v>
      </c>
      <c r="G859" s="3" t="s">
        <v>91</v>
      </c>
      <c r="H859">
        <v>4.4000000000000004</v>
      </c>
      <c r="I859">
        <v>69.930000000000007</v>
      </c>
      <c r="J859">
        <v>307.68</v>
      </c>
      <c r="K859" t="s">
        <v>92</v>
      </c>
      <c r="L859" t="b">
        <v>0</v>
      </c>
    </row>
    <row r="860" spans="1:13" ht="34" x14ac:dyDescent="0.2">
      <c r="A860" t="s">
        <v>1251</v>
      </c>
      <c r="B860" t="s">
        <v>683</v>
      </c>
      <c r="C860" t="s">
        <v>196</v>
      </c>
      <c r="D860" s="1">
        <v>45043</v>
      </c>
      <c r="E860" s="6" t="s">
        <v>78</v>
      </c>
      <c r="F860" t="s">
        <v>90</v>
      </c>
      <c r="G860" s="3" t="s">
        <v>91</v>
      </c>
      <c r="H860">
        <v>5.3</v>
      </c>
      <c r="I860">
        <v>35.71</v>
      </c>
      <c r="J860">
        <v>189.26</v>
      </c>
      <c r="K860" t="s">
        <v>96</v>
      </c>
      <c r="L860" t="b">
        <v>0</v>
      </c>
    </row>
    <row r="861" spans="1:13" ht="34" x14ac:dyDescent="0.2">
      <c r="A861" t="s">
        <v>1252</v>
      </c>
      <c r="B861" t="s">
        <v>424</v>
      </c>
      <c r="C861" t="s">
        <v>71</v>
      </c>
      <c r="D861" s="1">
        <v>45517</v>
      </c>
      <c r="E861" s="6" t="s">
        <v>23</v>
      </c>
      <c r="F861" t="s">
        <v>54</v>
      </c>
      <c r="G861" s="3" t="s">
        <v>55</v>
      </c>
      <c r="H861">
        <v>3.3</v>
      </c>
      <c r="I861">
        <v>59.42</v>
      </c>
      <c r="J861">
        <v>196.1</v>
      </c>
      <c r="K861" t="s">
        <v>32</v>
      </c>
      <c r="L861" t="b">
        <v>1</v>
      </c>
      <c r="M861" s="3" t="s">
        <v>102</v>
      </c>
    </row>
    <row r="862" spans="1:13" ht="17" x14ac:dyDescent="0.2">
      <c r="A862" t="s">
        <v>1253</v>
      </c>
      <c r="B862" t="s">
        <v>185</v>
      </c>
      <c r="C862" t="s">
        <v>65</v>
      </c>
      <c r="D862" s="1">
        <v>45239</v>
      </c>
      <c r="E862" s="6" t="s">
        <v>16</v>
      </c>
      <c r="F862" t="s">
        <v>30</v>
      </c>
      <c r="G862" s="3" t="s">
        <v>31</v>
      </c>
      <c r="H862">
        <v>5</v>
      </c>
      <c r="I862">
        <v>36.979999999999997</v>
      </c>
      <c r="J862">
        <v>184.9</v>
      </c>
      <c r="K862" t="s">
        <v>113</v>
      </c>
      <c r="L862" t="b">
        <v>0</v>
      </c>
    </row>
    <row r="863" spans="1:13" ht="17" x14ac:dyDescent="0.2">
      <c r="A863" t="s">
        <v>1254</v>
      </c>
      <c r="B863" t="s">
        <v>417</v>
      </c>
      <c r="C863" t="s">
        <v>148</v>
      </c>
      <c r="D863" s="1">
        <v>45170</v>
      </c>
      <c r="E863" s="6" t="s">
        <v>23</v>
      </c>
      <c r="F863" t="s">
        <v>30</v>
      </c>
      <c r="G863" s="3" t="s">
        <v>31</v>
      </c>
      <c r="H863">
        <v>7.2</v>
      </c>
      <c r="I863">
        <v>37.409999999999997</v>
      </c>
      <c r="J863">
        <v>269.33</v>
      </c>
      <c r="K863" t="s">
        <v>56</v>
      </c>
      <c r="L863" t="b">
        <v>0</v>
      </c>
    </row>
    <row r="864" spans="1:13" ht="17" x14ac:dyDescent="0.2">
      <c r="A864" t="s">
        <v>1255</v>
      </c>
      <c r="B864" t="s">
        <v>394</v>
      </c>
      <c r="C864" t="s">
        <v>15</v>
      </c>
      <c r="D864" s="1">
        <v>45237</v>
      </c>
      <c r="E864" s="6" t="s">
        <v>44</v>
      </c>
      <c r="F864" t="s">
        <v>30</v>
      </c>
      <c r="G864" s="3" t="s">
        <v>31</v>
      </c>
      <c r="H864">
        <v>7</v>
      </c>
      <c r="I864">
        <v>46.36</v>
      </c>
      <c r="J864">
        <v>324.52999999999997</v>
      </c>
      <c r="K864" t="s">
        <v>32</v>
      </c>
      <c r="L864" t="b">
        <v>0</v>
      </c>
    </row>
    <row r="865" spans="1:13" ht="34" x14ac:dyDescent="0.2">
      <c r="A865" t="s">
        <v>1256</v>
      </c>
      <c r="B865" t="s">
        <v>460</v>
      </c>
      <c r="C865" t="s">
        <v>211</v>
      </c>
      <c r="D865" s="1">
        <v>45448</v>
      </c>
      <c r="E865" s="6" t="s">
        <v>16</v>
      </c>
      <c r="F865" t="s">
        <v>90</v>
      </c>
      <c r="G865" s="3" t="s">
        <v>91</v>
      </c>
      <c r="H865">
        <v>7.5</v>
      </c>
      <c r="I865">
        <v>65.55</v>
      </c>
      <c r="J865">
        <v>491.62</v>
      </c>
      <c r="K865" t="s">
        <v>26</v>
      </c>
      <c r="L865" t="b">
        <v>0</v>
      </c>
    </row>
    <row r="866" spans="1:13" ht="17" x14ac:dyDescent="0.2">
      <c r="A866" t="s">
        <v>1257</v>
      </c>
      <c r="B866" t="s">
        <v>713</v>
      </c>
      <c r="C866" t="s">
        <v>183</v>
      </c>
      <c r="D866" s="1">
        <v>45056</v>
      </c>
      <c r="E866" s="6" t="s">
        <v>89</v>
      </c>
      <c r="F866" t="s">
        <v>17</v>
      </c>
      <c r="G866" s="3" t="s">
        <v>18</v>
      </c>
      <c r="H866">
        <v>5.7</v>
      </c>
      <c r="I866">
        <v>70.849999999999994</v>
      </c>
      <c r="J866">
        <v>403.87</v>
      </c>
      <c r="K866" t="s">
        <v>96</v>
      </c>
      <c r="L866" t="b">
        <v>0</v>
      </c>
    </row>
    <row r="867" spans="1:13" ht="34" x14ac:dyDescent="0.2">
      <c r="A867" t="s">
        <v>1258</v>
      </c>
      <c r="B867" t="s">
        <v>709</v>
      </c>
      <c r="C867" t="s">
        <v>68</v>
      </c>
      <c r="D867" s="1">
        <v>45444</v>
      </c>
      <c r="E867" s="6" t="s">
        <v>78</v>
      </c>
      <c r="F867" t="s">
        <v>24</v>
      </c>
      <c r="G867" s="3" t="s">
        <v>25</v>
      </c>
      <c r="H867">
        <v>42.3</v>
      </c>
      <c r="I867">
        <v>47.27</v>
      </c>
      <c r="J867">
        <v>2000</v>
      </c>
      <c r="K867" t="s">
        <v>56</v>
      </c>
      <c r="L867" t="b">
        <v>1</v>
      </c>
      <c r="M867" s="3" t="s">
        <v>40</v>
      </c>
    </row>
    <row r="868" spans="1:13" ht="17" x14ac:dyDescent="0.2">
      <c r="A868" t="s">
        <v>1259</v>
      </c>
      <c r="B868" t="s">
        <v>34</v>
      </c>
      <c r="C868" t="s">
        <v>148</v>
      </c>
      <c r="D868" s="1">
        <v>45416</v>
      </c>
      <c r="E868" s="6" t="s">
        <v>89</v>
      </c>
      <c r="F868" t="s">
        <v>17</v>
      </c>
      <c r="G868" s="3" t="s">
        <v>18</v>
      </c>
      <c r="H868">
        <v>7.4</v>
      </c>
      <c r="I868">
        <v>77.86</v>
      </c>
      <c r="J868">
        <v>576.16</v>
      </c>
      <c r="K868" t="s">
        <v>36</v>
      </c>
      <c r="L868" t="b">
        <v>0</v>
      </c>
    </row>
    <row r="869" spans="1:13" ht="34" x14ac:dyDescent="0.2">
      <c r="A869" t="s">
        <v>1260</v>
      </c>
      <c r="B869" t="s">
        <v>1261</v>
      </c>
      <c r="C869" t="s">
        <v>124</v>
      </c>
      <c r="D869" s="1">
        <v>44944</v>
      </c>
      <c r="E869" s="6" t="s">
        <v>89</v>
      </c>
      <c r="F869" t="s">
        <v>45</v>
      </c>
      <c r="G869" s="3" t="s">
        <v>46</v>
      </c>
      <c r="H869">
        <v>4.9000000000000004</v>
      </c>
      <c r="I869">
        <v>84.06</v>
      </c>
      <c r="J869">
        <v>411.91</v>
      </c>
      <c r="K869" t="s">
        <v>96</v>
      </c>
      <c r="L869" t="b">
        <v>0</v>
      </c>
    </row>
    <row r="870" spans="1:13" ht="34" x14ac:dyDescent="0.2">
      <c r="A870" t="s">
        <v>1262</v>
      </c>
      <c r="B870" t="s">
        <v>388</v>
      </c>
      <c r="C870" t="s">
        <v>127</v>
      </c>
      <c r="D870" s="1">
        <v>45559</v>
      </c>
      <c r="E870" s="6" t="s">
        <v>23</v>
      </c>
      <c r="F870" t="s">
        <v>45</v>
      </c>
      <c r="G870" s="3" t="s">
        <v>46</v>
      </c>
      <c r="H870">
        <v>22.6</v>
      </c>
      <c r="I870">
        <v>70.010000000000005</v>
      </c>
      <c r="J870">
        <v>1582.23</v>
      </c>
      <c r="K870" t="s">
        <v>56</v>
      </c>
      <c r="L870" t="b">
        <v>1</v>
      </c>
      <c r="M870" s="3" t="s">
        <v>79</v>
      </c>
    </row>
    <row r="871" spans="1:13" ht="34" x14ac:dyDescent="0.2">
      <c r="A871" t="s">
        <v>1263</v>
      </c>
      <c r="B871" t="s">
        <v>987</v>
      </c>
      <c r="C871" t="s">
        <v>295</v>
      </c>
      <c r="D871" s="1">
        <v>45378</v>
      </c>
      <c r="E871" s="6" t="s">
        <v>89</v>
      </c>
      <c r="F871" t="s">
        <v>24</v>
      </c>
      <c r="G871" s="3" t="s">
        <v>25</v>
      </c>
      <c r="H871">
        <v>5.2</v>
      </c>
      <c r="I871">
        <v>50.39</v>
      </c>
      <c r="J871">
        <v>262.02999999999997</v>
      </c>
      <c r="K871" t="s">
        <v>92</v>
      </c>
      <c r="L871" t="b">
        <v>0</v>
      </c>
    </row>
    <row r="872" spans="1:13" ht="34" x14ac:dyDescent="0.2">
      <c r="A872" t="s">
        <v>1264</v>
      </c>
      <c r="B872" t="s">
        <v>649</v>
      </c>
      <c r="C872" t="s">
        <v>293</v>
      </c>
      <c r="D872" s="1">
        <v>44972</v>
      </c>
      <c r="E872" s="6" t="s">
        <v>16</v>
      </c>
      <c r="F872" t="s">
        <v>24</v>
      </c>
      <c r="G872" s="3" t="s">
        <v>25</v>
      </c>
      <c r="H872">
        <v>20.6</v>
      </c>
      <c r="I872">
        <v>48.62</v>
      </c>
      <c r="J872">
        <v>1000</v>
      </c>
      <c r="K872" t="s">
        <v>26</v>
      </c>
      <c r="L872" t="b">
        <v>1</v>
      </c>
      <c r="M872" s="3" t="s">
        <v>40</v>
      </c>
    </row>
    <row r="873" spans="1:13" ht="68" x14ac:dyDescent="0.2">
      <c r="A873" t="s">
        <v>1265</v>
      </c>
      <c r="B873" t="s">
        <v>1093</v>
      </c>
      <c r="C873" t="s">
        <v>133</v>
      </c>
      <c r="D873" s="1">
        <v>45631</v>
      </c>
      <c r="E873" s="6" t="s">
        <v>89</v>
      </c>
      <c r="F873" t="s">
        <v>50</v>
      </c>
      <c r="G873" s="3" t="s">
        <v>51</v>
      </c>
      <c r="H873">
        <v>4.7</v>
      </c>
      <c r="I873">
        <v>32.22</v>
      </c>
      <c r="J873">
        <v>151.44</v>
      </c>
      <c r="K873" t="s">
        <v>19</v>
      </c>
      <c r="L873" t="b">
        <v>0</v>
      </c>
    </row>
    <row r="874" spans="1:13" ht="17" x14ac:dyDescent="0.2">
      <c r="A874" t="s">
        <v>1266</v>
      </c>
      <c r="B874" t="s">
        <v>664</v>
      </c>
      <c r="C874" t="s">
        <v>127</v>
      </c>
      <c r="D874" s="1">
        <v>45584</v>
      </c>
      <c r="E874" s="6" t="s">
        <v>16</v>
      </c>
      <c r="F874" t="s">
        <v>17</v>
      </c>
      <c r="G874" s="3" t="s">
        <v>18</v>
      </c>
      <c r="H874">
        <v>3.9</v>
      </c>
      <c r="I874">
        <v>25.51</v>
      </c>
      <c r="J874">
        <v>99.47</v>
      </c>
      <c r="K874" t="s">
        <v>19</v>
      </c>
      <c r="L874" t="b">
        <v>0</v>
      </c>
    </row>
    <row r="875" spans="1:13" ht="17" x14ac:dyDescent="0.2">
      <c r="A875" t="s">
        <v>1267</v>
      </c>
      <c r="B875" t="s">
        <v>258</v>
      </c>
      <c r="C875" t="s">
        <v>350</v>
      </c>
      <c r="D875" s="1">
        <v>45439</v>
      </c>
      <c r="E875" s="6" t="s">
        <v>78</v>
      </c>
      <c r="F875" t="s">
        <v>30</v>
      </c>
      <c r="G875" s="3" t="s">
        <v>31</v>
      </c>
      <c r="H875">
        <v>4.3</v>
      </c>
      <c r="I875">
        <v>31.04</v>
      </c>
      <c r="J875">
        <v>133.49</v>
      </c>
      <c r="K875" t="s">
        <v>56</v>
      </c>
      <c r="L875" t="b">
        <v>0</v>
      </c>
    </row>
    <row r="876" spans="1:13" ht="34" x14ac:dyDescent="0.2">
      <c r="A876" t="s">
        <v>1268</v>
      </c>
      <c r="B876" t="s">
        <v>376</v>
      </c>
      <c r="C876" t="s">
        <v>450</v>
      </c>
      <c r="D876" s="1">
        <v>45222</v>
      </c>
      <c r="E876" s="6" t="s">
        <v>78</v>
      </c>
      <c r="F876" t="s">
        <v>45</v>
      </c>
      <c r="G876" s="3" t="s">
        <v>46</v>
      </c>
      <c r="H876">
        <v>3.1</v>
      </c>
      <c r="I876">
        <v>40.770000000000003</v>
      </c>
      <c r="J876">
        <v>126.39</v>
      </c>
      <c r="K876" t="s">
        <v>105</v>
      </c>
      <c r="L876" t="b">
        <v>0</v>
      </c>
    </row>
    <row r="877" spans="1:13" ht="17" x14ac:dyDescent="0.2">
      <c r="A877" t="s">
        <v>1269</v>
      </c>
      <c r="B877" t="s">
        <v>406</v>
      </c>
      <c r="C877" t="s">
        <v>166</v>
      </c>
      <c r="D877" s="1">
        <v>45523</v>
      </c>
      <c r="E877" s="6" t="s">
        <v>23</v>
      </c>
      <c r="F877" t="s">
        <v>17</v>
      </c>
      <c r="G877" s="3" t="s">
        <v>18</v>
      </c>
      <c r="H877">
        <v>7.8</v>
      </c>
      <c r="I877">
        <v>45.59</v>
      </c>
      <c r="J877">
        <v>355.57</v>
      </c>
      <c r="K877" t="s">
        <v>82</v>
      </c>
      <c r="L877" t="b">
        <v>0</v>
      </c>
    </row>
    <row r="878" spans="1:13" ht="17" x14ac:dyDescent="0.2">
      <c r="A878" t="s">
        <v>1270</v>
      </c>
      <c r="B878" t="s">
        <v>646</v>
      </c>
      <c r="C878" t="s">
        <v>178</v>
      </c>
      <c r="D878" s="1">
        <v>45459</v>
      </c>
      <c r="E878" s="6" t="s">
        <v>78</v>
      </c>
      <c r="F878" t="s">
        <v>17</v>
      </c>
      <c r="G878" s="3" t="s">
        <v>18</v>
      </c>
      <c r="H878">
        <v>23.2</v>
      </c>
      <c r="I878">
        <v>50.15</v>
      </c>
      <c r="J878">
        <v>1163.48</v>
      </c>
      <c r="K878" t="s">
        <v>82</v>
      </c>
      <c r="L878" t="b">
        <v>1</v>
      </c>
      <c r="M878" s="3" t="s">
        <v>79</v>
      </c>
    </row>
    <row r="879" spans="1:13" ht="34" x14ac:dyDescent="0.2">
      <c r="A879" t="s">
        <v>1271</v>
      </c>
      <c r="B879" t="s">
        <v>1028</v>
      </c>
      <c r="C879" t="s">
        <v>161</v>
      </c>
      <c r="D879" s="1">
        <v>45509</v>
      </c>
      <c r="E879" s="6" t="s">
        <v>23</v>
      </c>
      <c r="F879" t="s">
        <v>54</v>
      </c>
      <c r="G879" s="3" t="s">
        <v>55</v>
      </c>
      <c r="H879">
        <v>7.1</v>
      </c>
      <c r="I879">
        <v>41.78</v>
      </c>
      <c r="J879">
        <v>296.62</v>
      </c>
      <c r="K879" t="s">
        <v>36</v>
      </c>
      <c r="L879" t="b">
        <v>0</v>
      </c>
    </row>
    <row r="880" spans="1:13" ht="68" x14ac:dyDescent="0.2">
      <c r="A880" t="s">
        <v>1272</v>
      </c>
      <c r="B880" t="s">
        <v>434</v>
      </c>
      <c r="C880" t="s">
        <v>207</v>
      </c>
      <c r="D880" s="1">
        <v>45019</v>
      </c>
      <c r="E880" s="6" t="s">
        <v>44</v>
      </c>
      <c r="F880" t="s">
        <v>50</v>
      </c>
      <c r="G880" s="3" t="s">
        <v>51</v>
      </c>
      <c r="H880">
        <v>7.9</v>
      </c>
      <c r="I880">
        <v>66.16</v>
      </c>
      <c r="J880">
        <v>522.66999999999996</v>
      </c>
      <c r="K880" t="s">
        <v>32</v>
      </c>
      <c r="L880" t="b">
        <v>0</v>
      </c>
    </row>
    <row r="881" spans="1:13" ht="34" x14ac:dyDescent="0.2">
      <c r="A881" t="s">
        <v>1273</v>
      </c>
      <c r="B881" t="s">
        <v>884</v>
      </c>
      <c r="C881" t="s">
        <v>450</v>
      </c>
      <c r="D881" s="1">
        <v>45024</v>
      </c>
      <c r="E881" s="6" t="s">
        <v>60</v>
      </c>
      <c r="F881" t="s">
        <v>45</v>
      </c>
      <c r="G881" s="3" t="s">
        <v>46</v>
      </c>
      <c r="H881">
        <v>6.8</v>
      </c>
      <c r="I881">
        <v>58.32</v>
      </c>
      <c r="J881">
        <v>396.58</v>
      </c>
      <c r="K881" t="s">
        <v>96</v>
      </c>
      <c r="L881" t="b">
        <v>0</v>
      </c>
    </row>
    <row r="882" spans="1:13" ht="17" x14ac:dyDescent="0.2">
      <c r="A882" t="s">
        <v>1274</v>
      </c>
      <c r="B882" t="s">
        <v>738</v>
      </c>
      <c r="C882" t="s">
        <v>196</v>
      </c>
      <c r="D882" s="1">
        <v>44951</v>
      </c>
      <c r="E882" s="6" t="s">
        <v>23</v>
      </c>
      <c r="F882" t="s">
        <v>30</v>
      </c>
      <c r="G882" s="3" t="s">
        <v>31</v>
      </c>
      <c r="H882">
        <v>2.9</v>
      </c>
      <c r="I882">
        <v>82.55</v>
      </c>
      <c r="J882">
        <v>239.39</v>
      </c>
      <c r="K882" t="s">
        <v>96</v>
      </c>
      <c r="L882" t="b">
        <v>0</v>
      </c>
    </row>
    <row r="883" spans="1:13" ht="17" x14ac:dyDescent="0.2">
      <c r="A883" t="s">
        <v>1275</v>
      </c>
      <c r="B883" t="s">
        <v>263</v>
      </c>
      <c r="C883" t="s">
        <v>22</v>
      </c>
      <c r="D883" s="1">
        <v>45191</v>
      </c>
      <c r="E883" s="6" t="s">
        <v>60</v>
      </c>
      <c r="F883" t="s">
        <v>17</v>
      </c>
      <c r="G883" s="3" t="s">
        <v>18</v>
      </c>
      <c r="H883">
        <v>6.8</v>
      </c>
      <c r="I883">
        <v>35.6</v>
      </c>
      <c r="J883">
        <v>242.06</v>
      </c>
      <c r="K883" t="s">
        <v>92</v>
      </c>
      <c r="L883" t="b">
        <v>0</v>
      </c>
    </row>
    <row r="884" spans="1:13" ht="68" x14ac:dyDescent="0.2">
      <c r="A884" t="s">
        <v>1276</v>
      </c>
      <c r="B884" t="s">
        <v>342</v>
      </c>
      <c r="C884" t="s">
        <v>71</v>
      </c>
      <c r="D884" s="1">
        <v>45463</v>
      </c>
      <c r="E884" s="6" t="s">
        <v>89</v>
      </c>
      <c r="F884" t="s">
        <v>50</v>
      </c>
      <c r="G884" s="3" t="s">
        <v>51</v>
      </c>
      <c r="H884">
        <v>9.9</v>
      </c>
      <c r="I884">
        <v>75.959999999999994</v>
      </c>
      <c r="J884">
        <v>750</v>
      </c>
      <c r="K884" t="s">
        <v>92</v>
      </c>
      <c r="L884" t="b">
        <v>1</v>
      </c>
      <c r="M884" s="3" t="s">
        <v>40</v>
      </c>
    </row>
    <row r="885" spans="1:13" ht="34" x14ac:dyDescent="0.2">
      <c r="A885" t="s">
        <v>1277</v>
      </c>
      <c r="B885" t="s">
        <v>132</v>
      </c>
      <c r="C885" t="s">
        <v>15</v>
      </c>
      <c r="D885" s="1">
        <v>45166</v>
      </c>
      <c r="E885" s="6" t="s">
        <v>89</v>
      </c>
      <c r="F885" t="s">
        <v>54</v>
      </c>
      <c r="G885" s="3" t="s">
        <v>55</v>
      </c>
      <c r="H885">
        <v>6.7</v>
      </c>
      <c r="I885">
        <v>43</v>
      </c>
      <c r="J885">
        <v>288.11</v>
      </c>
      <c r="K885" t="s">
        <v>96</v>
      </c>
      <c r="L885" t="b">
        <v>0</v>
      </c>
    </row>
    <row r="886" spans="1:13" ht="34" x14ac:dyDescent="0.2">
      <c r="A886" t="s">
        <v>1278</v>
      </c>
      <c r="B886" t="s">
        <v>895</v>
      </c>
      <c r="C886" t="s">
        <v>365</v>
      </c>
      <c r="D886" s="1">
        <v>45564</v>
      </c>
      <c r="E886" s="6" t="s">
        <v>44</v>
      </c>
      <c r="F886" t="s">
        <v>24</v>
      </c>
      <c r="G886" s="3" t="s">
        <v>25</v>
      </c>
      <c r="H886">
        <v>4.4000000000000004</v>
      </c>
      <c r="I886">
        <v>66.430000000000007</v>
      </c>
      <c r="J886">
        <v>292.3</v>
      </c>
      <c r="K886" t="s">
        <v>92</v>
      </c>
      <c r="L886" t="b">
        <v>0</v>
      </c>
    </row>
    <row r="887" spans="1:13" ht="17" x14ac:dyDescent="0.2">
      <c r="A887" t="s">
        <v>1279</v>
      </c>
      <c r="B887" t="s">
        <v>342</v>
      </c>
      <c r="C887" t="s">
        <v>110</v>
      </c>
      <c r="D887" s="1">
        <v>45560</v>
      </c>
      <c r="E887" s="6" t="s">
        <v>16</v>
      </c>
      <c r="F887" t="s">
        <v>30</v>
      </c>
      <c r="G887" s="3" t="s">
        <v>31</v>
      </c>
      <c r="H887">
        <v>6.9</v>
      </c>
      <c r="I887">
        <v>53.59</v>
      </c>
      <c r="J887">
        <v>369.79</v>
      </c>
      <c r="K887" t="s">
        <v>92</v>
      </c>
      <c r="L887" t="b">
        <v>0</v>
      </c>
    </row>
    <row r="888" spans="1:13" ht="34" x14ac:dyDescent="0.2">
      <c r="A888" t="s">
        <v>1280</v>
      </c>
      <c r="B888" t="s">
        <v>14</v>
      </c>
      <c r="C888" t="s">
        <v>274</v>
      </c>
      <c r="D888" s="1">
        <v>45515</v>
      </c>
      <c r="E888" s="6" t="s">
        <v>78</v>
      </c>
      <c r="F888" t="s">
        <v>90</v>
      </c>
      <c r="G888" s="3" t="s">
        <v>91</v>
      </c>
      <c r="H888">
        <v>4.7</v>
      </c>
      <c r="I888">
        <v>45.08</v>
      </c>
      <c r="J888">
        <v>211.87</v>
      </c>
      <c r="K888" t="s">
        <v>19</v>
      </c>
      <c r="L888" t="b">
        <v>0</v>
      </c>
    </row>
    <row r="889" spans="1:13" ht="34" x14ac:dyDescent="0.2">
      <c r="A889" t="s">
        <v>1281</v>
      </c>
      <c r="B889" t="s">
        <v>155</v>
      </c>
      <c r="C889" t="s">
        <v>22</v>
      </c>
      <c r="D889" s="1">
        <v>45234</v>
      </c>
      <c r="E889" s="6" t="s">
        <v>78</v>
      </c>
      <c r="F889" t="s">
        <v>54</v>
      </c>
      <c r="G889" s="3" t="s">
        <v>55</v>
      </c>
      <c r="H889">
        <v>5.4</v>
      </c>
      <c r="I889">
        <v>80.91</v>
      </c>
      <c r="J889">
        <v>436.92</v>
      </c>
      <c r="K889" t="s">
        <v>113</v>
      </c>
      <c r="L889" t="b">
        <v>0</v>
      </c>
    </row>
    <row r="890" spans="1:13" ht="34" x14ac:dyDescent="0.2">
      <c r="A890" t="s">
        <v>1282</v>
      </c>
      <c r="B890" t="s">
        <v>378</v>
      </c>
      <c r="C890" t="s">
        <v>365</v>
      </c>
      <c r="D890" s="1">
        <v>45007</v>
      </c>
      <c r="E890" s="6" t="s">
        <v>16</v>
      </c>
      <c r="F890" t="s">
        <v>54</v>
      </c>
      <c r="G890" s="3" t="s">
        <v>55</v>
      </c>
      <c r="H890">
        <v>2.1</v>
      </c>
      <c r="I890">
        <v>32.270000000000003</v>
      </c>
      <c r="J890">
        <v>67.78</v>
      </c>
      <c r="K890" t="s">
        <v>26</v>
      </c>
      <c r="L890" t="b">
        <v>1</v>
      </c>
      <c r="M890" s="3" t="s">
        <v>102</v>
      </c>
    </row>
    <row r="891" spans="1:13" ht="17" x14ac:dyDescent="0.2">
      <c r="A891" t="s">
        <v>1283</v>
      </c>
      <c r="B891" t="s">
        <v>580</v>
      </c>
      <c r="C891" t="s">
        <v>122</v>
      </c>
      <c r="D891" s="1">
        <v>45525</v>
      </c>
      <c r="E891" s="6" t="s">
        <v>89</v>
      </c>
      <c r="F891" t="s">
        <v>30</v>
      </c>
      <c r="G891" s="3" t="s">
        <v>31</v>
      </c>
      <c r="H891">
        <v>5.5</v>
      </c>
      <c r="I891">
        <v>63.99</v>
      </c>
      <c r="J891">
        <v>351.96</v>
      </c>
      <c r="K891" t="s">
        <v>82</v>
      </c>
      <c r="L891" t="b">
        <v>0</v>
      </c>
    </row>
    <row r="892" spans="1:13" ht="68" x14ac:dyDescent="0.2">
      <c r="A892" t="s">
        <v>1284</v>
      </c>
      <c r="B892" t="s">
        <v>67</v>
      </c>
      <c r="C892" t="s">
        <v>380</v>
      </c>
      <c r="D892" s="1">
        <v>45151</v>
      </c>
      <c r="E892" s="6" t="s">
        <v>78</v>
      </c>
      <c r="F892" t="s">
        <v>50</v>
      </c>
      <c r="G892" s="3" t="s">
        <v>51</v>
      </c>
      <c r="H892">
        <v>7.9</v>
      </c>
      <c r="I892">
        <v>42.08</v>
      </c>
      <c r="J892">
        <v>332.4</v>
      </c>
      <c r="K892" t="s">
        <v>56</v>
      </c>
      <c r="L892" t="b">
        <v>0</v>
      </c>
    </row>
    <row r="893" spans="1:13" ht="17" x14ac:dyDescent="0.2">
      <c r="A893" t="s">
        <v>1285</v>
      </c>
      <c r="B893" t="s">
        <v>180</v>
      </c>
      <c r="C893" t="s">
        <v>207</v>
      </c>
      <c r="D893" s="1">
        <v>45026</v>
      </c>
      <c r="E893" s="6" t="s">
        <v>44</v>
      </c>
      <c r="F893" t="s">
        <v>17</v>
      </c>
      <c r="G893" s="3" t="s">
        <v>18</v>
      </c>
      <c r="H893">
        <v>6.6</v>
      </c>
      <c r="I893">
        <v>51.82</v>
      </c>
      <c r="J893">
        <v>341.98</v>
      </c>
      <c r="K893" t="s">
        <v>92</v>
      </c>
      <c r="L893" t="b">
        <v>0</v>
      </c>
    </row>
    <row r="894" spans="1:13" ht="34" x14ac:dyDescent="0.2">
      <c r="A894" t="s">
        <v>1286</v>
      </c>
      <c r="B894" t="s">
        <v>1181</v>
      </c>
      <c r="C894" t="s">
        <v>323</v>
      </c>
      <c r="D894" s="1">
        <v>45249</v>
      </c>
      <c r="E894" s="6" t="s">
        <v>23</v>
      </c>
      <c r="F894" t="s">
        <v>61</v>
      </c>
      <c r="G894" s="3" t="s">
        <v>62</v>
      </c>
      <c r="H894">
        <v>5.7</v>
      </c>
      <c r="I894">
        <v>52.83</v>
      </c>
      <c r="J894">
        <v>301.10000000000002</v>
      </c>
      <c r="K894" t="s">
        <v>19</v>
      </c>
      <c r="L894" t="b">
        <v>0</v>
      </c>
    </row>
    <row r="895" spans="1:13" ht="68" x14ac:dyDescent="0.2">
      <c r="A895" t="s">
        <v>1287</v>
      </c>
      <c r="B895" t="s">
        <v>356</v>
      </c>
      <c r="C895" t="s">
        <v>268</v>
      </c>
      <c r="D895" s="1">
        <v>45600</v>
      </c>
      <c r="E895" s="6" t="s">
        <v>60</v>
      </c>
      <c r="F895" t="s">
        <v>50</v>
      </c>
      <c r="G895" s="3" t="s">
        <v>51</v>
      </c>
      <c r="H895">
        <v>5.8</v>
      </c>
      <c r="I895">
        <v>80.709999999999994</v>
      </c>
      <c r="J895">
        <v>468.14</v>
      </c>
      <c r="K895" t="s">
        <v>82</v>
      </c>
      <c r="L895" t="b">
        <v>0</v>
      </c>
    </row>
    <row r="896" spans="1:13" ht="34" x14ac:dyDescent="0.2">
      <c r="A896" t="s">
        <v>1288</v>
      </c>
      <c r="B896" t="s">
        <v>364</v>
      </c>
      <c r="C896" t="s">
        <v>178</v>
      </c>
      <c r="D896" s="1">
        <v>45385</v>
      </c>
      <c r="E896" s="6" t="s">
        <v>23</v>
      </c>
      <c r="F896" t="s">
        <v>61</v>
      </c>
      <c r="G896" s="3" t="s">
        <v>62</v>
      </c>
      <c r="H896">
        <v>7.1</v>
      </c>
      <c r="I896">
        <v>29.28</v>
      </c>
      <c r="J896">
        <v>207.89</v>
      </c>
      <c r="K896" t="s">
        <v>96</v>
      </c>
      <c r="L896" t="b">
        <v>0</v>
      </c>
    </row>
    <row r="897" spans="1:13" ht="34" x14ac:dyDescent="0.2">
      <c r="A897" t="s">
        <v>1289</v>
      </c>
      <c r="B897" t="s">
        <v>73</v>
      </c>
      <c r="C897" t="s">
        <v>65</v>
      </c>
      <c r="D897" s="1">
        <v>45218</v>
      </c>
      <c r="E897" s="6" t="s">
        <v>78</v>
      </c>
      <c r="F897" t="s">
        <v>54</v>
      </c>
      <c r="G897" s="3" t="s">
        <v>55</v>
      </c>
      <c r="H897">
        <v>3.4</v>
      </c>
      <c r="I897">
        <v>44.01</v>
      </c>
      <c r="J897">
        <v>149.63999999999999</v>
      </c>
      <c r="K897" t="s">
        <v>19</v>
      </c>
      <c r="L897" t="b">
        <v>0</v>
      </c>
    </row>
    <row r="898" spans="1:13" ht="34" x14ac:dyDescent="0.2">
      <c r="A898" t="s">
        <v>1290</v>
      </c>
      <c r="B898" t="s">
        <v>669</v>
      </c>
      <c r="C898" t="s">
        <v>353</v>
      </c>
      <c r="D898" s="1">
        <v>45149</v>
      </c>
      <c r="E898" s="6" t="s">
        <v>60</v>
      </c>
      <c r="F898" t="s">
        <v>45</v>
      </c>
      <c r="G898" s="3" t="s">
        <v>46</v>
      </c>
      <c r="H898">
        <v>5.6</v>
      </c>
      <c r="I898">
        <v>48.73</v>
      </c>
      <c r="J898">
        <v>272.87</v>
      </c>
      <c r="K898" t="s">
        <v>36</v>
      </c>
      <c r="L898" t="b">
        <v>0</v>
      </c>
    </row>
    <row r="899" spans="1:13" ht="34" x14ac:dyDescent="0.2">
      <c r="A899" t="s">
        <v>1291</v>
      </c>
      <c r="B899" t="s">
        <v>476</v>
      </c>
      <c r="C899" t="s">
        <v>110</v>
      </c>
      <c r="D899" s="1">
        <v>45648</v>
      </c>
      <c r="E899" s="6" t="s">
        <v>60</v>
      </c>
      <c r="F899" t="s">
        <v>54</v>
      </c>
      <c r="G899" s="3" t="s">
        <v>55</v>
      </c>
      <c r="H899">
        <v>6.5</v>
      </c>
      <c r="I899">
        <v>56.26</v>
      </c>
      <c r="J899">
        <v>365.66</v>
      </c>
      <c r="K899" t="s">
        <v>105</v>
      </c>
      <c r="L899" t="b">
        <v>0</v>
      </c>
    </row>
    <row r="900" spans="1:13" ht="34" x14ac:dyDescent="0.2">
      <c r="A900" t="s">
        <v>1292</v>
      </c>
      <c r="B900" t="s">
        <v>313</v>
      </c>
      <c r="C900" t="s">
        <v>71</v>
      </c>
      <c r="D900" s="1">
        <v>45523</v>
      </c>
      <c r="E900" s="6" t="s">
        <v>23</v>
      </c>
      <c r="F900" t="s">
        <v>61</v>
      </c>
      <c r="G900" s="3" t="s">
        <v>62</v>
      </c>
      <c r="H900">
        <v>22.2</v>
      </c>
      <c r="I900">
        <v>76.25</v>
      </c>
      <c r="J900">
        <v>1692.75</v>
      </c>
      <c r="K900" t="s">
        <v>26</v>
      </c>
      <c r="L900" t="b">
        <v>1</v>
      </c>
      <c r="M900" s="3" t="s">
        <v>79</v>
      </c>
    </row>
    <row r="901" spans="1:13" ht="17" x14ac:dyDescent="0.2">
      <c r="A901" t="s">
        <v>1293</v>
      </c>
      <c r="B901" t="s">
        <v>98</v>
      </c>
      <c r="C901" t="s">
        <v>370</v>
      </c>
      <c r="D901" s="1">
        <v>45493</v>
      </c>
      <c r="E901" s="6" t="s">
        <v>16</v>
      </c>
      <c r="F901" t="s">
        <v>30</v>
      </c>
      <c r="G901" s="3" t="s">
        <v>31</v>
      </c>
      <c r="H901">
        <v>6</v>
      </c>
      <c r="I901">
        <v>81.430000000000007</v>
      </c>
      <c r="J901">
        <v>488.56</v>
      </c>
      <c r="K901" t="s">
        <v>113</v>
      </c>
      <c r="L901" t="b">
        <v>0</v>
      </c>
    </row>
    <row r="902" spans="1:13" ht="34" x14ac:dyDescent="0.2">
      <c r="A902" t="s">
        <v>1294</v>
      </c>
      <c r="B902" t="s">
        <v>464</v>
      </c>
      <c r="C902" t="s">
        <v>138</v>
      </c>
      <c r="D902" s="1">
        <v>45304</v>
      </c>
      <c r="E902" s="6" t="s">
        <v>44</v>
      </c>
      <c r="F902" t="s">
        <v>90</v>
      </c>
      <c r="G902" s="3" t="s">
        <v>91</v>
      </c>
      <c r="H902">
        <v>3.3</v>
      </c>
      <c r="I902">
        <v>48.82</v>
      </c>
      <c r="J902">
        <v>161.12</v>
      </c>
      <c r="K902" t="s">
        <v>92</v>
      </c>
      <c r="L902" t="b">
        <v>0</v>
      </c>
    </row>
    <row r="903" spans="1:13" ht="34" x14ac:dyDescent="0.2">
      <c r="A903" t="s">
        <v>1295</v>
      </c>
      <c r="B903" t="s">
        <v>77</v>
      </c>
      <c r="C903" t="s">
        <v>191</v>
      </c>
      <c r="D903" s="1">
        <v>45553</v>
      </c>
      <c r="E903" s="6" t="s">
        <v>44</v>
      </c>
      <c r="F903" t="s">
        <v>90</v>
      </c>
      <c r="G903" s="3" t="s">
        <v>91</v>
      </c>
      <c r="H903">
        <v>7.6</v>
      </c>
      <c r="I903">
        <v>53.39</v>
      </c>
      <c r="J903">
        <v>405.77</v>
      </c>
      <c r="K903" t="s">
        <v>26</v>
      </c>
      <c r="L903" t="b">
        <v>0</v>
      </c>
    </row>
    <row r="904" spans="1:13" ht="34" x14ac:dyDescent="0.2">
      <c r="A904" t="s">
        <v>1296</v>
      </c>
      <c r="B904" t="s">
        <v>302</v>
      </c>
      <c r="C904" t="s">
        <v>138</v>
      </c>
      <c r="D904" s="1">
        <v>45520</v>
      </c>
      <c r="E904" s="6" t="s">
        <v>44</v>
      </c>
      <c r="F904" t="s">
        <v>24</v>
      </c>
      <c r="G904" s="3" t="s">
        <v>25</v>
      </c>
      <c r="H904">
        <v>6.6</v>
      </c>
      <c r="I904">
        <v>56.44</v>
      </c>
      <c r="J904">
        <v>372.5</v>
      </c>
      <c r="K904" t="s">
        <v>96</v>
      </c>
      <c r="L904" t="b">
        <v>0</v>
      </c>
    </row>
    <row r="905" spans="1:13" ht="34" x14ac:dyDescent="0.2">
      <c r="A905" t="s">
        <v>1297</v>
      </c>
      <c r="B905" t="s">
        <v>109</v>
      </c>
      <c r="C905" t="s">
        <v>175</v>
      </c>
      <c r="D905" s="1">
        <v>45561</v>
      </c>
      <c r="E905" s="6" t="s">
        <v>16</v>
      </c>
      <c r="F905" t="s">
        <v>90</v>
      </c>
      <c r="G905" s="3" t="s">
        <v>91</v>
      </c>
      <c r="H905">
        <v>3.6</v>
      </c>
      <c r="I905">
        <v>34.32</v>
      </c>
      <c r="J905">
        <v>123.54</v>
      </c>
      <c r="K905" t="s">
        <v>92</v>
      </c>
      <c r="L905" t="b">
        <v>0</v>
      </c>
    </row>
    <row r="906" spans="1:13" ht="34" x14ac:dyDescent="0.2">
      <c r="A906" t="s">
        <v>1298</v>
      </c>
      <c r="B906" t="s">
        <v>488</v>
      </c>
      <c r="C906" t="s">
        <v>161</v>
      </c>
      <c r="D906" s="1">
        <v>45001</v>
      </c>
      <c r="E906" s="6" t="s">
        <v>78</v>
      </c>
      <c r="F906" t="s">
        <v>61</v>
      </c>
      <c r="G906" s="3" t="s">
        <v>62</v>
      </c>
      <c r="H906">
        <v>3.9</v>
      </c>
      <c r="I906">
        <v>39.840000000000003</v>
      </c>
      <c r="J906">
        <v>155.38999999999999</v>
      </c>
      <c r="K906" t="s">
        <v>56</v>
      </c>
      <c r="L906" t="b">
        <v>0</v>
      </c>
    </row>
    <row r="907" spans="1:13" ht="17" x14ac:dyDescent="0.2">
      <c r="A907" t="s">
        <v>1299</v>
      </c>
      <c r="B907" t="s">
        <v>356</v>
      </c>
      <c r="C907" t="s">
        <v>68</v>
      </c>
      <c r="D907" s="1">
        <v>44950</v>
      </c>
      <c r="E907" s="6" t="s">
        <v>23</v>
      </c>
      <c r="F907" t="s">
        <v>17</v>
      </c>
      <c r="G907" s="3" t="s">
        <v>18</v>
      </c>
      <c r="H907">
        <v>5.8</v>
      </c>
      <c r="I907">
        <v>32.880000000000003</v>
      </c>
      <c r="J907">
        <v>190.68</v>
      </c>
      <c r="K907" t="s">
        <v>82</v>
      </c>
      <c r="L907" t="b">
        <v>0</v>
      </c>
    </row>
    <row r="908" spans="1:13" ht="34" x14ac:dyDescent="0.2">
      <c r="A908" t="s">
        <v>1300</v>
      </c>
      <c r="B908" t="s">
        <v>558</v>
      </c>
      <c r="C908" t="s">
        <v>274</v>
      </c>
      <c r="D908" s="1">
        <v>44980</v>
      </c>
      <c r="E908" s="6" t="s">
        <v>78</v>
      </c>
      <c r="F908" t="s">
        <v>24</v>
      </c>
      <c r="G908" s="3" t="s">
        <v>25</v>
      </c>
      <c r="H908">
        <v>2.2000000000000002</v>
      </c>
      <c r="I908">
        <v>46.41</v>
      </c>
      <c r="J908">
        <v>102.1</v>
      </c>
      <c r="K908" t="s">
        <v>26</v>
      </c>
      <c r="L908" t="b">
        <v>0</v>
      </c>
    </row>
    <row r="909" spans="1:13" ht="17" x14ac:dyDescent="0.2">
      <c r="A909" t="s">
        <v>1301</v>
      </c>
      <c r="B909" t="s">
        <v>171</v>
      </c>
      <c r="C909" t="s">
        <v>293</v>
      </c>
      <c r="D909" s="1">
        <v>45031</v>
      </c>
      <c r="E909" s="6" t="s">
        <v>78</v>
      </c>
      <c r="F909" t="s">
        <v>17</v>
      </c>
      <c r="G909" s="3" t="s">
        <v>18</v>
      </c>
      <c r="H909">
        <v>4.8</v>
      </c>
      <c r="I909">
        <v>77.25</v>
      </c>
      <c r="J909">
        <v>370.82</v>
      </c>
      <c r="K909" t="s">
        <v>113</v>
      </c>
      <c r="L909" t="b">
        <v>0</v>
      </c>
    </row>
    <row r="910" spans="1:13" ht="17" x14ac:dyDescent="0.2">
      <c r="A910" t="s">
        <v>1302</v>
      </c>
      <c r="B910" t="s">
        <v>121</v>
      </c>
      <c r="C910" t="s">
        <v>145</v>
      </c>
      <c r="D910" s="1">
        <v>45200</v>
      </c>
      <c r="E910" s="6" t="s">
        <v>89</v>
      </c>
      <c r="F910" t="s">
        <v>17</v>
      </c>
      <c r="G910" s="3" t="s">
        <v>18</v>
      </c>
      <c r="H910">
        <v>2.8</v>
      </c>
      <c r="I910">
        <v>81.91</v>
      </c>
      <c r="J910">
        <v>229.35</v>
      </c>
      <c r="K910" t="s">
        <v>92</v>
      </c>
      <c r="L910" t="b">
        <v>0</v>
      </c>
    </row>
    <row r="911" spans="1:13" ht="68" x14ac:dyDescent="0.2">
      <c r="A911" t="s">
        <v>1303</v>
      </c>
      <c r="B911" t="s">
        <v>158</v>
      </c>
      <c r="C911" t="s">
        <v>15</v>
      </c>
      <c r="D911" s="1">
        <v>45414</v>
      </c>
      <c r="E911" s="6" t="s">
        <v>16</v>
      </c>
      <c r="F911" t="s">
        <v>50</v>
      </c>
      <c r="G911" s="3" t="s">
        <v>51</v>
      </c>
      <c r="H911">
        <v>5.5</v>
      </c>
      <c r="I911">
        <v>52.39</v>
      </c>
      <c r="J911">
        <v>288.16000000000003</v>
      </c>
      <c r="K911" t="s">
        <v>82</v>
      </c>
      <c r="L911" t="b">
        <v>0</v>
      </c>
    </row>
    <row r="912" spans="1:13" ht="34" x14ac:dyDescent="0.2">
      <c r="A912" t="s">
        <v>1304</v>
      </c>
      <c r="B912" t="s">
        <v>586</v>
      </c>
      <c r="C912" t="s">
        <v>110</v>
      </c>
      <c r="D912" s="1">
        <v>45580</v>
      </c>
      <c r="E912" s="6" t="s">
        <v>78</v>
      </c>
      <c r="F912" t="s">
        <v>61</v>
      </c>
      <c r="G912" s="3" t="s">
        <v>62</v>
      </c>
      <c r="H912">
        <v>5.0999999999999996</v>
      </c>
      <c r="I912">
        <v>63.37</v>
      </c>
      <c r="J912">
        <v>323.2</v>
      </c>
      <c r="K912" t="s">
        <v>19</v>
      </c>
      <c r="L912" t="b">
        <v>0</v>
      </c>
    </row>
    <row r="913" spans="1:13" ht="34" x14ac:dyDescent="0.2">
      <c r="A913" t="s">
        <v>1305</v>
      </c>
      <c r="B913" t="s">
        <v>347</v>
      </c>
      <c r="C913" t="s">
        <v>280</v>
      </c>
      <c r="D913" s="1">
        <v>45648</v>
      </c>
      <c r="E913" s="6" t="s">
        <v>44</v>
      </c>
      <c r="F913" t="s">
        <v>54</v>
      </c>
      <c r="G913" s="3" t="s">
        <v>55</v>
      </c>
      <c r="H913">
        <v>4.9000000000000004</v>
      </c>
      <c r="I913">
        <v>38.630000000000003</v>
      </c>
      <c r="J913">
        <v>189.28</v>
      </c>
      <c r="K913" t="s">
        <v>32</v>
      </c>
      <c r="L913" t="b">
        <v>0</v>
      </c>
    </row>
    <row r="914" spans="1:13" ht="17" x14ac:dyDescent="0.2">
      <c r="A914" t="s">
        <v>1306</v>
      </c>
      <c r="B914" t="s">
        <v>472</v>
      </c>
      <c r="C914" t="s">
        <v>88</v>
      </c>
      <c r="D914" s="1">
        <v>45496</v>
      </c>
      <c r="E914" s="6" t="s">
        <v>23</v>
      </c>
      <c r="F914" t="s">
        <v>17</v>
      </c>
      <c r="G914" s="3" t="s">
        <v>18</v>
      </c>
      <c r="H914">
        <v>3.8</v>
      </c>
      <c r="I914">
        <v>49.73</v>
      </c>
      <c r="J914">
        <v>188.98</v>
      </c>
      <c r="K914" t="s">
        <v>92</v>
      </c>
      <c r="L914" t="b">
        <v>0</v>
      </c>
    </row>
    <row r="915" spans="1:13" ht="34" x14ac:dyDescent="0.2">
      <c r="A915" t="s">
        <v>1307</v>
      </c>
      <c r="B915" t="s">
        <v>188</v>
      </c>
      <c r="C915" t="s">
        <v>133</v>
      </c>
      <c r="D915" s="1">
        <v>45466</v>
      </c>
      <c r="E915" s="6" t="s">
        <v>23</v>
      </c>
      <c r="F915" t="s">
        <v>45</v>
      </c>
      <c r="G915" s="3" t="s">
        <v>46</v>
      </c>
      <c r="H915">
        <v>2.1</v>
      </c>
      <c r="I915">
        <v>56.4</v>
      </c>
      <c r="J915">
        <v>118.44</v>
      </c>
      <c r="K915" t="s">
        <v>36</v>
      </c>
      <c r="L915" t="b">
        <v>0</v>
      </c>
    </row>
    <row r="916" spans="1:13" ht="34" x14ac:dyDescent="0.2">
      <c r="A916" t="s">
        <v>1308</v>
      </c>
      <c r="B916" t="s">
        <v>1024</v>
      </c>
      <c r="C916" t="s">
        <v>183</v>
      </c>
      <c r="D916" s="1">
        <v>45079</v>
      </c>
      <c r="E916" s="6" t="s">
        <v>16</v>
      </c>
      <c r="F916" t="s">
        <v>54</v>
      </c>
      <c r="G916" s="3" t="s">
        <v>55</v>
      </c>
      <c r="H916">
        <v>3.7</v>
      </c>
      <c r="I916">
        <v>57.11</v>
      </c>
      <c r="J916">
        <v>211.29</v>
      </c>
      <c r="K916" t="s">
        <v>113</v>
      </c>
      <c r="L916" t="b">
        <v>0</v>
      </c>
    </row>
    <row r="917" spans="1:13" ht="17" x14ac:dyDescent="0.2">
      <c r="A917" t="s">
        <v>1309</v>
      </c>
      <c r="B917" t="s">
        <v>523</v>
      </c>
      <c r="C917" t="s">
        <v>65</v>
      </c>
      <c r="D917" s="1">
        <v>45518</v>
      </c>
      <c r="E917" s="6" t="s">
        <v>44</v>
      </c>
      <c r="F917" t="s">
        <v>17</v>
      </c>
      <c r="G917" s="3" t="s">
        <v>18</v>
      </c>
      <c r="H917">
        <v>7.7</v>
      </c>
      <c r="I917">
        <v>53.62</v>
      </c>
      <c r="J917">
        <v>412.9</v>
      </c>
      <c r="K917" t="s">
        <v>92</v>
      </c>
      <c r="L917" t="b">
        <v>0</v>
      </c>
    </row>
    <row r="918" spans="1:13" ht="34" x14ac:dyDescent="0.2">
      <c r="A918" t="s">
        <v>1310</v>
      </c>
      <c r="B918" t="s">
        <v>610</v>
      </c>
      <c r="C918" t="s">
        <v>35</v>
      </c>
      <c r="D918" s="1">
        <v>45327</v>
      </c>
      <c r="E918" s="6" t="s">
        <v>44</v>
      </c>
      <c r="F918" t="s">
        <v>61</v>
      </c>
      <c r="G918" s="3" t="s">
        <v>62</v>
      </c>
      <c r="H918">
        <v>6.8</v>
      </c>
      <c r="I918">
        <v>60.82</v>
      </c>
      <c r="J918">
        <v>413.58</v>
      </c>
      <c r="K918" t="s">
        <v>26</v>
      </c>
      <c r="L918" t="b">
        <v>0</v>
      </c>
    </row>
    <row r="919" spans="1:13" ht="34" x14ac:dyDescent="0.2">
      <c r="A919" t="s">
        <v>1311</v>
      </c>
      <c r="B919" t="s">
        <v>236</v>
      </c>
      <c r="C919" t="s">
        <v>161</v>
      </c>
      <c r="D919" s="1">
        <v>45492</v>
      </c>
      <c r="E919" s="6" t="s">
        <v>60</v>
      </c>
      <c r="F919" t="s">
        <v>54</v>
      </c>
      <c r="G919" s="3" t="s">
        <v>55</v>
      </c>
      <c r="H919">
        <v>3.1</v>
      </c>
      <c r="I919">
        <v>77.930000000000007</v>
      </c>
      <c r="J919">
        <v>241.58</v>
      </c>
      <c r="K919" t="s">
        <v>19</v>
      </c>
      <c r="L919" t="b">
        <v>0</v>
      </c>
    </row>
    <row r="920" spans="1:13" ht="34" x14ac:dyDescent="0.2">
      <c r="A920" t="s">
        <v>1312</v>
      </c>
      <c r="B920" t="s">
        <v>987</v>
      </c>
      <c r="C920" t="s">
        <v>391</v>
      </c>
      <c r="D920" s="1">
        <v>45637</v>
      </c>
      <c r="E920" s="6" t="s">
        <v>16</v>
      </c>
      <c r="F920" t="s">
        <v>61</v>
      </c>
      <c r="G920" s="3" t="s">
        <v>62</v>
      </c>
      <c r="H920">
        <v>29.5</v>
      </c>
      <c r="I920">
        <v>67.900000000000006</v>
      </c>
      <c r="J920">
        <v>2000</v>
      </c>
      <c r="K920" t="s">
        <v>92</v>
      </c>
      <c r="L920" t="b">
        <v>1</v>
      </c>
      <c r="M920" s="3" t="s">
        <v>40</v>
      </c>
    </row>
    <row r="921" spans="1:13" ht="34" x14ac:dyDescent="0.2">
      <c r="A921" t="s">
        <v>1313</v>
      </c>
      <c r="B921" t="s">
        <v>270</v>
      </c>
      <c r="C921" t="s">
        <v>194</v>
      </c>
      <c r="D921" s="1">
        <v>45020</v>
      </c>
      <c r="E921" s="6" t="s">
        <v>44</v>
      </c>
      <c r="F921" t="s">
        <v>61</v>
      </c>
      <c r="G921" s="3" t="s">
        <v>62</v>
      </c>
      <c r="H921">
        <v>7</v>
      </c>
      <c r="I921">
        <v>38.24</v>
      </c>
      <c r="J921">
        <v>267.64999999999998</v>
      </c>
      <c r="K921" t="s">
        <v>26</v>
      </c>
      <c r="L921" t="b">
        <v>0</v>
      </c>
    </row>
    <row r="922" spans="1:13" ht="34" x14ac:dyDescent="0.2">
      <c r="A922" t="s">
        <v>1314</v>
      </c>
      <c r="B922" t="s">
        <v>536</v>
      </c>
      <c r="C922" t="s">
        <v>88</v>
      </c>
      <c r="D922" s="1">
        <v>45201</v>
      </c>
      <c r="E922" s="6" t="s">
        <v>89</v>
      </c>
      <c r="F922" t="s">
        <v>61</v>
      </c>
      <c r="G922" s="3" t="s">
        <v>62</v>
      </c>
      <c r="H922">
        <v>5.8</v>
      </c>
      <c r="I922">
        <v>56</v>
      </c>
      <c r="J922">
        <v>324.77999999999997</v>
      </c>
      <c r="K922" t="s">
        <v>113</v>
      </c>
      <c r="L922" t="b">
        <v>0</v>
      </c>
    </row>
    <row r="923" spans="1:13" ht="34" x14ac:dyDescent="0.2">
      <c r="A923" t="s">
        <v>1315</v>
      </c>
      <c r="B923" t="s">
        <v>206</v>
      </c>
      <c r="C923" t="s">
        <v>39</v>
      </c>
      <c r="D923" s="1">
        <v>45038</v>
      </c>
      <c r="E923" s="6" t="s">
        <v>78</v>
      </c>
      <c r="F923" t="s">
        <v>45</v>
      </c>
      <c r="G923" s="3" t="s">
        <v>46</v>
      </c>
      <c r="H923">
        <v>3.7</v>
      </c>
      <c r="I923">
        <v>69.58</v>
      </c>
      <c r="J923">
        <v>257.43</v>
      </c>
      <c r="K923" t="s">
        <v>36</v>
      </c>
      <c r="L923" t="b">
        <v>0</v>
      </c>
    </row>
    <row r="924" spans="1:13" ht="34" x14ac:dyDescent="0.2">
      <c r="A924" t="s">
        <v>1316</v>
      </c>
      <c r="B924" t="s">
        <v>536</v>
      </c>
      <c r="C924" t="s">
        <v>88</v>
      </c>
      <c r="D924" s="1">
        <v>44934</v>
      </c>
      <c r="E924" s="6" t="s">
        <v>23</v>
      </c>
      <c r="F924" t="s">
        <v>61</v>
      </c>
      <c r="G924" s="3" t="s">
        <v>62</v>
      </c>
      <c r="H924">
        <v>3.1</v>
      </c>
      <c r="I924">
        <v>29.11</v>
      </c>
      <c r="J924">
        <v>90.23</v>
      </c>
      <c r="K924" t="s">
        <v>113</v>
      </c>
      <c r="L924" t="b">
        <v>0</v>
      </c>
    </row>
    <row r="925" spans="1:13" ht="34" x14ac:dyDescent="0.2">
      <c r="A925" t="s">
        <v>1317</v>
      </c>
      <c r="B925" t="s">
        <v>939</v>
      </c>
      <c r="C925" t="s">
        <v>65</v>
      </c>
      <c r="D925" s="1">
        <v>45401</v>
      </c>
      <c r="E925" s="6" t="s">
        <v>60</v>
      </c>
      <c r="F925" t="s">
        <v>45</v>
      </c>
      <c r="G925" s="3" t="s">
        <v>46</v>
      </c>
      <c r="H925">
        <v>2.7</v>
      </c>
      <c r="I925">
        <v>52.32</v>
      </c>
      <c r="J925">
        <v>141.27000000000001</v>
      </c>
      <c r="K925" t="s">
        <v>96</v>
      </c>
      <c r="L925" t="b">
        <v>0</v>
      </c>
    </row>
    <row r="926" spans="1:13" ht="34" x14ac:dyDescent="0.2">
      <c r="A926" t="s">
        <v>1318</v>
      </c>
      <c r="B926" t="s">
        <v>250</v>
      </c>
      <c r="C926" t="s">
        <v>22</v>
      </c>
      <c r="D926" s="1">
        <v>45329</v>
      </c>
      <c r="E926" s="6" t="s">
        <v>78</v>
      </c>
      <c r="F926" t="s">
        <v>45</v>
      </c>
      <c r="G926" s="3" t="s">
        <v>46</v>
      </c>
      <c r="H926">
        <v>6.2</v>
      </c>
      <c r="I926">
        <v>54.52</v>
      </c>
      <c r="J926">
        <v>338.02</v>
      </c>
      <c r="K926" t="s">
        <v>96</v>
      </c>
      <c r="L926" t="b">
        <v>0</v>
      </c>
    </row>
    <row r="927" spans="1:13" ht="34" x14ac:dyDescent="0.2">
      <c r="A927" t="s">
        <v>1319</v>
      </c>
      <c r="B927" t="s">
        <v>521</v>
      </c>
      <c r="C927" t="s">
        <v>116</v>
      </c>
      <c r="D927" s="1">
        <v>45449</v>
      </c>
      <c r="E927" s="6" t="s">
        <v>44</v>
      </c>
      <c r="F927" t="s">
        <v>24</v>
      </c>
      <c r="G927" s="3" t="s">
        <v>25</v>
      </c>
      <c r="H927">
        <v>2.9</v>
      </c>
      <c r="I927">
        <v>83.18</v>
      </c>
      <c r="J927">
        <v>241.23</v>
      </c>
      <c r="K927" t="s">
        <v>36</v>
      </c>
      <c r="L927" t="b">
        <v>0</v>
      </c>
    </row>
    <row r="928" spans="1:13" ht="68" x14ac:dyDescent="0.2">
      <c r="A928" t="s">
        <v>1320</v>
      </c>
      <c r="B928" t="s">
        <v>695</v>
      </c>
      <c r="C928" t="s">
        <v>189</v>
      </c>
      <c r="D928" s="1">
        <v>45621</v>
      </c>
      <c r="E928" s="6" t="s">
        <v>23</v>
      </c>
      <c r="F928" t="s">
        <v>50</v>
      </c>
      <c r="G928" s="3" t="s">
        <v>51</v>
      </c>
      <c r="H928">
        <v>7.8</v>
      </c>
      <c r="I928">
        <v>41.93</v>
      </c>
      <c r="J928">
        <v>327.02999999999997</v>
      </c>
      <c r="K928" t="s">
        <v>26</v>
      </c>
      <c r="L928" t="b">
        <v>0</v>
      </c>
    </row>
    <row r="929" spans="1:13" ht="17" x14ac:dyDescent="0.2">
      <c r="A929" t="s">
        <v>1321</v>
      </c>
      <c r="B929" t="s">
        <v>1051</v>
      </c>
      <c r="C929" t="s">
        <v>293</v>
      </c>
      <c r="D929" s="1">
        <v>45152</v>
      </c>
      <c r="E929" s="6" t="s">
        <v>23</v>
      </c>
      <c r="F929" t="s">
        <v>17</v>
      </c>
      <c r="G929" s="3" t="s">
        <v>18</v>
      </c>
      <c r="H929">
        <v>6.4</v>
      </c>
      <c r="I929">
        <v>38.97</v>
      </c>
      <c r="J929">
        <v>249.4</v>
      </c>
      <c r="K929" t="s">
        <v>56</v>
      </c>
      <c r="L929" t="b">
        <v>0</v>
      </c>
    </row>
    <row r="930" spans="1:13" ht="34" x14ac:dyDescent="0.2">
      <c r="A930" t="s">
        <v>1322</v>
      </c>
      <c r="B930" t="s">
        <v>174</v>
      </c>
      <c r="C930" t="s">
        <v>22</v>
      </c>
      <c r="D930" s="1">
        <v>45005</v>
      </c>
      <c r="E930" s="6" t="s">
        <v>78</v>
      </c>
      <c r="F930" t="s">
        <v>24</v>
      </c>
      <c r="G930" s="3" t="s">
        <v>25</v>
      </c>
      <c r="H930">
        <v>5</v>
      </c>
      <c r="I930">
        <v>45.51</v>
      </c>
      <c r="J930">
        <v>227.57</v>
      </c>
      <c r="K930" t="s">
        <v>113</v>
      </c>
      <c r="L930" t="b">
        <v>0</v>
      </c>
    </row>
    <row r="931" spans="1:13" ht="17" x14ac:dyDescent="0.2">
      <c r="A931" t="s">
        <v>1323</v>
      </c>
      <c r="B931" t="s">
        <v>563</v>
      </c>
      <c r="C931" t="s">
        <v>189</v>
      </c>
      <c r="D931" s="1">
        <v>45536</v>
      </c>
      <c r="E931" s="6" t="s">
        <v>44</v>
      </c>
      <c r="F931" t="s">
        <v>17</v>
      </c>
      <c r="G931" s="3" t="s">
        <v>18</v>
      </c>
      <c r="H931">
        <v>8</v>
      </c>
      <c r="I931">
        <v>52.82</v>
      </c>
      <c r="J931">
        <v>422.57</v>
      </c>
      <c r="K931" t="s">
        <v>56</v>
      </c>
      <c r="L931" t="b">
        <v>0</v>
      </c>
    </row>
    <row r="932" spans="1:13" ht="34" x14ac:dyDescent="0.2">
      <c r="A932" t="s">
        <v>1324</v>
      </c>
      <c r="B932" t="s">
        <v>313</v>
      </c>
      <c r="C932" t="s">
        <v>130</v>
      </c>
      <c r="D932" s="1">
        <v>45608</v>
      </c>
      <c r="E932" s="6" t="s">
        <v>23</v>
      </c>
      <c r="F932" t="s">
        <v>54</v>
      </c>
      <c r="G932" s="3" t="s">
        <v>55</v>
      </c>
      <c r="H932">
        <v>2.5</v>
      </c>
      <c r="I932">
        <v>70.03</v>
      </c>
      <c r="J932">
        <v>175.09</v>
      </c>
      <c r="K932" t="s">
        <v>26</v>
      </c>
      <c r="L932" t="b">
        <v>0</v>
      </c>
    </row>
    <row r="933" spans="1:13" ht="34" x14ac:dyDescent="0.2">
      <c r="A933" t="s">
        <v>1325</v>
      </c>
      <c r="B933" t="s">
        <v>721</v>
      </c>
      <c r="C933" t="s">
        <v>178</v>
      </c>
      <c r="D933" s="1">
        <v>45370</v>
      </c>
      <c r="E933" s="6" t="s">
        <v>89</v>
      </c>
      <c r="F933" t="s">
        <v>24</v>
      </c>
      <c r="G933" s="3" t="s">
        <v>25</v>
      </c>
      <c r="H933">
        <v>3.6</v>
      </c>
      <c r="I933">
        <v>48.55</v>
      </c>
      <c r="J933">
        <v>174.76</v>
      </c>
      <c r="K933" t="s">
        <v>32</v>
      </c>
      <c r="L933" t="b">
        <v>0</v>
      </c>
    </row>
    <row r="934" spans="1:13" ht="17" x14ac:dyDescent="0.2">
      <c r="A934" t="s">
        <v>1326</v>
      </c>
      <c r="B934" t="s">
        <v>523</v>
      </c>
      <c r="C934" t="s">
        <v>280</v>
      </c>
      <c r="D934" s="1">
        <v>45031</v>
      </c>
      <c r="E934" s="6" t="s">
        <v>78</v>
      </c>
      <c r="F934" t="s">
        <v>17</v>
      </c>
      <c r="G934" s="3" t="s">
        <v>18</v>
      </c>
      <c r="H934">
        <v>3.1</v>
      </c>
      <c r="I934">
        <v>78.739999999999995</v>
      </c>
      <c r="J934">
        <v>244.1</v>
      </c>
      <c r="K934" t="s">
        <v>92</v>
      </c>
      <c r="L934" t="b">
        <v>0</v>
      </c>
    </row>
    <row r="935" spans="1:13" ht="34" x14ac:dyDescent="0.2">
      <c r="A935" t="s">
        <v>1327</v>
      </c>
      <c r="B935" t="s">
        <v>70</v>
      </c>
      <c r="C935" t="s">
        <v>130</v>
      </c>
      <c r="D935" s="1">
        <v>45317</v>
      </c>
      <c r="E935" s="6" t="s">
        <v>16</v>
      </c>
      <c r="F935" t="s">
        <v>61</v>
      </c>
      <c r="G935" s="3" t="s">
        <v>62</v>
      </c>
      <c r="H935">
        <v>7</v>
      </c>
      <c r="I935">
        <v>32.32</v>
      </c>
      <c r="J935">
        <v>226.22</v>
      </c>
      <c r="K935" t="s">
        <v>26</v>
      </c>
      <c r="L935" t="b">
        <v>0</v>
      </c>
    </row>
    <row r="936" spans="1:13" ht="17" x14ac:dyDescent="0.2">
      <c r="A936" t="s">
        <v>1328</v>
      </c>
      <c r="B936" t="s">
        <v>452</v>
      </c>
      <c r="C936" t="s">
        <v>59</v>
      </c>
      <c r="D936" s="1">
        <v>45018</v>
      </c>
      <c r="E936" s="6" t="s">
        <v>23</v>
      </c>
      <c r="F936" t="s">
        <v>30</v>
      </c>
      <c r="G936" s="3" t="s">
        <v>31</v>
      </c>
      <c r="H936">
        <v>4.3</v>
      </c>
      <c r="I936">
        <v>83.5</v>
      </c>
      <c r="J936">
        <v>359.04</v>
      </c>
      <c r="K936" t="s">
        <v>82</v>
      </c>
      <c r="L936" t="b">
        <v>0</v>
      </c>
    </row>
    <row r="937" spans="1:13" ht="34" x14ac:dyDescent="0.2">
      <c r="A937" t="s">
        <v>1329</v>
      </c>
      <c r="B937" t="s">
        <v>390</v>
      </c>
      <c r="C937" t="s">
        <v>166</v>
      </c>
      <c r="D937" s="1">
        <v>45585</v>
      </c>
      <c r="E937" s="6" t="s">
        <v>44</v>
      </c>
      <c r="F937" t="s">
        <v>24</v>
      </c>
      <c r="G937" s="3" t="s">
        <v>25</v>
      </c>
      <c r="H937">
        <v>3.2</v>
      </c>
      <c r="I937">
        <v>69.12</v>
      </c>
      <c r="J937">
        <v>221.18</v>
      </c>
      <c r="K937" t="s">
        <v>96</v>
      </c>
      <c r="L937" t="b">
        <v>0</v>
      </c>
    </row>
    <row r="938" spans="1:13" ht="17" x14ac:dyDescent="0.2">
      <c r="A938" t="s">
        <v>1330</v>
      </c>
      <c r="B938" t="s">
        <v>630</v>
      </c>
      <c r="C938" t="s">
        <v>343</v>
      </c>
      <c r="D938" s="1">
        <v>45634</v>
      </c>
      <c r="E938" s="6" t="s">
        <v>78</v>
      </c>
      <c r="F938" t="s">
        <v>30</v>
      </c>
      <c r="G938" s="3" t="s">
        <v>31</v>
      </c>
      <c r="H938">
        <v>4.8</v>
      </c>
      <c r="I938">
        <v>65.89</v>
      </c>
      <c r="J938">
        <v>316.26</v>
      </c>
      <c r="K938" t="s">
        <v>32</v>
      </c>
      <c r="L938" t="b">
        <v>0</v>
      </c>
    </row>
    <row r="939" spans="1:13" ht="34" x14ac:dyDescent="0.2">
      <c r="A939" t="s">
        <v>1331</v>
      </c>
      <c r="B939" t="s">
        <v>523</v>
      </c>
      <c r="C939" t="s">
        <v>15</v>
      </c>
      <c r="D939" s="1">
        <v>45330</v>
      </c>
      <c r="E939" s="6" t="s">
        <v>16</v>
      </c>
      <c r="F939" t="s">
        <v>54</v>
      </c>
      <c r="G939" s="3" t="s">
        <v>55</v>
      </c>
      <c r="H939">
        <v>23</v>
      </c>
      <c r="I939">
        <v>68.69</v>
      </c>
      <c r="J939">
        <v>1579.87</v>
      </c>
      <c r="K939" t="s">
        <v>92</v>
      </c>
      <c r="L939" t="b">
        <v>1</v>
      </c>
      <c r="M939" s="3" t="s">
        <v>79</v>
      </c>
    </row>
    <row r="940" spans="1:13" ht="34" x14ac:dyDescent="0.2">
      <c r="A940" t="s">
        <v>1332</v>
      </c>
      <c r="B940" t="s">
        <v>182</v>
      </c>
      <c r="C940" t="s">
        <v>186</v>
      </c>
      <c r="D940" s="1">
        <v>45485</v>
      </c>
      <c r="E940" s="6" t="s">
        <v>23</v>
      </c>
      <c r="F940" t="s">
        <v>90</v>
      </c>
      <c r="G940" s="3" t="s">
        <v>91</v>
      </c>
      <c r="H940">
        <v>3.5</v>
      </c>
      <c r="I940">
        <v>63.31</v>
      </c>
      <c r="J940">
        <v>221.59</v>
      </c>
      <c r="K940" t="s">
        <v>92</v>
      </c>
      <c r="L940" t="b">
        <v>0</v>
      </c>
    </row>
    <row r="941" spans="1:13" ht="34" x14ac:dyDescent="0.2">
      <c r="A941" t="s">
        <v>1333</v>
      </c>
      <c r="B941" t="s">
        <v>486</v>
      </c>
      <c r="C941" t="s">
        <v>295</v>
      </c>
      <c r="D941" s="1">
        <v>45383</v>
      </c>
      <c r="E941" s="6" t="s">
        <v>23</v>
      </c>
      <c r="F941" t="s">
        <v>54</v>
      </c>
      <c r="G941" s="3" t="s">
        <v>55</v>
      </c>
      <c r="H941">
        <v>7.3</v>
      </c>
      <c r="I941">
        <v>76.819999999999993</v>
      </c>
      <c r="J941">
        <v>560.78</v>
      </c>
      <c r="K941" t="s">
        <v>56</v>
      </c>
      <c r="L941" t="b">
        <v>0</v>
      </c>
    </row>
    <row r="942" spans="1:13" ht="34" x14ac:dyDescent="0.2">
      <c r="A942" t="s">
        <v>1334</v>
      </c>
      <c r="B942" t="s">
        <v>1198</v>
      </c>
      <c r="C942" t="s">
        <v>65</v>
      </c>
      <c r="D942" s="1">
        <v>45399</v>
      </c>
      <c r="E942" s="6" t="s">
        <v>44</v>
      </c>
      <c r="F942" t="s">
        <v>90</v>
      </c>
      <c r="G942" s="3" t="s">
        <v>91</v>
      </c>
      <c r="H942">
        <v>3.4</v>
      </c>
      <c r="I942">
        <v>51.05</v>
      </c>
      <c r="J942">
        <v>173.57</v>
      </c>
      <c r="K942" t="s">
        <v>113</v>
      </c>
      <c r="L942" t="b">
        <v>0</v>
      </c>
    </row>
    <row r="943" spans="1:13" ht="68" x14ac:dyDescent="0.2">
      <c r="A943" t="s">
        <v>1335</v>
      </c>
      <c r="B943" t="s">
        <v>703</v>
      </c>
      <c r="C943" t="s">
        <v>156</v>
      </c>
      <c r="D943" s="1">
        <v>45202</v>
      </c>
      <c r="E943" s="6" t="s">
        <v>60</v>
      </c>
      <c r="F943" t="s">
        <v>50</v>
      </c>
      <c r="G943" s="3" t="s">
        <v>51</v>
      </c>
      <c r="H943">
        <v>6.8</v>
      </c>
      <c r="I943">
        <v>60.08</v>
      </c>
      <c r="J943">
        <v>408.56</v>
      </c>
      <c r="K943" t="s">
        <v>92</v>
      </c>
      <c r="L943" t="b">
        <v>0</v>
      </c>
    </row>
    <row r="944" spans="1:13" ht="34" x14ac:dyDescent="0.2">
      <c r="A944" t="s">
        <v>1336</v>
      </c>
      <c r="B944" t="s">
        <v>646</v>
      </c>
      <c r="C944" t="s">
        <v>161</v>
      </c>
      <c r="D944" s="1">
        <v>45020</v>
      </c>
      <c r="E944" s="6" t="s">
        <v>16</v>
      </c>
      <c r="F944" t="s">
        <v>30</v>
      </c>
      <c r="G944" s="3" t="s">
        <v>31</v>
      </c>
      <c r="H944">
        <v>45.4</v>
      </c>
      <c r="I944">
        <v>27.52</v>
      </c>
      <c r="J944">
        <v>1250</v>
      </c>
      <c r="K944" t="s">
        <v>82</v>
      </c>
      <c r="L944" t="b">
        <v>1</v>
      </c>
      <c r="M944" s="3" t="s">
        <v>40</v>
      </c>
    </row>
    <row r="945" spans="1:13" ht="17" x14ac:dyDescent="0.2">
      <c r="A945" t="s">
        <v>1337</v>
      </c>
      <c r="B945" t="s">
        <v>135</v>
      </c>
      <c r="C945" t="s">
        <v>211</v>
      </c>
      <c r="D945" s="1">
        <v>45599</v>
      </c>
      <c r="E945" s="6" t="s">
        <v>44</v>
      </c>
      <c r="F945" t="s">
        <v>17</v>
      </c>
      <c r="G945" s="3" t="s">
        <v>18</v>
      </c>
      <c r="H945">
        <v>6.1</v>
      </c>
      <c r="I945">
        <v>34.299999999999997</v>
      </c>
      <c r="J945">
        <v>209.23</v>
      </c>
      <c r="K945" t="s">
        <v>113</v>
      </c>
      <c r="L945" t="b">
        <v>0</v>
      </c>
    </row>
    <row r="946" spans="1:13" ht="17" x14ac:dyDescent="0.2">
      <c r="A946" t="s">
        <v>1338</v>
      </c>
      <c r="B946" t="s">
        <v>460</v>
      </c>
      <c r="C946" t="s">
        <v>130</v>
      </c>
      <c r="D946" s="1">
        <v>45340</v>
      </c>
      <c r="E946" s="6" t="s">
        <v>89</v>
      </c>
      <c r="F946" t="s">
        <v>30</v>
      </c>
      <c r="G946" s="3" t="s">
        <v>31</v>
      </c>
      <c r="H946">
        <v>2.9</v>
      </c>
      <c r="I946">
        <v>30.48</v>
      </c>
      <c r="J946">
        <v>88.4</v>
      </c>
      <c r="K946" t="s">
        <v>26</v>
      </c>
      <c r="L946" t="b">
        <v>0</v>
      </c>
    </row>
    <row r="947" spans="1:13" ht="34" x14ac:dyDescent="0.2">
      <c r="A947" t="s">
        <v>1339</v>
      </c>
      <c r="B947" t="s">
        <v>847</v>
      </c>
      <c r="C947" t="s">
        <v>380</v>
      </c>
      <c r="D947" s="1">
        <v>45279</v>
      </c>
      <c r="E947" s="6" t="s">
        <v>16</v>
      </c>
      <c r="F947" t="s">
        <v>54</v>
      </c>
      <c r="G947" s="3" t="s">
        <v>55</v>
      </c>
      <c r="H947">
        <v>7.6</v>
      </c>
      <c r="I947">
        <v>84.82</v>
      </c>
      <c r="J947">
        <v>644.62</v>
      </c>
      <c r="K947" t="s">
        <v>92</v>
      </c>
      <c r="L947" t="b">
        <v>0</v>
      </c>
    </row>
    <row r="948" spans="1:13" ht="34" x14ac:dyDescent="0.2">
      <c r="A948" t="s">
        <v>1340</v>
      </c>
      <c r="B948" t="s">
        <v>1217</v>
      </c>
      <c r="C948" t="s">
        <v>175</v>
      </c>
      <c r="D948" s="1">
        <v>45221</v>
      </c>
      <c r="E948" s="6" t="s">
        <v>16</v>
      </c>
      <c r="F948" t="s">
        <v>24</v>
      </c>
      <c r="G948" s="3" t="s">
        <v>25</v>
      </c>
      <c r="H948">
        <v>2.4</v>
      </c>
      <c r="I948">
        <v>63.67</v>
      </c>
      <c r="J948">
        <v>152.82</v>
      </c>
      <c r="K948" t="s">
        <v>105</v>
      </c>
      <c r="L948" t="b">
        <v>0</v>
      </c>
    </row>
    <row r="949" spans="1:13" ht="34" x14ac:dyDescent="0.2">
      <c r="A949" t="s">
        <v>1341</v>
      </c>
      <c r="B949" t="s">
        <v>252</v>
      </c>
      <c r="C949" t="s">
        <v>323</v>
      </c>
      <c r="D949" s="1">
        <v>45090</v>
      </c>
      <c r="E949" s="6" t="s">
        <v>89</v>
      </c>
      <c r="F949" t="s">
        <v>90</v>
      </c>
      <c r="G949" s="3" t="s">
        <v>91</v>
      </c>
      <c r="H949">
        <v>2.8</v>
      </c>
      <c r="I949">
        <v>38.96</v>
      </c>
      <c r="J949">
        <v>109.09</v>
      </c>
      <c r="K949" t="s">
        <v>113</v>
      </c>
      <c r="L949" t="b">
        <v>0</v>
      </c>
    </row>
    <row r="950" spans="1:13" ht="34" x14ac:dyDescent="0.2">
      <c r="A950" t="s">
        <v>1342</v>
      </c>
      <c r="B950" t="s">
        <v>884</v>
      </c>
      <c r="C950" t="s">
        <v>211</v>
      </c>
      <c r="D950" s="1">
        <v>45620</v>
      </c>
      <c r="E950" s="6" t="s">
        <v>23</v>
      </c>
      <c r="F950" t="s">
        <v>54</v>
      </c>
      <c r="G950" s="3" t="s">
        <v>55</v>
      </c>
      <c r="H950">
        <v>19.5</v>
      </c>
      <c r="I950">
        <v>51.32</v>
      </c>
      <c r="J950">
        <v>1000</v>
      </c>
      <c r="K950" t="s">
        <v>96</v>
      </c>
      <c r="L950" t="b">
        <v>1</v>
      </c>
      <c r="M950" s="3" t="s">
        <v>40</v>
      </c>
    </row>
    <row r="951" spans="1:13" ht="34" x14ac:dyDescent="0.2">
      <c r="A951" t="s">
        <v>1343</v>
      </c>
      <c r="B951" t="s">
        <v>58</v>
      </c>
      <c r="C951" t="s">
        <v>59</v>
      </c>
      <c r="D951" s="1">
        <v>45336</v>
      </c>
      <c r="E951" s="6" t="s">
        <v>23</v>
      </c>
      <c r="F951" t="s">
        <v>24</v>
      </c>
      <c r="G951" s="3" t="s">
        <v>25</v>
      </c>
      <c r="H951">
        <v>6.1</v>
      </c>
      <c r="I951">
        <v>46.49</v>
      </c>
      <c r="J951">
        <v>283.58999999999997</v>
      </c>
      <c r="K951" t="s">
        <v>26</v>
      </c>
      <c r="L951" t="b">
        <v>0</v>
      </c>
    </row>
    <row r="952" spans="1:13" ht="34" x14ac:dyDescent="0.2">
      <c r="A952" t="s">
        <v>1344</v>
      </c>
      <c r="B952" t="s">
        <v>918</v>
      </c>
      <c r="C952" t="s">
        <v>332</v>
      </c>
      <c r="D952" s="1">
        <v>45086</v>
      </c>
      <c r="E952" s="6" t="s">
        <v>60</v>
      </c>
      <c r="F952" t="s">
        <v>45</v>
      </c>
      <c r="G952" s="3" t="s">
        <v>46</v>
      </c>
      <c r="H952">
        <v>7.4</v>
      </c>
      <c r="I952">
        <v>54.12</v>
      </c>
      <c r="J952">
        <v>400.47</v>
      </c>
      <c r="K952" t="s">
        <v>105</v>
      </c>
      <c r="L952" t="b">
        <v>0</v>
      </c>
    </row>
    <row r="953" spans="1:13" ht="34" x14ac:dyDescent="0.2">
      <c r="A953" t="s">
        <v>1345</v>
      </c>
      <c r="B953" t="s">
        <v>656</v>
      </c>
      <c r="C953" t="s">
        <v>22</v>
      </c>
      <c r="D953" s="1">
        <v>45061</v>
      </c>
      <c r="E953" s="6" t="s">
        <v>89</v>
      </c>
      <c r="F953" t="s">
        <v>45</v>
      </c>
      <c r="G953" s="3" t="s">
        <v>46</v>
      </c>
      <c r="H953">
        <v>5.3</v>
      </c>
      <c r="I953">
        <v>54.41</v>
      </c>
      <c r="J953">
        <v>288.35000000000002</v>
      </c>
      <c r="K953" t="s">
        <v>56</v>
      </c>
      <c r="L953" t="b">
        <v>0</v>
      </c>
    </row>
    <row r="954" spans="1:13" ht="68" x14ac:dyDescent="0.2">
      <c r="A954" t="s">
        <v>1346</v>
      </c>
      <c r="B954" t="s">
        <v>227</v>
      </c>
      <c r="C954" t="s">
        <v>183</v>
      </c>
      <c r="D954" s="1">
        <v>45364</v>
      </c>
      <c r="E954" s="6" t="s">
        <v>60</v>
      </c>
      <c r="F954" t="s">
        <v>50</v>
      </c>
      <c r="G954" s="3" t="s">
        <v>51</v>
      </c>
      <c r="H954">
        <v>5.3</v>
      </c>
      <c r="I954">
        <v>44.42</v>
      </c>
      <c r="J954">
        <v>235.43</v>
      </c>
      <c r="K954" t="s">
        <v>19</v>
      </c>
      <c r="L954" t="b">
        <v>0</v>
      </c>
    </row>
    <row r="955" spans="1:13" ht="34" x14ac:dyDescent="0.2">
      <c r="A955" t="s">
        <v>1347</v>
      </c>
      <c r="B955" t="s">
        <v>884</v>
      </c>
      <c r="C955" t="s">
        <v>161</v>
      </c>
      <c r="D955" s="1">
        <v>45449</v>
      </c>
      <c r="E955" s="6" t="s">
        <v>89</v>
      </c>
      <c r="F955" t="s">
        <v>45</v>
      </c>
      <c r="G955" s="3" t="s">
        <v>46</v>
      </c>
      <c r="H955">
        <v>7.2</v>
      </c>
      <c r="I955">
        <v>60.92</v>
      </c>
      <c r="J955">
        <v>438.63</v>
      </c>
      <c r="K955" t="s">
        <v>96</v>
      </c>
      <c r="L955" t="b">
        <v>0</v>
      </c>
    </row>
    <row r="956" spans="1:13" ht="68" x14ac:dyDescent="0.2">
      <c r="A956" t="s">
        <v>1348</v>
      </c>
      <c r="B956" t="s">
        <v>67</v>
      </c>
      <c r="C956" t="s">
        <v>22</v>
      </c>
      <c r="D956" s="1">
        <v>45492</v>
      </c>
      <c r="E956" s="6" t="s">
        <v>78</v>
      </c>
      <c r="F956" t="s">
        <v>50</v>
      </c>
      <c r="G956" s="3" t="s">
        <v>51</v>
      </c>
      <c r="H956">
        <v>2.4</v>
      </c>
      <c r="I956">
        <v>34.299999999999997</v>
      </c>
      <c r="J956">
        <v>82.32</v>
      </c>
      <c r="K956" t="s">
        <v>56</v>
      </c>
      <c r="L956" t="b">
        <v>0</v>
      </c>
    </row>
    <row r="957" spans="1:13" ht="34" x14ac:dyDescent="0.2">
      <c r="A957" t="s">
        <v>1349</v>
      </c>
      <c r="B957" t="s">
        <v>334</v>
      </c>
      <c r="C957" t="s">
        <v>178</v>
      </c>
      <c r="D957" s="1">
        <v>45185</v>
      </c>
      <c r="E957" s="6" t="s">
        <v>16</v>
      </c>
      <c r="F957" t="s">
        <v>45</v>
      </c>
      <c r="G957" s="3" t="s">
        <v>46</v>
      </c>
      <c r="H957">
        <v>5.2</v>
      </c>
      <c r="I957">
        <v>52.24</v>
      </c>
      <c r="J957">
        <v>271.67</v>
      </c>
      <c r="K957" t="s">
        <v>113</v>
      </c>
      <c r="L957" t="b">
        <v>0</v>
      </c>
    </row>
    <row r="958" spans="1:13" ht="34" x14ac:dyDescent="0.2">
      <c r="A958" t="s">
        <v>1350</v>
      </c>
      <c r="B958" t="s">
        <v>1105</v>
      </c>
      <c r="C958" t="s">
        <v>156</v>
      </c>
      <c r="D958" s="1">
        <v>45402</v>
      </c>
      <c r="E958" s="6" t="s">
        <v>89</v>
      </c>
      <c r="F958" t="s">
        <v>61</v>
      </c>
      <c r="G958" s="3" t="s">
        <v>62</v>
      </c>
      <c r="H958">
        <v>6.4</v>
      </c>
      <c r="I958">
        <v>77.98</v>
      </c>
      <c r="J958">
        <v>499.05</v>
      </c>
      <c r="K958" t="s">
        <v>92</v>
      </c>
      <c r="L958" t="b">
        <v>0</v>
      </c>
    </row>
    <row r="959" spans="1:13" ht="34" x14ac:dyDescent="0.2">
      <c r="A959" t="s">
        <v>1351</v>
      </c>
      <c r="B959" t="s">
        <v>1179</v>
      </c>
      <c r="C959" t="s">
        <v>219</v>
      </c>
      <c r="D959" s="1">
        <v>44956</v>
      </c>
      <c r="E959" s="6" t="s">
        <v>16</v>
      </c>
      <c r="F959" t="s">
        <v>54</v>
      </c>
      <c r="G959" s="3" t="s">
        <v>55</v>
      </c>
      <c r="H959">
        <v>6.7</v>
      </c>
      <c r="I959">
        <v>39.33</v>
      </c>
      <c r="J959">
        <v>263.49</v>
      </c>
      <c r="K959" t="s">
        <v>32</v>
      </c>
      <c r="L959" t="b">
        <v>0</v>
      </c>
    </row>
    <row r="960" spans="1:13" ht="34" x14ac:dyDescent="0.2">
      <c r="A960" t="s">
        <v>1352</v>
      </c>
      <c r="B960" t="s">
        <v>449</v>
      </c>
      <c r="C960" t="s">
        <v>178</v>
      </c>
      <c r="D960" s="1">
        <v>45171</v>
      </c>
      <c r="E960" s="6" t="s">
        <v>60</v>
      </c>
      <c r="F960" t="s">
        <v>90</v>
      </c>
      <c r="G960" s="3" t="s">
        <v>91</v>
      </c>
      <c r="H960">
        <v>5.9</v>
      </c>
      <c r="I960">
        <v>57.34</v>
      </c>
      <c r="J960">
        <v>338.29</v>
      </c>
      <c r="K960" t="s">
        <v>36</v>
      </c>
      <c r="L960" t="b">
        <v>0</v>
      </c>
    </row>
    <row r="961" spans="1:13" ht="17" x14ac:dyDescent="0.2">
      <c r="A961" t="s">
        <v>1353</v>
      </c>
      <c r="B961" t="s">
        <v>378</v>
      </c>
      <c r="C961" t="s">
        <v>450</v>
      </c>
      <c r="D961" s="1">
        <v>45257</v>
      </c>
      <c r="E961" s="6" t="s">
        <v>89</v>
      </c>
      <c r="F961" t="s">
        <v>30</v>
      </c>
      <c r="G961" s="3" t="s">
        <v>31</v>
      </c>
      <c r="H961">
        <v>20.7</v>
      </c>
      <c r="I961">
        <v>54.85</v>
      </c>
      <c r="J961">
        <v>1135.4000000000001</v>
      </c>
      <c r="K961" t="s">
        <v>26</v>
      </c>
      <c r="L961" t="b">
        <v>1</v>
      </c>
      <c r="M961" s="3" t="s">
        <v>79</v>
      </c>
    </row>
    <row r="962" spans="1:13" ht="68" x14ac:dyDescent="0.2">
      <c r="A962" t="s">
        <v>1354</v>
      </c>
      <c r="B962" t="s">
        <v>449</v>
      </c>
      <c r="C962" t="s">
        <v>175</v>
      </c>
      <c r="D962" s="1">
        <v>45618</v>
      </c>
      <c r="E962" s="6" t="s">
        <v>16</v>
      </c>
      <c r="F962" t="s">
        <v>50</v>
      </c>
      <c r="G962" s="3" t="s">
        <v>51</v>
      </c>
      <c r="H962">
        <v>5.7</v>
      </c>
      <c r="I962">
        <v>44.36</v>
      </c>
      <c r="J962">
        <v>252.83</v>
      </c>
      <c r="K962" t="s">
        <v>36</v>
      </c>
      <c r="L962" t="b">
        <v>0</v>
      </c>
    </row>
    <row r="963" spans="1:13" ht="34" x14ac:dyDescent="0.2">
      <c r="A963" t="s">
        <v>1355</v>
      </c>
      <c r="B963" t="s">
        <v>452</v>
      </c>
      <c r="C963" t="s">
        <v>183</v>
      </c>
      <c r="D963" s="1">
        <v>45400</v>
      </c>
      <c r="E963" s="6" t="s">
        <v>44</v>
      </c>
      <c r="F963" t="s">
        <v>54</v>
      </c>
      <c r="G963" s="3" t="s">
        <v>55</v>
      </c>
      <c r="H963">
        <v>2.7</v>
      </c>
      <c r="I963">
        <v>56.39</v>
      </c>
      <c r="J963">
        <v>152.26</v>
      </c>
      <c r="K963" t="s">
        <v>82</v>
      </c>
      <c r="L963" t="b">
        <v>0</v>
      </c>
    </row>
    <row r="964" spans="1:13" ht="34" x14ac:dyDescent="0.2">
      <c r="A964" t="s">
        <v>1356</v>
      </c>
      <c r="B964" t="s">
        <v>1124</v>
      </c>
      <c r="C964" t="s">
        <v>148</v>
      </c>
      <c r="D964" s="1">
        <v>45456</v>
      </c>
      <c r="E964" s="6" t="s">
        <v>44</v>
      </c>
      <c r="F964" t="s">
        <v>24</v>
      </c>
      <c r="G964" s="3" t="s">
        <v>25</v>
      </c>
      <c r="H964">
        <v>7</v>
      </c>
      <c r="I964">
        <v>32.79</v>
      </c>
      <c r="J964">
        <v>229.51</v>
      </c>
      <c r="K964" t="s">
        <v>113</v>
      </c>
      <c r="L964" t="b">
        <v>0</v>
      </c>
    </row>
    <row r="965" spans="1:13" ht="34" x14ac:dyDescent="0.2">
      <c r="A965" t="s">
        <v>1357</v>
      </c>
      <c r="B965" t="s">
        <v>410</v>
      </c>
      <c r="C965" t="s">
        <v>211</v>
      </c>
      <c r="D965" s="1">
        <v>45524</v>
      </c>
      <c r="E965" s="6" t="s">
        <v>44</v>
      </c>
      <c r="F965" t="s">
        <v>30</v>
      </c>
      <c r="G965" s="3" t="s">
        <v>31</v>
      </c>
      <c r="H965">
        <v>68.5</v>
      </c>
      <c r="I965">
        <v>36.5</v>
      </c>
      <c r="J965">
        <v>2500</v>
      </c>
      <c r="K965" t="s">
        <v>96</v>
      </c>
      <c r="L965" t="b">
        <v>1</v>
      </c>
      <c r="M965" s="3" t="s">
        <v>40</v>
      </c>
    </row>
    <row r="966" spans="1:13" ht="34" x14ac:dyDescent="0.2">
      <c r="A966" t="s">
        <v>1358</v>
      </c>
      <c r="B966" t="s">
        <v>1359</v>
      </c>
      <c r="C966" t="s">
        <v>343</v>
      </c>
      <c r="D966" s="1">
        <v>45226</v>
      </c>
      <c r="E966" s="6" t="s">
        <v>16</v>
      </c>
      <c r="F966" t="s">
        <v>61</v>
      </c>
      <c r="G966" s="3" t="s">
        <v>62</v>
      </c>
      <c r="H966">
        <v>5.9</v>
      </c>
      <c r="I966">
        <v>56.55</v>
      </c>
      <c r="J966">
        <v>333.64</v>
      </c>
      <c r="K966" t="s">
        <v>113</v>
      </c>
      <c r="L966" t="b">
        <v>0</v>
      </c>
    </row>
    <row r="967" spans="1:13" ht="34" x14ac:dyDescent="0.2">
      <c r="A967" t="s">
        <v>1360</v>
      </c>
      <c r="B967" t="s">
        <v>884</v>
      </c>
      <c r="C967" t="s">
        <v>124</v>
      </c>
      <c r="D967" s="1">
        <v>45519</v>
      </c>
      <c r="E967" s="6" t="s">
        <v>16</v>
      </c>
      <c r="F967" t="s">
        <v>45</v>
      </c>
      <c r="G967" s="3" t="s">
        <v>46</v>
      </c>
      <c r="H967">
        <v>2.2999999999999998</v>
      </c>
      <c r="I967">
        <v>38.24</v>
      </c>
      <c r="J967">
        <v>87.96</v>
      </c>
      <c r="K967" t="s">
        <v>96</v>
      </c>
      <c r="L967" t="b">
        <v>0</v>
      </c>
    </row>
    <row r="968" spans="1:13" ht="34" x14ac:dyDescent="0.2">
      <c r="A968" t="s">
        <v>1361</v>
      </c>
      <c r="B968" t="s">
        <v>960</v>
      </c>
      <c r="C968" t="s">
        <v>49</v>
      </c>
      <c r="D968" s="1">
        <v>45124</v>
      </c>
      <c r="E968" s="6" t="s">
        <v>16</v>
      </c>
      <c r="F968" t="s">
        <v>90</v>
      </c>
      <c r="G968" s="3" t="s">
        <v>91</v>
      </c>
      <c r="H968">
        <v>2.1</v>
      </c>
      <c r="I968">
        <v>80.260000000000005</v>
      </c>
      <c r="J968">
        <v>168.55</v>
      </c>
      <c r="K968" t="s">
        <v>113</v>
      </c>
      <c r="L968" t="b">
        <v>0</v>
      </c>
    </row>
    <row r="969" spans="1:13" ht="17" x14ac:dyDescent="0.2">
      <c r="A969" t="s">
        <v>1362</v>
      </c>
      <c r="B969" t="s">
        <v>311</v>
      </c>
      <c r="C969" t="s">
        <v>161</v>
      </c>
      <c r="D969" s="1">
        <v>45140</v>
      </c>
      <c r="E969" s="6" t="s">
        <v>60</v>
      </c>
      <c r="F969" t="s">
        <v>17</v>
      </c>
      <c r="G969" s="3" t="s">
        <v>18</v>
      </c>
      <c r="H969">
        <v>7.6</v>
      </c>
      <c r="I969">
        <v>74.92</v>
      </c>
      <c r="J969">
        <v>569.42999999999995</v>
      </c>
      <c r="K969" t="s">
        <v>19</v>
      </c>
      <c r="L969" t="b">
        <v>0</v>
      </c>
    </row>
    <row r="970" spans="1:13" ht="34" x14ac:dyDescent="0.2">
      <c r="A970" t="s">
        <v>1363</v>
      </c>
      <c r="B970" t="s">
        <v>823</v>
      </c>
      <c r="C970" t="s">
        <v>266</v>
      </c>
      <c r="D970" s="1">
        <v>45572</v>
      </c>
      <c r="E970" s="6" t="s">
        <v>60</v>
      </c>
      <c r="F970" t="s">
        <v>24</v>
      </c>
      <c r="G970" s="3" t="s">
        <v>25</v>
      </c>
      <c r="H970">
        <v>4.2</v>
      </c>
      <c r="I970">
        <v>69.61</v>
      </c>
      <c r="J970">
        <v>292.36</v>
      </c>
      <c r="K970" t="s">
        <v>19</v>
      </c>
      <c r="L970" t="b">
        <v>0</v>
      </c>
    </row>
    <row r="971" spans="1:13" ht="34" x14ac:dyDescent="0.2">
      <c r="A971" t="s">
        <v>1364</v>
      </c>
      <c r="B971" t="s">
        <v>204</v>
      </c>
      <c r="C971" t="s">
        <v>450</v>
      </c>
      <c r="D971" s="1">
        <v>45082</v>
      </c>
      <c r="E971" s="6" t="s">
        <v>89</v>
      </c>
      <c r="F971" t="s">
        <v>54</v>
      </c>
      <c r="G971" s="3" t="s">
        <v>55</v>
      </c>
      <c r="H971">
        <v>6.8</v>
      </c>
      <c r="I971">
        <v>28.5</v>
      </c>
      <c r="J971">
        <v>193.79</v>
      </c>
      <c r="K971" t="s">
        <v>113</v>
      </c>
      <c r="L971" t="b">
        <v>0</v>
      </c>
    </row>
    <row r="972" spans="1:13" ht="34" x14ac:dyDescent="0.2">
      <c r="A972" t="s">
        <v>1365</v>
      </c>
      <c r="B972" t="s">
        <v>1028</v>
      </c>
      <c r="C972" t="s">
        <v>293</v>
      </c>
      <c r="D972" s="1">
        <v>45574</v>
      </c>
      <c r="E972" s="6" t="s">
        <v>78</v>
      </c>
      <c r="F972" t="s">
        <v>45</v>
      </c>
      <c r="G972" s="3" t="s">
        <v>46</v>
      </c>
      <c r="H972">
        <v>5.2</v>
      </c>
      <c r="I972">
        <v>69.06</v>
      </c>
      <c r="J972">
        <v>359.1</v>
      </c>
      <c r="K972" t="s">
        <v>36</v>
      </c>
      <c r="L972" t="b">
        <v>0</v>
      </c>
    </row>
    <row r="973" spans="1:13" ht="34" x14ac:dyDescent="0.2">
      <c r="A973" t="s">
        <v>1366</v>
      </c>
      <c r="B973" t="s">
        <v>384</v>
      </c>
      <c r="C973" t="s">
        <v>68</v>
      </c>
      <c r="D973" s="1">
        <v>45165</v>
      </c>
      <c r="E973" s="6" t="s">
        <v>44</v>
      </c>
      <c r="F973" t="s">
        <v>90</v>
      </c>
      <c r="G973" s="3" t="s">
        <v>91</v>
      </c>
      <c r="H973">
        <v>7.7</v>
      </c>
      <c r="I973">
        <v>82.64</v>
      </c>
      <c r="J973">
        <v>636.29</v>
      </c>
      <c r="K973" t="s">
        <v>92</v>
      </c>
      <c r="L973" t="b">
        <v>0</v>
      </c>
    </row>
    <row r="974" spans="1:13" ht="34" x14ac:dyDescent="0.2">
      <c r="A974" t="s">
        <v>1367</v>
      </c>
      <c r="B974" t="s">
        <v>1105</v>
      </c>
      <c r="C974" t="s">
        <v>148</v>
      </c>
      <c r="D974" s="1">
        <v>45289</v>
      </c>
      <c r="E974" s="6" t="s">
        <v>23</v>
      </c>
      <c r="F974" t="s">
        <v>90</v>
      </c>
      <c r="G974" s="3" t="s">
        <v>91</v>
      </c>
      <c r="H974">
        <v>6.4</v>
      </c>
      <c r="I974">
        <v>56.9</v>
      </c>
      <c r="J974">
        <v>364.16</v>
      </c>
      <c r="K974" t="s">
        <v>92</v>
      </c>
      <c r="L974" t="b">
        <v>0</v>
      </c>
    </row>
    <row r="975" spans="1:13" ht="17" x14ac:dyDescent="0.2">
      <c r="A975" t="s">
        <v>1368</v>
      </c>
      <c r="B975" t="s">
        <v>247</v>
      </c>
      <c r="C975" t="s">
        <v>119</v>
      </c>
      <c r="D975" s="1">
        <v>45016</v>
      </c>
      <c r="E975" s="6" t="s">
        <v>16</v>
      </c>
      <c r="F975" t="s">
        <v>30</v>
      </c>
      <c r="G975" s="3" t="s">
        <v>31</v>
      </c>
      <c r="H975">
        <v>5.2</v>
      </c>
      <c r="I975">
        <v>39.93</v>
      </c>
      <c r="J975">
        <v>207.61</v>
      </c>
      <c r="K975" t="s">
        <v>105</v>
      </c>
      <c r="L975" t="b">
        <v>0</v>
      </c>
    </row>
    <row r="976" spans="1:13" ht="68" x14ac:dyDescent="0.2">
      <c r="A976" t="s">
        <v>1369</v>
      </c>
      <c r="B976" t="s">
        <v>1120</v>
      </c>
      <c r="C976" t="s">
        <v>280</v>
      </c>
      <c r="D976" s="1">
        <v>45463</v>
      </c>
      <c r="E976" s="6" t="s">
        <v>16</v>
      </c>
      <c r="F976" t="s">
        <v>50</v>
      </c>
      <c r="G976" s="3" t="s">
        <v>51</v>
      </c>
      <c r="H976">
        <v>5.4</v>
      </c>
      <c r="I976">
        <v>58.49</v>
      </c>
      <c r="J976">
        <v>315.83999999999997</v>
      </c>
      <c r="K976" t="s">
        <v>96</v>
      </c>
      <c r="L976" t="b">
        <v>0</v>
      </c>
    </row>
    <row r="977" spans="1:13" ht="34" x14ac:dyDescent="0.2">
      <c r="A977" t="s">
        <v>1370</v>
      </c>
      <c r="B977" t="s">
        <v>1051</v>
      </c>
      <c r="C977" t="s">
        <v>43</v>
      </c>
      <c r="D977" s="1">
        <v>45240</v>
      </c>
      <c r="E977" s="6" t="s">
        <v>16</v>
      </c>
      <c r="F977" t="s">
        <v>90</v>
      </c>
      <c r="G977" s="3" t="s">
        <v>91</v>
      </c>
      <c r="H977">
        <v>6.6</v>
      </c>
      <c r="I977">
        <v>59.59</v>
      </c>
      <c r="J977">
        <v>393.32</v>
      </c>
      <c r="K977" t="s">
        <v>56</v>
      </c>
      <c r="L977" t="b">
        <v>0</v>
      </c>
    </row>
    <row r="978" spans="1:13" ht="34" x14ac:dyDescent="0.2">
      <c r="A978" t="s">
        <v>1371</v>
      </c>
      <c r="B978" t="s">
        <v>336</v>
      </c>
      <c r="C978" t="s">
        <v>156</v>
      </c>
      <c r="D978" s="1">
        <v>38694</v>
      </c>
      <c r="E978" s="6" t="s">
        <v>44</v>
      </c>
      <c r="F978" t="s">
        <v>17</v>
      </c>
      <c r="G978" s="3" t="s">
        <v>18</v>
      </c>
      <c r="H978">
        <v>6.2</v>
      </c>
      <c r="I978">
        <v>50.62</v>
      </c>
      <c r="J978">
        <v>313.87</v>
      </c>
      <c r="K978" t="s">
        <v>19</v>
      </c>
      <c r="L978" t="b">
        <v>1</v>
      </c>
      <c r="M978" s="3" t="s">
        <v>99</v>
      </c>
    </row>
    <row r="979" spans="1:13" ht="68" x14ac:dyDescent="0.2">
      <c r="A979" t="s">
        <v>1372</v>
      </c>
      <c r="B979" t="s">
        <v>261</v>
      </c>
      <c r="C979" t="s">
        <v>293</v>
      </c>
      <c r="D979" s="1">
        <v>45437</v>
      </c>
      <c r="E979" s="6" t="s">
        <v>89</v>
      </c>
      <c r="F979" t="s">
        <v>50</v>
      </c>
      <c r="G979" s="3" t="s">
        <v>51</v>
      </c>
      <c r="H979">
        <v>6.8</v>
      </c>
      <c r="I979">
        <v>58</v>
      </c>
      <c r="J979">
        <v>394.39</v>
      </c>
      <c r="K979" t="s">
        <v>96</v>
      </c>
      <c r="L979" t="b">
        <v>0</v>
      </c>
    </row>
    <row r="980" spans="1:13" ht="34" x14ac:dyDescent="0.2">
      <c r="A980" t="s">
        <v>1373</v>
      </c>
      <c r="B980" t="s">
        <v>345</v>
      </c>
      <c r="C980" t="s">
        <v>332</v>
      </c>
      <c r="D980" s="1">
        <v>45154</v>
      </c>
      <c r="E980" s="6" t="s">
        <v>89</v>
      </c>
      <c r="F980" t="s">
        <v>54</v>
      </c>
      <c r="G980" s="3" t="s">
        <v>55</v>
      </c>
      <c r="H980">
        <v>5.9</v>
      </c>
      <c r="I980">
        <v>57.03</v>
      </c>
      <c r="J980">
        <v>336.5</v>
      </c>
      <c r="K980" t="s">
        <v>19</v>
      </c>
      <c r="L980" t="b">
        <v>0</v>
      </c>
    </row>
    <row r="981" spans="1:13" ht="17" x14ac:dyDescent="0.2">
      <c r="A981" t="s">
        <v>1374</v>
      </c>
      <c r="B981" t="s">
        <v>182</v>
      </c>
      <c r="C981" t="s">
        <v>332</v>
      </c>
      <c r="D981" s="1">
        <v>45114</v>
      </c>
      <c r="E981" s="6" t="s">
        <v>89</v>
      </c>
      <c r="F981" t="s">
        <v>17</v>
      </c>
      <c r="G981" s="3" t="s">
        <v>18</v>
      </c>
      <c r="H981">
        <v>7.6</v>
      </c>
      <c r="I981">
        <v>79.150000000000006</v>
      </c>
      <c r="J981">
        <v>601.53</v>
      </c>
      <c r="K981" t="s">
        <v>92</v>
      </c>
      <c r="L981" t="b">
        <v>0</v>
      </c>
    </row>
    <row r="982" spans="1:13" ht="34" x14ac:dyDescent="0.2">
      <c r="A982" t="s">
        <v>1375</v>
      </c>
      <c r="B982" t="s">
        <v>695</v>
      </c>
      <c r="C982" t="s">
        <v>161</v>
      </c>
      <c r="D982" s="1">
        <v>45522</v>
      </c>
      <c r="E982" s="6" t="s">
        <v>16</v>
      </c>
      <c r="F982" t="s">
        <v>54</v>
      </c>
      <c r="G982" s="3" t="s">
        <v>55</v>
      </c>
      <c r="H982">
        <v>7.1</v>
      </c>
      <c r="I982">
        <v>49.74</v>
      </c>
      <c r="J982">
        <v>353.16</v>
      </c>
      <c r="K982" t="s">
        <v>26</v>
      </c>
      <c r="L982" t="b">
        <v>0</v>
      </c>
    </row>
    <row r="983" spans="1:13" ht="34" x14ac:dyDescent="0.2">
      <c r="A983" t="s">
        <v>1376</v>
      </c>
      <c r="B983" t="s">
        <v>129</v>
      </c>
      <c r="C983" t="s">
        <v>59</v>
      </c>
      <c r="D983" s="1">
        <v>45168</v>
      </c>
      <c r="E983" s="6" t="s">
        <v>23</v>
      </c>
      <c r="F983" t="s">
        <v>61</v>
      </c>
      <c r="G983" s="3" t="s">
        <v>62</v>
      </c>
      <c r="H983">
        <v>7</v>
      </c>
      <c r="I983">
        <v>44.41</v>
      </c>
      <c r="J983">
        <v>310.85000000000002</v>
      </c>
      <c r="K983" t="s">
        <v>32</v>
      </c>
      <c r="L983" t="b">
        <v>0</v>
      </c>
    </row>
    <row r="984" spans="1:13" ht="17" x14ac:dyDescent="0.2">
      <c r="A984" t="s">
        <v>1377</v>
      </c>
      <c r="B984" t="s">
        <v>912</v>
      </c>
      <c r="C984" t="s">
        <v>133</v>
      </c>
      <c r="D984" s="1">
        <v>45572</v>
      </c>
      <c r="E984" s="6" t="s">
        <v>16</v>
      </c>
      <c r="F984" t="s">
        <v>30</v>
      </c>
      <c r="G984" s="3" t="s">
        <v>31</v>
      </c>
      <c r="H984">
        <v>23.8</v>
      </c>
      <c r="I984">
        <v>58.01</v>
      </c>
      <c r="J984">
        <v>1380.64</v>
      </c>
      <c r="K984" t="s">
        <v>82</v>
      </c>
      <c r="L984" t="b">
        <v>1</v>
      </c>
      <c r="M984" s="3" t="s">
        <v>79</v>
      </c>
    </row>
    <row r="985" spans="1:13" ht="34" x14ac:dyDescent="0.2">
      <c r="A985" t="s">
        <v>1378</v>
      </c>
      <c r="B985" t="s">
        <v>543</v>
      </c>
      <c r="C985" t="s">
        <v>280</v>
      </c>
      <c r="D985" s="1">
        <v>45509</v>
      </c>
      <c r="E985" s="6" t="s">
        <v>60</v>
      </c>
      <c r="F985" t="s">
        <v>45</v>
      </c>
      <c r="G985" s="3" t="s">
        <v>46</v>
      </c>
      <c r="H985">
        <v>4.2</v>
      </c>
      <c r="I985">
        <v>52.14</v>
      </c>
      <c r="J985">
        <v>219.01</v>
      </c>
      <c r="K985" t="s">
        <v>92</v>
      </c>
      <c r="L985" t="b">
        <v>0</v>
      </c>
    </row>
    <row r="986" spans="1:13" ht="34" x14ac:dyDescent="0.2">
      <c r="A986" t="s">
        <v>1379</v>
      </c>
      <c r="B986" t="s">
        <v>1028</v>
      </c>
      <c r="C986" t="s">
        <v>39</v>
      </c>
      <c r="D986" s="1">
        <v>44990</v>
      </c>
      <c r="E986" s="6" t="s">
        <v>89</v>
      </c>
      <c r="F986" t="s">
        <v>24</v>
      </c>
      <c r="G986" s="3" t="s">
        <v>25</v>
      </c>
      <c r="H986">
        <v>6.4</v>
      </c>
      <c r="I986">
        <v>83.98</v>
      </c>
      <c r="J986">
        <v>537.46</v>
      </c>
      <c r="K986" t="s">
        <v>36</v>
      </c>
      <c r="L986" t="b">
        <v>0</v>
      </c>
    </row>
    <row r="987" spans="1:13" ht="34" x14ac:dyDescent="0.2">
      <c r="A987" t="s">
        <v>1380</v>
      </c>
      <c r="B987" t="s">
        <v>561</v>
      </c>
      <c r="C987" t="s">
        <v>380</v>
      </c>
      <c r="D987" s="1">
        <v>45186</v>
      </c>
      <c r="E987" s="6" t="s">
        <v>78</v>
      </c>
      <c r="F987" t="s">
        <v>24</v>
      </c>
      <c r="G987" s="3" t="s">
        <v>25</v>
      </c>
      <c r="H987">
        <v>5.0999999999999996</v>
      </c>
      <c r="I987">
        <v>84.6</v>
      </c>
      <c r="J987">
        <v>431.48</v>
      </c>
      <c r="K987" t="s">
        <v>105</v>
      </c>
      <c r="L987" t="b">
        <v>0</v>
      </c>
    </row>
    <row r="988" spans="1:13" ht="34" x14ac:dyDescent="0.2">
      <c r="A988" t="s">
        <v>1381</v>
      </c>
      <c r="B988" t="s">
        <v>819</v>
      </c>
      <c r="C988" t="s">
        <v>145</v>
      </c>
      <c r="D988" s="1">
        <v>45441</v>
      </c>
      <c r="E988" s="6" t="s">
        <v>78</v>
      </c>
      <c r="F988" t="s">
        <v>24</v>
      </c>
      <c r="G988" s="3" t="s">
        <v>25</v>
      </c>
      <c r="H988">
        <v>3.8</v>
      </c>
      <c r="I988">
        <v>38.31</v>
      </c>
      <c r="J988">
        <v>145.59</v>
      </c>
      <c r="K988" t="s">
        <v>105</v>
      </c>
      <c r="L988" t="b">
        <v>0</v>
      </c>
    </row>
    <row r="989" spans="1:13" ht="34" x14ac:dyDescent="0.2">
      <c r="A989" t="s">
        <v>1382</v>
      </c>
      <c r="B989" t="s">
        <v>140</v>
      </c>
      <c r="C989" t="s">
        <v>43</v>
      </c>
      <c r="D989" s="1">
        <v>45594</v>
      </c>
      <c r="E989" s="6" t="s">
        <v>78</v>
      </c>
      <c r="F989" t="s">
        <v>24</v>
      </c>
      <c r="G989" s="3" t="s">
        <v>25</v>
      </c>
      <c r="H989">
        <v>6.6</v>
      </c>
      <c r="I989">
        <v>81.599999999999994</v>
      </c>
      <c r="J989">
        <v>538.57000000000005</v>
      </c>
      <c r="K989" t="s">
        <v>36</v>
      </c>
      <c r="L989" t="b">
        <v>0</v>
      </c>
    </row>
    <row r="990" spans="1:13" ht="68" x14ac:dyDescent="0.2">
      <c r="A990" t="s">
        <v>1383</v>
      </c>
      <c r="B990" t="s">
        <v>842</v>
      </c>
      <c r="C990" t="s">
        <v>130</v>
      </c>
      <c r="D990" s="1">
        <v>45368</v>
      </c>
      <c r="E990" s="6" t="s">
        <v>23</v>
      </c>
      <c r="F990" t="s">
        <v>50</v>
      </c>
      <c r="G990" s="3" t="s">
        <v>51</v>
      </c>
      <c r="H990">
        <v>2.6</v>
      </c>
      <c r="I990">
        <v>52.62</v>
      </c>
      <c r="J990">
        <v>136.82</v>
      </c>
      <c r="K990" t="s">
        <v>92</v>
      </c>
      <c r="L990" t="b">
        <v>0</v>
      </c>
    </row>
    <row r="991" spans="1:13" ht="68" x14ac:dyDescent="0.2">
      <c r="A991" t="s">
        <v>1384</v>
      </c>
      <c r="B991" t="s">
        <v>180</v>
      </c>
      <c r="C991" t="s">
        <v>49</v>
      </c>
      <c r="D991" s="1">
        <v>45006</v>
      </c>
      <c r="E991" s="6" t="s">
        <v>23</v>
      </c>
      <c r="F991" t="s">
        <v>50</v>
      </c>
      <c r="G991" s="3" t="s">
        <v>51</v>
      </c>
      <c r="H991">
        <v>6.4</v>
      </c>
      <c r="I991">
        <v>78.38</v>
      </c>
      <c r="J991">
        <v>500</v>
      </c>
      <c r="K991" t="s">
        <v>92</v>
      </c>
      <c r="L991" t="b">
        <v>1</v>
      </c>
      <c r="M991" s="3" t="s">
        <v>40</v>
      </c>
    </row>
    <row r="992" spans="1:13" ht="17" x14ac:dyDescent="0.2">
      <c r="A992" t="s">
        <v>1385</v>
      </c>
      <c r="B992" t="s">
        <v>669</v>
      </c>
      <c r="C992" t="s">
        <v>161</v>
      </c>
      <c r="D992" s="1">
        <v>44972</v>
      </c>
      <c r="E992" s="6" t="s">
        <v>89</v>
      </c>
      <c r="F992" t="s">
        <v>30</v>
      </c>
      <c r="G992" s="3" t="s">
        <v>31</v>
      </c>
      <c r="H992">
        <v>3.5</v>
      </c>
      <c r="I992">
        <v>43.02</v>
      </c>
      <c r="J992">
        <v>150.56</v>
      </c>
      <c r="K992" t="s">
        <v>36</v>
      </c>
      <c r="L992" t="b">
        <v>0</v>
      </c>
    </row>
    <row r="993" spans="1:13" ht="34" x14ac:dyDescent="0.2">
      <c r="A993" t="s">
        <v>1386</v>
      </c>
      <c r="B993" t="s">
        <v>1387</v>
      </c>
      <c r="C993" t="s">
        <v>59</v>
      </c>
      <c r="D993" s="1">
        <v>45583</v>
      </c>
      <c r="E993" s="6" t="s">
        <v>44</v>
      </c>
      <c r="F993" t="s">
        <v>61</v>
      </c>
      <c r="G993" s="3" t="s">
        <v>62</v>
      </c>
      <c r="H993">
        <v>5.4</v>
      </c>
      <c r="I993">
        <v>38.049999999999997</v>
      </c>
      <c r="J993">
        <v>205.45</v>
      </c>
      <c r="K993" t="s">
        <v>96</v>
      </c>
      <c r="L993" t="b">
        <v>0</v>
      </c>
    </row>
    <row r="994" spans="1:13" ht="34" x14ac:dyDescent="0.2">
      <c r="A994" t="s">
        <v>1388</v>
      </c>
      <c r="B994" t="s">
        <v>656</v>
      </c>
      <c r="C994" t="s">
        <v>280</v>
      </c>
      <c r="D994" s="1">
        <v>45329</v>
      </c>
      <c r="E994" s="6" t="s">
        <v>16</v>
      </c>
      <c r="F994" t="s">
        <v>54</v>
      </c>
      <c r="G994" s="3" t="s">
        <v>55</v>
      </c>
      <c r="H994">
        <v>6.8</v>
      </c>
      <c r="I994">
        <v>35.369999999999997</v>
      </c>
      <c r="J994">
        <v>240.54</v>
      </c>
      <c r="K994" t="s">
        <v>56</v>
      </c>
      <c r="L994" t="b">
        <v>0</v>
      </c>
    </row>
    <row r="995" spans="1:13" ht="34" x14ac:dyDescent="0.2">
      <c r="A995" t="s">
        <v>1389</v>
      </c>
      <c r="B995" t="s">
        <v>447</v>
      </c>
      <c r="C995" t="s">
        <v>189</v>
      </c>
      <c r="D995" s="1">
        <v>45250</v>
      </c>
      <c r="E995" s="6" t="s">
        <v>16</v>
      </c>
      <c r="F995" t="s">
        <v>90</v>
      </c>
      <c r="G995" s="3" t="s">
        <v>91</v>
      </c>
      <c r="H995">
        <v>5.6</v>
      </c>
      <c r="I995">
        <v>43.02</v>
      </c>
      <c r="J995">
        <v>240.93</v>
      </c>
      <c r="K995" t="s">
        <v>19</v>
      </c>
      <c r="L995" t="b">
        <v>0</v>
      </c>
    </row>
    <row r="996" spans="1:13" ht="34" x14ac:dyDescent="0.2">
      <c r="A996" t="s">
        <v>1390</v>
      </c>
      <c r="B996" t="s">
        <v>414</v>
      </c>
      <c r="C996" t="s">
        <v>122</v>
      </c>
      <c r="D996" s="1">
        <v>45248</v>
      </c>
      <c r="E996" s="6" t="s">
        <v>78</v>
      </c>
      <c r="F996" t="s">
        <v>61</v>
      </c>
      <c r="G996" s="3" t="s">
        <v>62</v>
      </c>
      <c r="H996">
        <v>2.5</v>
      </c>
      <c r="I996">
        <v>28.36</v>
      </c>
      <c r="J996">
        <v>70.89</v>
      </c>
      <c r="K996" t="s">
        <v>56</v>
      </c>
      <c r="L996" t="b">
        <v>0</v>
      </c>
    </row>
    <row r="997" spans="1:13" ht="34" x14ac:dyDescent="0.2">
      <c r="A997" t="s">
        <v>1391</v>
      </c>
      <c r="B997" t="s">
        <v>472</v>
      </c>
      <c r="C997" t="s">
        <v>353</v>
      </c>
      <c r="D997" s="1">
        <v>45372</v>
      </c>
      <c r="E997" s="6" t="s">
        <v>44</v>
      </c>
      <c r="F997" t="s">
        <v>54</v>
      </c>
      <c r="G997" s="3" t="s">
        <v>55</v>
      </c>
      <c r="H997">
        <v>7.3</v>
      </c>
      <c r="I997">
        <v>51.06</v>
      </c>
      <c r="J997">
        <v>372.73</v>
      </c>
      <c r="K997" t="s">
        <v>92</v>
      </c>
      <c r="L997" t="b">
        <v>0</v>
      </c>
    </row>
    <row r="998" spans="1:13" ht="17" x14ac:dyDescent="0.2">
      <c r="A998" t="s">
        <v>1392</v>
      </c>
      <c r="B998" t="s">
        <v>247</v>
      </c>
      <c r="C998" t="s">
        <v>59</v>
      </c>
      <c r="D998" s="1">
        <v>45200</v>
      </c>
      <c r="E998" s="6" t="s">
        <v>44</v>
      </c>
      <c r="F998" t="s">
        <v>30</v>
      </c>
      <c r="G998" s="3" t="s">
        <v>31</v>
      </c>
      <c r="H998">
        <v>6.5</v>
      </c>
      <c r="I998">
        <v>75.97</v>
      </c>
      <c r="J998">
        <v>493.8</v>
      </c>
      <c r="K998" t="s">
        <v>105</v>
      </c>
      <c r="L998" t="b">
        <v>0</v>
      </c>
    </row>
    <row r="999" spans="1:13" ht="34" x14ac:dyDescent="0.2">
      <c r="A999" t="s">
        <v>1393</v>
      </c>
      <c r="B999" t="s">
        <v>931</v>
      </c>
      <c r="C999" t="s">
        <v>159</v>
      </c>
      <c r="D999" s="1">
        <v>45631</v>
      </c>
      <c r="E999" s="6" t="s">
        <v>78</v>
      </c>
      <c r="F999" t="s">
        <v>61</v>
      </c>
      <c r="G999" s="3" t="s">
        <v>62</v>
      </c>
      <c r="H999">
        <v>2.2999999999999998</v>
      </c>
      <c r="I999">
        <v>56.46</v>
      </c>
      <c r="J999">
        <v>129.86000000000001</v>
      </c>
      <c r="K999" t="s">
        <v>92</v>
      </c>
      <c r="L999" t="b">
        <v>0</v>
      </c>
    </row>
    <row r="1000" spans="1:13" ht="68" x14ac:dyDescent="0.2">
      <c r="A1000" t="s">
        <v>1394</v>
      </c>
      <c r="B1000" t="s">
        <v>595</v>
      </c>
      <c r="C1000" t="s">
        <v>127</v>
      </c>
      <c r="D1000" s="1">
        <v>45614</v>
      </c>
      <c r="E1000" s="6" t="s">
        <v>23</v>
      </c>
      <c r="F1000" t="s">
        <v>50</v>
      </c>
      <c r="G1000" s="3" t="s">
        <v>51</v>
      </c>
      <c r="H1000">
        <v>18.7</v>
      </c>
      <c r="I1000">
        <v>66.87</v>
      </c>
      <c r="J1000">
        <v>1250</v>
      </c>
      <c r="K1000" t="s">
        <v>36</v>
      </c>
      <c r="L1000" t="b">
        <v>1</v>
      </c>
      <c r="M1000" s="3" t="s">
        <v>40</v>
      </c>
    </row>
    <row r="1001" spans="1:13" ht="34" x14ac:dyDescent="0.2">
      <c r="A1001" t="s">
        <v>1395</v>
      </c>
      <c r="B1001" t="s">
        <v>472</v>
      </c>
      <c r="C1001" t="s">
        <v>172</v>
      </c>
      <c r="D1001" s="1">
        <v>45338</v>
      </c>
      <c r="E1001" s="6" t="s">
        <v>60</v>
      </c>
      <c r="F1001" t="s">
        <v>24</v>
      </c>
      <c r="G1001" s="3" t="s">
        <v>25</v>
      </c>
      <c r="H1001">
        <v>17.7</v>
      </c>
      <c r="I1001">
        <v>84.84</v>
      </c>
      <c r="J1001">
        <v>1500</v>
      </c>
      <c r="K1001" t="s">
        <v>92</v>
      </c>
      <c r="L1001" t="b">
        <v>1</v>
      </c>
      <c r="M1001" s="3" t="s">
        <v>40</v>
      </c>
    </row>
    <row r="1002" spans="1:13" ht="34" x14ac:dyDescent="0.2">
      <c r="A1002" t="s">
        <v>1396</v>
      </c>
      <c r="B1002" t="s">
        <v>1144</v>
      </c>
      <c r="C1002" t="s">
        <v>189</v>
      </c>
      <c r="D1002" s="1">
        <v>45027</v>
      </c>
      <c r="E1002" s="6" t="s">
        <v>60</v>
      </c>
      <c r="F1002" t="s">
        <v>90</v>
      </c>
      <c r="G1002" s="3" t="s">
        <v>91</v>
      </c>
      <c r="H1002">
        <v>3.3</v>
      </c>
      <c r="I1002">
        <v>42.39</v>
      </c>
      <c r="J1002">
        <v>139.88</v>
      </c>
      <c r="K1002" t="s">
        <v>96</v>
      </c>
      <c r="L1002" t="b">
        <v>0</v>
      </c>
    </row>
    <row r="1003" spans="1:13" ht="68" x14ac:dyDescent="0.2">
      <c r="A1003" t="s">
        <v>1397</v>
      </c>
      <c r="B1003" t="s">
        <v>1398</v>
      </c>
      <c r="C1003" t="s">
        <v>266</v>
      </c>
      <c r="D1003" s="1">
        <v>45621</v>
      </c>
      <c r="E1003" s="6" t="s">
        <v>89</v>
      </c>
      <c r="F1003" t="s">
        <v>50</v>
      </c>
      <c r="G1003" s="3" t="s">
        <v>51</v>
      </c>
      <c r="H1003">
        <v>2.8</v>
      </c>
      <c r="I1003">
        <v>29.95</v>
      </c>
      <c r="J1003">
        <v>83.87</v>
      </c>
      <c r="K1003" t="s">
        <v>26</v>
      </c>
      <c r="L1003" t="b">
        <v>0</v>
      </c>
    </row>
    <row r="1004" spans="1:13" ht="34" x14ac:dyDescent="0.2">
      <c r="A1004" t="s">
        <v>1399</v>
      </c>
      <c r="B1004" t="s">
        <v>245</v>
      </c>
      <c r="C1004" t="s">
        <v>450</v>
      </c>
      <c r="D1004" s="1">
        <v>45347</v>
      </c>
      <c r="E1004" s="6" t="s">
        <v>60</v>
      </c>
      <c r="F1004" t="s">
        <v>24</v>
      </c>
      <c r="G1004" s="3" t="s">
        <v>25</v>
      </c>
      <c r="H1004">
        <v>5.3</v>
      </c>
      <c r="I1004">
        <v>40.75</v>
      </c>
      <c r="J1004">
        <v>215.99</v>
      </c>
      <c r="K1004" t="s">
        <v>32</v>
      </c>
      <c r="L1004" t="b">
        <v>1</v>
      </c>
      <c r="M1004" s="3" t="s">
        <v>102</v>
      </c>
    </row>
    <row r="1005" spans="1:13" ht="34" x14ac:dyDescent="0.2">
      <c r="A1005" t="s">
        <v>1400</v>
      </c>
      <c r="B1005" t="s">
        <v>398</v>
      </c>
      <c r="C1005" t="s">
        <v>266</v>
      </c>
      <c r="D1005" s="1">
        <v>44991</v>
      </c>
      <c r="E1005" s="6" t="s">
        <v>23</v>
      </c>
      <c r="F1005" t="s">
        <v>61</v>
      </c>
      <c r="G1005" s="3" t="s">
        <v>62</v>
      </c>
      <c r="H1005">
        <v>6.6</v>
      </c>
      <c r="I1005">
        <v>32.82</v>
      </c>
      <c r="J1005">
        <v>216.63</v>
      </c>
      <c r="K1005" t="s">
        <v>92</v>
      </c>
      <c r="L1005" t="b">
        <v>0</v>
      </c>
    </row>
    <row r="1006" spans="1:13" ht="17" x14ac:dyDescent="0.2">
      <c r="A1006" t="s">
        <v>1401</v>
      </c>
      <c r="B1006" t="s">
        <v>84</v>
      </c>
      <c r="C1006" t="s">
        <v>122</v>
      </c>
      <c r="D1006" s="1">
        <v>45400</v>
      </c>
      <c r="E1006" s="6" t="s">
        <v>16</v>
      </c>
      <c r="F1006" t="s">
        <v>17</v>
      </c>
      <c r="G1006" s="3" t="s">
        <v>18</v>
      </c>
      <c r="H1006">
        <v>5.4</v>
      </c>
      <c r="I1006">
        <v>54.27</v>
      </c>
      <c r="J1006">
        <v>293.07</v>
      </c>
      <c r="K1006" t="s">
        <v>36</v>
      </c>
      <c r="L1006" t="b">
        <v>0</v>
      </c>
    </row>
    <row r="1007" spans="1:13" ht="17" x14ac:dyDescent="0.2">
      <c r="A1007" t="s">
        <v>1402</v>
      </c>
      <c r="B1007" t="s">
        <v>721</v>
      </c>
      <c r="C1007" t="s">
        <v>148</v>
      </c>
      <c r="D1007" s="1">
        <v>45154</v>
      </c>
      <c r="E1007" s="6" t="s">
        <v>89</v>
      </c>
      <c r="F1007" t="s">
        <v>30</v>
      </c>
      <c r="G1007" s="3" t="s">
        <v>31</v>
      </c>
      <c r="H1007">
        <v>5.4</v>
      </c>
      <c r="I1007">
        <v>84.82</v>
      </c>
      <c r="J1007">
        <v>458.05</v>
      </c>
      <c r="K1007" t="s">
        <v>32</v>
      </c>
      <c r="L1007" t="b">
        <v>0</v>
      </c>
    </row>
    <row r="1008" spans="1:13" ht="17" x14ac:dyDescent="0.2">
      <c r="A1008" t="s">
        <v>1403</v>
      </c>
      <c r="B1008" t="s">
        <v>361</v>
      </c>
      <c r="C1008" t="s">
        <v>88</v>
      </c>
      <c r="D1008" s="1">
        <v>45252</v>
      </c>
      <c r="E1008" s="6" t="s">
        <v>60</v>
      </c>
      <c r="F1008" t="s">
        <v>30</v>
      </c>
      <c r="G1008" s="3" t="s">
        <v>31</v>
      </c>
      <c r="H1008">
        <v>3.5</v>
      </c>
      <c r="I1008">
        <v>40.98</v>
      </c>
      <c r="J1008">
        <v>143.41</v>
      </c>
      <c r="K1008" t="s">
        <v>113</v>
      </c>
      <c r="L1008" t="b">
        <v>0</v>
      </c>
    </row>
    <row r="1009" spans="1:13" ht="34" x14ac:dyDescent="0.2">
      <c r="A1009" t="s">
        <v>1404</v>
      </c>
      <c r="B1009" t="s">
        <v>701</v>
      </c>
      <c r="C1009" t="s">
        <v>207</v>
      </c>
      <c r="D1009" s="1">
        <v>45446</v>
      </c>
      <c r="E1009" s="6" t="s">
        <v>44</v>
      </c>
      <c r="F1009" t="s">
        <v>54</v>
      </c>
      <c r="G1009" s="3" t="s">
        <v>55</v>
      </c>
      <c r="H1009">
        <v>33.6</v>
      </c>
      <c r="I1009">
        <v>59.56</v>
      </c>
      <c r="J1009">
        <v>2000</v>
      </c>
      <c r="K1009" t="s">
        <v>26</v>
      </c>
      <c r="L1009" t="b">
        <v>1</v>
      </c>
      <c r="M1009" s="3" t="s">
        <v>40</v>
      </c>
    </row>
    <row r="1010" spans="1:13" ht="34" x14ac:dyDescent="0.2">
      <c r="A1010" t="s">
        <v>1405</v>
      </c>
      <c r="B1010" t="s">
        <v>304</v>
      </c>
      <c r="C1010" t="s">
        <v>499</v>
      </c>
      <c r="D1010" s="1">
        <v>45529</v>
      </c>
      <c r="E1010" s="6" t="s">
        <v>78</v>
      </c>
      <c r="F1010" t="s">
        <v>61</v>
      </c>
      <c r="G1010" s="3" t="s">
        <v>62</v>
      </c>
      <c r="H1010">
        <v>4.5</v>
      </c>
      <c r="I1010">
        <v>45.9</v>
      </c>
      <c r="J1010">
        <v>206.54</v>
      </c>
      <c r="K1010" t="s">
        <v>92</v>
      </c>
      <c r="L1010" t="b">
        <v>0</v>
      </c>
    </row>
    <row r="1011" spans="1:13" ht="34" x14ac:dyDescent="0.2">
      <c r="A1011" t="s">
        <v>1406</v>
      </c>
      <c r="B1011" t="s">
        <v>434</v>
      </c>
      <c r="C1011" t="s">
        <v>499</v>
      </c>
      <c r="D1011" s="1">
        <v>45144</v>
      </c>
      <c r="E1011" s="6" t="s">
        <v>78</v>
      </c>
      <c r="F1011" t="s">
        <v>54</v>
      </c>
      <c r="G1011" s="3" t="s">
        <v>55</v>
      </c>
      <c r="H1011">
        <v>17.2</v>
      </c>
      <c r="I1011">
        <v>26.45</v>
      </c>
      <c r="J1011">
        <v>454.94</v>
      </c>
      <c r="K1011" t="s">
        <v>32</v>
      </c>
      <c r="L1011" t="b">
        <v>1</v>
      </c>
      <c r="M1011" s="3" t="s">
        <v>79</v>
      </c>
    </row>
    <row r="1012" spans="1:13" ht="68" x14ac:dyDescent="0.2">
      <c r="A1012" t="s">
        <v>1407</v>
      </c>
      <c r="B1012" t="s">
        <v>482</v>
      </c>
      <c r="C1012" t="s">
        <v>189</v>
      </c>
      <c r="D1012" s="1">
        <v>45044</v>
      </c>
      <c r="E1012" s="6" t="s">
        <v>60</v>
      </c>
      <c r="F1012" t="s">
        <v>50</v>
      </c>
      <c r="G1012" s="3" t="s">
        <v>51</v>
      </c>
      <c r="H1012">
        <v>7.9</v>
      </c>
      <c r="I1012">
        <v>61.97</v>
      </c>
      <c r="J1012">
        <v>489.59</v>
      </c>
      <c r="K1012" t="s">
        <v>92</v>
      </c>
      <c r="L1012" t="b">
        <v>0</v>
      </c>
    </row>
    <row r="1013" spans="1:13" ht="68" x14ac:dyDescent="0.2">
      <c r="A1013" t="s">
        <v>1408</v>
      </c>
      <c r="B1013" t="s">
        <v>290</v>
      </c>
      <c r="C1013" t="s">
        <v>274</v>
      </c>
      <c r="D1013" s="1">
        <v>45343</v>
      </c>
      <c r="E1013" s="6" t="s">
        <v>23</v>
      </c>
      <c r="F1013" t="s">
        <v>50</v>
      </c>
      <c r="G1013" s="3" t="s">
        <v>51</v>
      </c>
      <c r="H1013">
        <v>4.5999999999999996</v>
      </c>
      <c r="I1013">
        <v>80.45</v>
      </c>
      <c r="J1013">
        <v>370.08</v>
      </c>
      <c r="K1013" t="s">
        <v>92</v>
      </c>
      <c r="L1013" t="b">
        <v>0</v>
      </c>
    </row>
    <row r="1014" spans="1:13" ht="17" x14ac:dyDescent="0.2">
      <c r="A1014" t="s">
        <v>1409</v>
      </c>
      <c r="B1014" t="s">
        <v>1144</v>
      </c>
      <c r="C1014" t="s">
        <v>323</v>
      </c>
      <c r="D1014" s="1">
        <v>45273</v>
      </c>
      <c r="E1014" s="6" t="s">
        <v>16</v>
      </c>
      <c r="F1014" t="s">
        <v>30</v>
      </c>
      <c r="G1014" s="3" t="s">
        <v>31</v>
      </c>
      <c r="H1014">
        <v>6.1</v>
      </c>
      <c r="I1014">
        <v>34.36</v>
      </c>
      <c r="J1014">
        <v>209.59</v>
      </c>
      <c r="K1014" t="s">
        <v>96</v>
      </c>
      <c r="L1014" t="b">
        <v>0</v>
      </c>
    </row>
    <row r="1015" spans="1:13" ht="34" x14ac:dyDescent="0.2">
      <c r="A1015" t="s">
        <v>1410</v>
      </c>
      <c r="B1015" t="s">
        <v>384</v>
      </c>
      <c r="C1015" t="s">
        <v>370</v>
      </c>
      <c r="D1015" s="1">
        <v>45372</v>
      </c>
      <c r="E1015" s="6" t="s">
        <v>89</v>
      </c>
      <c r="F1015" t="s">
        <v>90</v>
      </c>
      <c r="G1015" s="3" t="s">
        <v>91</v>
      </c>
      <c r="H1015">
        <v>2.7</v>
      </c>
      <c r="I1015">
        <v>28.27</v>
      </c>
      <c r="J1015">
        <v>76.34</v>
      </c>
      <c r="K1015" t="s">
        <v>92</v>
      </c>
      <c r="L1015" t="b">
        <v>0</v>
      </c>
    </row>
    <row r="1016" spans="1:13" ht="68" x14ac:dyDescent="0.2">
      <c r="A1016" t="s">
        <v>1411</v>
      </c>
      <c r="B1016" t="s">
        <v>70</v>
      </c>
      <c r="C1016" t="s">
        <v>268</v>
      </c>
      <c r="D1016" s="1">
        <v>45155</v>
      </c>
      <c r="E1016" s="6" t="s">
        <v>44</v>
      </c>
      <c r="F1016" t="s">
        <v>50</v>
      </c>
      <c r="G1016" s="3" t="s">
        <v>51</v>
      </c>
      <c r="H1016">
        <v>20.2</v>
      </c>
      <c r="I1016">
        <v>74.209999999999994</v>
      </c>
      <c r="J1016">
        <v>1500</v>
      </c>
      <c r="K1016" t="s">
        <v>26</v>
      </c>
      <c r="L1016" t="b">
        <v>1</v>
      </c>
      <c r="M1016" s="3" t="s">
        <v>40</v>
      </c>
    </row>
    <row r="1017" spans="1:13" ht="34" x14ac:dyDescent="0.2">
      <c r="A1017" t="s">
        <v>1412</v>
      </c>
      <c r="B1017" t="s">
        <v>1413</v>
      </c>
      <c r="C1017" t="s">
        <v>130</v>
      </c>
      <c r="D1017" s="1">
        <v>45522</v>
      </c>
      <c r="E1017" s="6" t="s">
        <v>60</v>
      </c>
      <c r="F1017" t="s">
        <v>54</v>
      </c>
      <c r="G1017" s="3" t="s">
        <v>55</v>
      </c>
      <c r="H1017">
        <v>6.2</v>
      </c>
      <c r="I1017">
        <v>31.68</v>
      </c>
      <c r="J1017">
        <v>196.4</v>
      </c>
      <c r="K1017" t="s">
        <v>32</v>
      </c>
      <c r="L1017" t="b">
        <v>0</v>
      </c>
    </row>
    <row r="1018" spans="1:13" ht="17" x14ac:dyDescent="0.2">
      <c r="A1018" t="s">
        <v>1414</v>
      </c>
      <c r="B1018" t="s">
        <v>617</v>
      </c>
      <c r="C1018" t="s">
        <v>211</v>
      </c>
      <c r="D1018" s="1">
        <v>45387</v>
      </c>
      <c r="E1018" s="6" t="s">
        <v>89</v>
      </c>
      <c r="F1018" t="s">
        <v>17</v>
      </c>
      <c r="G1018" s="3" t="s">
        <v>18</v>
      </c>
      <c r="H1018">
        <v>2.1</v>
      </c>
      <c r="I1018">
        <v>37.54</v>
      </c>
      <c r="J1018">
        <v>78.84</v>
      </c>
      <c r="K1018" t="s">
        <v>82</v>
      </c>
      <c r="L1018" t="b">
        <v>0</v>
      </c>
    </row>
    <row r="1019" spans="1:13" ht="17" x14ac:dyDescent="0.2">
      <c r="A1019" t="s">
        <v>1415</v>
      </c>
      <c r="B1019" t="s">
        <v>402</v>
      </c>
      <c r="C1019" t="s">
        <v>130</v>
      </c>
      <c r="D1019" s="1">
        <v>45261</v>
      </c>
      <c r="E1019" s="6" t="s">
        <v>78</v>
      </c>
      <c r="F1019" t="s">
        <v>30</v>
      </c>
      <c r="G1019" s="3" t="s">
        <v>31</v>
      </c>
      <c r="H1019">
        <v>3.2</v>
      </c>
      <c r="I1019">
        <v>56.4</v>
      </c>
      <c r="J1019">
        <v>180.47</v>
      </c>
      <c r="K1019" t="s">
        <v>96</v>
      </c>
      <c r="L1019" t="b">
        <v>0</v>
      </c>
    </row>
    <row r="1020" spans="1:13" ht="17" x14ac:dyDescent="0.2">
      <c r="A1020" t="s">
        <v>1416</v>
      </c>
      <c r="B1020" t="s">
        <v>750</v>
      </c>
      <c r="C1020" t="s">
        <v>189</v>
      </c>
      <c r="D1020" s="1">
        <v>44984</v>
      </c>
      <c r="E1020" s="6" t="s">
        <v>16</v>
      </c>
      <c r="F1020" t="s">
        <v>17</v>
      </c>
      <c r="G1020" s="3" t="s">
        <v>18</v>
      </c>
      <c r="H1020">
        <v>5.7</v>
      </c>
      <c r="I1020">
        <v>84.54</v>
      </c>
      <c r="J1020">
        <v>481.87</v>
      </c>
      <c r="K1020" t="s">
        <v>92</v>
      </c>
      <c r="L1020" t="b">
        <v>0</v>
      </c>
    </row>
    <row r="1021" spans="1:13" ht="34" x14ac:dyDescent="0.2">
      <c r="A1021" t="s">
        <v>1417</v>
      </c>
      <c r="B1021" t="s">
        <v>792</v>
      </c>
      <c r="C1021" t="s">
        <v>35</v>
      </c>
      <c r="D1021" s="1">
        <v>45573</v>
      </c>
      <c r="E1021" s="6" t="s">
        <v>89</v>
      </c>
      <c r="F1021" t="s">
        <v>24</v>
      </c>
      <c r="G1021" s="3" t="s">
        <v>25</v>
      </c>
      <c r="H1021">
        <v>18.2</v>
      </c>
      <c r="I1021">
        <v>79.36</v>
      </c>
      <c r="J1021">
        <v>1444.35</v>
      </c>
      <c r="K1021" t="s">
        <v>82</v>
      </c>
      <c r="L1021" t="b">
        <v>1</v>
      </c>
      <c r="M1021" s="3" t="s">
        <v>79</v>
      </c>
    </row>
    <row r="1022" spans="1:13" ht="34" x14ac:dyDescent="0.2">
      <c r="A1022" t="s">
        <v>1418</v>
      </c>
      <c r="B1022" t="s">
        <v>180</v>
      </c>
      <c r="C1022" t="s">
        <v>380</v>
      </c>
      <c r="D1022" s="1">
        <v>45175</v>
      </c>
      <c r="E1022" s="6" t="s">
        <v>23</v>
      </c>
      <c r="F1022" t="s">
        <v>24</v>
      </c>
      <c r="G1022" s="3" t="s">
        <v>25</v>
      </c>
      <c r="H1022">
        <v>3.5</v>
      </c>
      <c r="I1022">
        <v>28.61</v>
      </c>
      <c r="J1022">
        <v>100.12</v>
      </c>
      <c r="K1022" t="s">
        <v>92</v>
      </c>
      <c r="L1022" t="b">
        <v>0</v>
      </c>
    </row>
    <row r="1023" spans="1:13" ht="34" x14ac:dyDescent="0.2">
      <c r="A1023" t="s">
        <v>1419</v>
      </c>
      <c r="B1023" t="s">
        <v>458</v>
      </c>
      <c r="C1023" t="s">
        <v>119</v>
      </c>
      <c r="D1023" s="1">
        <v>45299</v>
      </c>
      <c r="E1023" s="6" t="s">
        <v>44</v>
      </c>
      <c r="F1023" t="s">
        <v>45</v>
      </c>
      <c r="G1023" s="3" t="s">
        <v>46</v>
      </c>
      <c r="H1023">
        <v>2.2999999999999998</v>
      </c>
      <c r="I1023">
        <v>64.290000000000006</v>
      </c>
      <c r="J1023">
        <v>147.86000000000001</v>
      </c>
      <c r="K1023" t="s">
        <v>56</v>
      </c>
      <c r="L1023" t="b">
        <v>0</v>
      </c>
    </row>
    <row r="1024" spans="1:13" ht="34" x14ac:dyDescent="0.2">
      <c r="A1024" t="s">
        <v>1420</v>
      </c>
      <c r="B1024" t="s">
        <v>685</v>
      </c>
      <c r="C1024" t="s">
        <v>280</v>
      </c>
      <c r="D1024" s="1">
        <v>45637</v>
      </c>
      <c r="E1024" s="6" t="s">
        <v>16</v>
      </c>
      <c r="F1024" t="s">
        <v>90</v>
      </c>
      <c r="G1024" s="3" t="s">
        <v>91</v>
      </c>
      <c r="H1024">
        <v>4.3</v>
      </c>
      <c r="I1024">
        <v>41.28</v>
      </c>
      <c r="J1024">
        <v>177.5</v>
      </c>
      <c r="K1024" t="s">
        <v>92</v>
      </c>
      <c r="L1024" t="b">
        <v>0</v>
      </c>
    </row>
    <row r="1025" spans="1:13" ht="34" x14ac:dyDescent="0.2">
      <c r="A1025" t="s">
        <v>1421</v>
      </c>
      <c r="B1025" t="s">
        <v>666</v>
      </c>
      <c r="C1025" t="s">
        <v>194</v>
      </c>
      <c r="D1025" s="1">
        <v>44967</v>
      </c>
      <c r="E1025" s="6" t="s">
        <v>16</v>
      </c>
      <c r="F1025" t="s">
        <v>54</v>
      </c>
      <c r="G1025" s="3" t="s">
        <v>55</v>
      </c>
      <c r="H1025">
        <v>7.2</v>
      </c>
      <c r="I1025">
        <v>26.14</v>
      </c>
      <c r="J1025">
        <v>188.24</v>
      </c>
      <c r="K1025" t="s">
        <v>113</v>
      </c>
      <c r="L1025" t="b">
        <v>0</v>
      </c>
    </row>
    <row r="1026" spans="1:13" ht="34" x14ac:dyDescent="0.2">
      <c r="A1026" t="s">
        <v>1422</v>
      </c>
      <c r="B1026" t="s">
        <v>286</v>
      </c>
      <c r="C1026" t="s">
        <v>295</v>
      </c>
      <c r="D1026" s="1">
        <v>45100</v>
      </c>
      <c r="E1026" s="6" t="s">
        <v>16</v>
      </c>
      <c r="F1026" t="s">
        <v>61</v>
      </c>
      <c r="G1026" s="3" t="s">
        <v>62</v>
      </c>
      <c r="H1026">
        <v>3.4</v>
      </c>
      <c r="I1026">
        <v>47.84</v>
      </c>
      <c r="J1026">
        <v>162.66</v>
      </c>
      <c r="K1026" t="s">
        <v>19</v>
      </c>
      <c r="L1026" t="b">
        <v>0</v>
      </c>
    </row>
    <row r="1027" spans="1:13" ht="34" x14ac:dyDescent="0.2">
      <c r="A1027" t="s">
        <v>1423</v>
      </c>
      <c r="B1027" t="s">
        <v>1144</v>
      </c>
      <c r="C1027" t="s">
        <v>130</v>
      </c>
      <c r="D1027" s="1">
        <v>45349</v>
      </c>
      <c r="E1027" s="6" t="s">
        <v>89</v>
      </c>
      <c r="F1027" t="s">
        <v>90</v>
      </c>
      <c r="G1027" s="3" t="s">
        <v>91</v>
      </c>
      <c r="H1027">
        <v>7.4</v>
      </c>
      <c r="I1027">
        <v>54.08</v>
      </c>
      <c r="J1027">
        <v>400.19</v>
      </c>
      <c r="K1027" t="s">
        <v>96</v>
      </c>
      <c r="L1027" t="b">
        <v>0</v>
      </c>
    </row>
    <row r="1028" spans="1:13" ht="34" x14ac:dyDescent="0.2">
      <c r="A1028" t="s">
        <v>1424</v>
      </c>
      <c r="B1028" t="s">
        <v>221</v>
      </c>
      <c r="C1028" t="s">
        <v>295</v>
      </c>
      <c r="D1028" s="1">
        <v>44985</v>
      </c>
      <c r="E1028" s="6" t="s">
        <v>60</v>
      </c>
      <c r="F1028" t="s">
        <v>90</v>
      </c>
      <c r="G1028" s="3" t="s">
        <v>91</v>
      </c>
      <c r="H1028">
        <v>3.1</v>
      </c>
      <c r="I1028">
        <v>55.04</v>
      </c>
      <c r="J1028">
        <v>170.62</v>
      </c>
      <c r="K1028" t="s">
        <v>36</v>
      </c>
      <c r="L1028" t="b">
        <v>0</v>
      </c>
    </row>
    <row r="1029" spans="1:13" ht="34" x14ac:dyDescent="0.2">
      <c r="A1029" t="s">
        <v>1425</v>
      </c>
      <c r="B1029" t="s">
        <v>517</v>
      </c>
      <c r="C1029" t="s">
        <v>22</v>
      </c>
      <c r="D1029" s="1">
        <v>45435</v>
      </c>
      <c r="E1029" s="6" t="s">
        <v>78</v>
      </c>
      <c r="F1029" t="s">
        <v>24</v>
      </c>
      <c r="G1029" s="3" t="s">
        <v>25</v>
      </c>
      <c r="H1029">
        <v>2.2000000000000002</v>
      </c>
      <c r="I1029">
        <v>80.34</v>
      </c>
      <c r="J1029">
        <v>176.74</v>
      </c>
      <c r="K1029" t="s">
        <v>82</v>
      </c>
      <c r="L1029" t="b">
        <v>0</v>
      </c>
    </row>
    <row r="1030" spans="1:13" ht="34" x14ac:dyDescent="0.2">
      <c r="A1030" t="s">
        <v>1426</v>
      </c>
      <c r="B1030" t="s">
        <v>364</v>
      </c>
      <c r="C1030" t="s">
        <v>266</v>
      </c>
      <c r="D1030" s="1">
        <v>45266</v>
      </c>
      <c r="E1030" s="6" t="s">
        <v>44</v>
      </c>
      <c r="F1030" t="s">
        <v>54</v>
      </c>
      <c r="G1030" s="3" t="s">
        <v>55</v>
      </c>
      <c r="H1030">
        <v>19.600000000000001</v>
      </c>
      <c r="I1030">
        <v>69.66</v>
      </c>
      <c r="J1030">
        <v>1365.34</v>
      </c>
      <c r="K1030" t="s">
        <v>96</v>
      </c>
      <c r="L1030" t="b">
        <v>1</v>
      </c>
      <c r="M1030" s="3" t="s">
        <v>79</v>
      </c>
    </row>
    <row r="1031" spans="1:13" ht="34" x14ac:dyDescent="0.2">
      <c r="A1031" t="s">
        <v>1427</v>
      </c>
      <c r="B1031" t="s">
        <v>462</v>
      </c>
      <c r="C1031" t="s">
        <v>365</v>
      </c>
      <c r="D1031" s="1">
        <v>45539</v>
      </c>
      <c r="E1031" s="6" t="s">
        <v>78</v>
      </c>
      <c r="F1031" t="s">
        <v>54</v>
      </c>
      <c r="G1031" s="3" t="s">
        <v>55</v>
      </c>
      <c r="H1031">
        <v>6.1</v>
      </c>
      <c r="I1031">
        <v>46.32</v>
      </c>
      <c r="J1031">
        <v>282.57</v>
      </c>
      <c r="K1031" t="s">
        <v>92</v>
      </c>
      <c r="L1031" t="b">
        <v>0</v>
      </c>
    </row>
    <row r="1032" spans="1:13" ht="17" x14ac:dyDescent="0.2">
      <c r="A1032" t="s">
        <v>1428</v>
      </c>
      <c r="B1032" t="s">
        <v>630</v>
      </c>
      <c r="C1032" t="s">
        <v>172</v>
      </c>
      <c r="D1032" s="1">
        <v>45306</v>
      </c>
      <c r="E1032" s="6" t="s">
        <v>78</v>
      </c>
      <c r="F1032" t="s">
        <v>30</v>
      </c>
      <c r="G1032" s="3" t="s">
        <v>31</v>
      </c>
      <c r="H1032">
        <v>8</v>
      </c>
      <c r="I1032">
        <v>83.72</v>
      </c>
      <c r="J1032">
        <v>669.72</v>
      </c>
      <c r="K1032" t="s">
        <v>32</v>
      </c>
      <c r="L1032" t="b">
        <v>0</v>
      </c>
    </row>
    <row r="1033" spans="1:13" ht="34" x14ac:dyDescent="0.2">
      <c r="A1033" t="s">
        <v>1429</v>
      </c>
      <c r="B1033" t="s">
        <v>345</v>
      </c>
      <c r="C1033" t="s">
        <v>186</v>
      </c>
      <c r="D1033" s="1">
        <v>45173</v>
      </c>
      <c r="E1033" s="6" t="s">
        <v>44</v>
      </c>
      <c r="F1033" t="s">
        <v>24</v>
      </c>
      <c r="G1033" s="3" t="s">
        <v>25</v>
      </c>
      <c r="H1033">
        <v>5.8</v>
      </c>
      <c r="I1033">
        <v>77.72</v>
      </c>
      <c r="J1033">
        <v>450.78</v>
      </c>
      <c r="K1033" t="s">
        <v>19</v>
      </c>
      <c r="L1033" t="b">
        <v>0</v>
      </c>
    </row>
    <row r="1034" spans="1:13" ht="34" x14ac:dyDescent="0.2">
      <c r="A1034" t="s">
        <v>1430</v>
      </c>
      <c r="B1034" t="s">
        <v>855</v>
      </c>
      <c r="C1034" t="s">
        <v>183</v>
      </c>
      <c r="D1034" s="1">
        <v>45034</v>
      </c>
      <c r="E1034" s="6" t="s">
        <v>60</v>
      </c>
      <c r="F1034" t="s">
        <v>45</v>
      </c>
      <c r="G1034" s="3" t="s">
        <v>46</v>
      </c>
      <c r="H1034">
        <v>3.4</v>
      </c>
      <c r="I1034">
        <v>45.51</v>
      </c>
      <c r="J1034">
        <v>154.72</v>
      </c>
      <c r="K1034" t="s">
        <v>82</v>
      </c>
      <c r="L1034" t="b">
        <v>0</v>
      </c>
    </row>
    <row r="1035" spans="1:13" ht="68" x14ac:dyDescent="0.2">
      <c r="A1035" t="s">
        <v>1431</v>
      </c>
      <c r="B1035" t="s">
        <v>1142</v>
      </c>
      <c r="C1035" t="s">
        <v>15</v>
      </c>
      <c r="D1035" s="1">
        <v>45041</v>
      </c>
      <c r="E1035" s="6" t="s">
        <v>16</v>
      </c>
      <c r="F1035" t="s">
        <v>50</v>
      </c>
      <c r="G1035" s="3" t="s">
        <v>51</v>
      </c>
      <c r="H1035">
        <v>2.5</v>
      </c>
      <c r="I1035">
        <v>47.93</v>
      </c>
      <c r="J1035">
        <v>119.83</v>
      </c>
      <c r="K1035" t="s">
        <v>113</v>
      </c>
      <c r="L1035" t="b">
        <v>0</v>
      </c>
    </row>
    <row r="1036" spans="1:13" ht="17" x14ac:dyDescent="0.2">
      <c r="A1036" t="s">
        <v>1432</v>
      </c>
      <c r="B1036" t="s">
        <v>738</v>
      </c>
      <c r="C1036" t="s">
        <v>194</v>
      </c>
      <c r="D1036" s="1">
        <v>45655</v>
      </c>
      <c r="E1036" s="6" t="s">
        <v>60</v>
      </c>
      <c r="F1036" t="s">
        <v>30</v>
      </c>
      <c r="G1036" s="3" t="s">
        <v>31</v>
      </c>
      <c r="H1036">
        <v>4.5</v>
      </c>
      <c r="I1036">
        <v>59.37</v>
      </c>
      <c r="J1036">
        <v>267.18</v>
      </c>
      <c r="K1036" t="s">
        <v>96</v>
      </c>
      <c r="L1036" t="b">
        <v>0</v>
      </c>
    </row>
    <row r="1037" spans="1:13" ht="34" x14ac:dyDescent="0.2">
      <c r="A1037" t="s">
        <v>1433</v>
      </c>
      <c r="B1037" t="s">
        <v>70</v>
      </c>
      <c r="C1037" t="s">
        <v>256</v>
      </c>
      <c r="D1037" s="1">
        <v>45197</v>
      </c>
      <c r="E1037" s="6" t="s">
        <v>89</v>
      </c>
      <c r="F1037" t="s">
        <v>45</v>
      </c>
      <c r="G1037" s="3" t="s">
        <v>46</v>
      </c>
      <c r="H1037">
        <v>7.5</v>
      </c>
      <c r="I1037">
        <v>44.76</v>
      </c>
      <c r="J1037">
        <v>335.68</v>
      </c>
      <c r="K1037" t="s">
        <v>26</v>
      </c>
      <c r="L1037" t="b">
        <v>0</v>
      </c>
    </row>
    <row r="1038" spans="1:13" ht="68" x14ac:dyDescent="0.2">
      <c r="A1038" t="s">
        <v>1434</v>
      </c>
      <c r="B1038" t="s">
        <v>456</v>
      </c>
      <c r="C1038" t="s">
        <v>49</v>
      </c>
      <c r="D1038" s="1">
        <v>45388</v>
      </c>
      <c r="E1038" s="6" t="s">
        <v>89</v>
      </c>
      <c r="F1038" t="s">
        <v>50</v>
      </c>
      <c r="G1038" s="3" t="s">
        <v>51</v>
      </c>
      <c r="H1038">
        <v>3.2</v>
      </c>
      <c r="I1038">
        <v>33.31</v>
      </c>
      <c r="J1038">
        <v>106.61</v>
      </c>
      <c r="K1038" t="s">
        <v>92</v>
      </c>
      <c r="L1038" t="b">
        <v>0</v>
      </c>
    </row>
    <row r="1039" spans="1:13" ht="17" x14ac:dyDescent="0.2">
      <c r="A1039" t="s">
        <v>1435</v>
      </c>
      <c r="B1039" t="s">
        <v>504</v>
      </c>
      <c r="C1039" t="s">
        <v>159</v>
      </c>
      <c r="D1039" s="1">
        <v>45112</v>
      </c>
      <c r="E1039" s="6" t="s">
        <v>16</v>
      </c>
      <c r="F1039" t="s">
        <v>30</v>
      </c>
      <c r="G1039" s="3" t="s">
        <v>31</v>
      </c>
      <c r="H1039">
        <v>7.2</v>
      </c>
      <c r="I1039">
        <v>43.54</v>
      </c>
      <c r="J1039">
        <v>313.49</v>
      </c>
      <c r="K1039" t="s">
        <v>105</v>
      </c>
      <c r="L1039" t="b">
        <v>0</v>
      </c>
    </row>
    <row r="1040" spans="1:13" ht="68" x14ac:dyDescent="0.2">
      <c r="A1040" t="s">
        <v>1436</v>
      </c>
      <c r="B1040" t="s">
        <v>664</v>
      </c>
      <c r="C1040" t="s">
        <v>175</v>
      </c>
      <c r="D1040" s="1">
        <v>45439</v>
      </c>
      <c r="E1040" s="6" t="s">
        <v>23</v>
      </c>
      <c r="F1040" t="s">
        <v>50</v>
      </c>
      <c r="G1040" s="3" t="s">
        <v>51</v>
      </c>
      <c r="H1040">
        <v>4.5999999999999996</v>
      </c>
      <c r="I1040">
        <v>79.540000000000006</v>
      </c>
      <c r="J1040">
        <v>365.88</v>
      </c>
      <c r="K1040" t="s">
        <v>19</v>
      </c>
      <c r="L1040" t="b">
        <v>0</v>
      </c>
    </row>
    <row r="1041" spans="1:13" ht="68" x14ac:dyDescent="0.2">
      <c r="A1041" t="s">
        <v>1437</v>
      </c>
      <c r="B1041" t="s">
        <v>317</v>
      </c>
      <c r="C1041" t="s">
        <v>138</v>
      </c>
      <c r="D1041" s="1">
        <v>45592</v>
      </c>
      <c r="E1041" s="6" t="s">
        <v>16</v>
      </c>
      <c r="F1041" t="s">
        <v>50</v>
      </c>
      <c r="G1041" s="3" t="s">
        <v>51</v>
      </c>
      <c r="H1041">
        <v>3.9</v>
      </c>
      <c r="I1041">
        <v>58.44</v>
      </c>
      <c r="J1041">
        <v>227.92</v>
      </c>
      <c r="K1041" t="s">
        <v>113</v>
      </c>
      <c r="L1041" t="b">
        <v>0</v>
      </c>
    </row>
    <row r="1042" spans="1:13" ht="34" x14ac:dyDescent="0.2">
      <c r="A1042" t="s">
        <v>1438</v>
      </c>
      <c r="B1042" t="s">
        <v>1167</v>
      </c>
      <c r="C1042" t="s">
        <v>68</v>
      </c>
      <c r="D1042" s="1">
        <v>45401</v>
      </c>
      <c r="E1042" s="6" t="s">
        <v>23</v>
      </c>
      <c r="F1042" t="s">
        <v>90</v>
      </c>
      <c r="G1042" s="3" t="s">
        <v>91</v>
      </c>
      <c r="H1042">
        <v>3.1</v>
      </c>
      <c r="I1042">
        <v>75.37</v>
      </c>
      <c r="J1042">
        <v>233.65</v>
      </c>
      <c r="K1042" t="s">
        <v>96</v>
      </c>
      <c r="L1042" t="b">
        <v>0</v>
      </c>
    </row>
    <row r="1043" spans="1:13" ht="34" x14ac:dyDescent="0.2">
      <c r="A1043" t="s">
        <v>1439</v>
      </c>
      <c r="B1043" t="s">
        <v>721</v>
      </c>
      <c r="C1043" t="s">
        <v>15</v>
      </c>
      <c r="D1043" s="1">
        <v>45212</v>
      </c>
      <c r="E1043" s="6" t="s">
        <v>60</v>
      </c>
      <c r="F1043" t="s">
        <v>24</v>
      </c>
      <c r="G1043" s="3" t="s">
        <v>25</v>
      </c>
      <c r="H1043">
        <v>22.2</v>
      </c>
      <c r="I1043">
        <v>77.81</v>
      </c>
      <c r="J1043">
        <v>1727.38</v>
      </c>
      <c r="K1043" t="s">
        <v>32</v>
      </c>
      <c r="L1043" t="b">
        <v>1</v>
      </c>
      <c r="M1043" s="3" t="s">
        <v>79</v>
      </c>
    </row>
    <row r="1044" spans="1:13" ht="34" x14ac:dyDescent="0.2">
      <c r="A1044" t="s">
        <v>1440</v>
      </c>
      <c r="B1044" t="s">
        <v>21</v>
      </c>
      <c r="C1044" t="s">
        <v>353</v>
      </c>
      <c r="D1044" s="1">
        <v>45291</v>
      </c>
      <c r="E1044" s="6" t="s">
        <v>16</v>
      </c>
      <c r="F1044" t="s">
        <v>61</v>
      </c>
      <c r="G1044" s="3" t="s">
        <v>62</v>
      </c>
      <c r="H1044">
        <v>3.8</v>
      </c>
      <c r="I1044">
        <v>69.739999999999995</v>
      </c>
      <c r="J1044">
        <v>265</v>
      </c>
      <c r="K1044" t="s">
        <v>26</v>
      </c>
      <c r="L1044" t="b">
        <v>0</v>
      </c>
    </row>
    <row r="1045" spans="1:13" ht="34" x14ac:dyDescent="0.2">
      <c r="A1045" t="s">
        <v>1441</v>
      </c>
      <c r="B1045" t="s">
        <v>198</v>
      </c>
      <c r="C1045" t="s">
        <v>35</v>
      </c>
      <c r="D1045" s="1">
        <v>45046</v>
      </c>
      <c r="E1045" s="6" t="s">
        <v>23</v>
      </c>
      <c r="F1045" t="s">
        <v>45</v>
      </c>
      <c r="G1045" s="3" t="s">
        <v>46</v>
      </c>
      <c r="H1045">
        <v>2.9</v>
      </c>
      <c r="I1045">
        <v>36.28</v>
      </c>
      <c r="J1045">
        <v>105.2</v>
      </c>
      <c r="K1045" t="s">
        <v>82</v>
      </c>
      <c r="L1045" t="b">
        <v>0</v>
      </c>
    </row>
    <row r="1046" spans="1:13" ht="68" x14ac:dyDescent="0.2">
      <c r="A1046" t="s">
        <v>1442</v>
      </c>
      <c r="B1046" t="s">
        <v>112</v>
      </c>
      <c r="C1046" t="s">
        <v>133</v>
      </c>
      <c r="D1046" s="1">
        <v>45354</v>
      </c>
      <c r="E1046" s="6" t="s">
        <v>89</v>
      </c>
      <c r="F1046" t="s">
        <v>50</v>
      </c>
      <c r="G1046" s="3" t="s">
        <v>51</v>
      </c>
      <c r="H1046">
        <v>2.2000000000000002</v>
      </c>
      <c r="I1046">
        <v>84.16</v>
      </c>
      <c r="J1046">
        <v>185.15</v>
      </c>
      <c r="K1046" t="s">
        <v>113</v>
      </c>
      <c r="L1046" t="b">
        <v>0</v>
      </c>
    </row>
    <row r="1047" spans="1:13" ht="34" x14ac:dyDescent="0.2">
      <c r="A1047" t="s">
        <v>1443</v>
      </c>
      <c r="B1047" t="s">
        <v>376</v>
      </c>
      <c r="C1047" t="s">
        <v>293</v>
      </c>
      <c r="D1047" s="1">
        <v>45528</v>
      </c>
      <c r="E1047" s="6" t="s">
        <v>89</v>
      </c>
      <c r="F1047" t="s">
        <v>45</v>
      </c>
      <c r="G1047" s="3" t="s">
        <v>46</v>
      </c>
      <c r="H1047">
        <v>5.6</v>
      </c>
      <c r="I1047">
        <v>61.74</v>
      </c>
      <c r="J1047">
        <v>345.75</v>
      </c>
      <c r="K1047" t="s">
        <v>105</v>
      </c>
      <c r="L1047" t="b">
        <v>0</v>
      </c>
    </row>
    <row r="1048" spans="1:13" ht="17" x14ac:dyDescent="0.2">
      <c r="A1048" t="s">
        <v>1444</v>
      </c>
      <c r="B1048" t="s">
        <v>261</v>
      </c>
      <c r="C1048" t="s">
        <v>65</v>
      </c>
      <c r="D1048" s="1">
        <v>45532</v>
      </c>
      <c r="E1048" s="6" t="s">
        <v>44</v>
      </c>
      <c r="F1048" t="s">
        <v>30</v>
      </c>
      <c r="G1048" s="3" t="s">
        <v>31</v>
      </c>
      <c r="H1048">
        <v>3.4</v>
      </c>
      <c r="I1048">
        <v>26.57</v>
      </c>
      <c r="J1048">
        <v>90.32</v>
      </c>
      <c r="K1048" t="s">
        <v>96</v>
      </c>
      <c r="L1048" t="b">
        <v>0</v>
      </c>
    </row>
    <row r="1049" spans="1:13" ht="34" x14ac:dyDescent="0.2">
      <c r="A1049" t="s">
        <v>1445</v>
      </c>
      <c r="B1049" t="s">
        <v>534</v>
      </c>
      <c r="C1049" t="s">
        <v>119</v>
      </c>
      <c r="D1049" s="1">
        <v>45153</v>
      </c>
      <c r="E1049" s="6" t="s">
        <v>60</v>
      </c>
      <c r="F1049" t="s">
        <v>17</v>
      </c>
      <c r="G1049" s="3" t="s">
        <v>18</v>
      </c>
      <c r="H1049">
        <v>2.8</v>
      </c>
      <c r="I1049">
        <v>75.77</v>
      </c>
      <c r="J1049">
        <v>212.15</v>
      </c>
      <c r="K1049" t="s">
        <v>32</v>
      </c>
      <c r="L1049" t="b">
        <v>1</v>
      </c>
      <c r="M1049" s="3" t="s">
        <v>102</v>
      </c>
    </row>
    <row r="1050" spans="1:13" ht="34" x14ac:dyDescent="0.2">
      <c r="A1050" t="s">
        <v>1446</v>
      </c>
      <c r="B1050" t="s">
        <v>580</v>
      </c>
      <c r="C1050" t="s">
        <v>59</v>
      </c>
      <c r="D1050" s="1">
        <v>45497</v>
      </c>
      <c r="E1050" s="6" t="s">
        <v>60</v>
      </c>
      <c r="F1050" t="s">
        <v>54</v>
      </c>
      <c r="G1050" s="3" t="s">
        <v>55</v>
      </c>
      <c r="H1050">
        <v>3.1</v>
      </c>
      <c r="I1050">
        <v>48.25</v>
      </c>
      <c r="J1050">
        <v>149.57</v>
      </c>
      <c r="K1050" t="s">
        <v>82</v>
      </c>
      <c r="L1050" t="b">
        <v>0</v>
      </c>
    </row>
    <row r="1051" spans="1:13" ht="68" x14ac:dyDescent="0.2">
      <c r="A1051" t="s">
        <v>1447</v>
      </c>
      <c r="B1051" t="s">
        <v>595</v>
      </c>
      <c r="C1051" t="s">
        <v>43</v>
      </c>
      <c r="D1051" s="1">
        <v>45650</v>
      </c>
      <c r="E1051" s="6" t="s">
        <v>60</v>
      </c>
      <c r="F1051" t="s">
        <v>50</v>
      </c>
      <c r="G1051" s="3" t="s">
        <v>51</v>
      </c>
      <c r="H1051">
        <v>3</v>
      </c>
      <c r="I1051">
        <v>38.58</v>
      </c>
      <c r="J1051">
        <v>115.73</v>
      </c>
      <c r="K1051" t="s">
        <v>36</v>
      </c>
      <c r="L1051" t="b">
        <v>0</v>
      </c>
    </row>
    <row r="1052" spans="1:13" ht="34" x14ac:dyDescent="0.2">
      <c r="A1052" t="s">
        <v>1448</v>
      </c>
      <c r="B1052" t="s">
        <v>388</v>
      </c>
      <c r="C1052" t="s">
        <v>156</v>
      </c>
      <c r="D1052" s="1">
        <v>45642</v>
      </c>
      <c r="E1052" s="6" t="s">
        <v>23</v>
      </c>
      <c r="F1052" t="s">
        <v>24</v>
      </c>
      <c r="G1052" s="3" t="s">
        <v>25</v>
      </c>
      <c r="H1052">
        <v>7.6</v>
      </c>
      <c r="I1052">
        <v>82.01</v>
      </c>
      <c r="J1052">
        <v>623.29</v>
      </c>
      <c r="K1052" t="s">
        <v>56</v>
      </c>
      <c r="L1052" t="b">
        <v>0</v>
      </c>
    </row>
    <row r="1053" spans="1:13" ht="34" x14ac:dyDescent="0.2">
      <c r="A1053" t="s">
        <v>1449</v>
      </c>
      <c r="B1053" t="s">
        <v>460</v>
      </c>
      <c r="C1053" t="s">
        <v>353</v>
      </c>
      <c r="D1053" s="1">
        <v>38383</v>
      </c>
      <c r="E1053" s="6" t="s">
        <v>60</v>
      </c>
      <c r="F1053" t="s">
        <v>30</v>
      </c>
      <c r="G1053" s="3" t="s">
        <v>31</v>
      </c>
      <c r="H1053">
        <v>6.5</v>
      </c>
      <c r="I1053">
        <v>28.97</v>
      </c>
      <c r="J1053">
        <v>188.29</v>
      </c>
      <c r="K1053" t="s">
        <v>92</v>
      </c>
      <c r="L1053" t="b">
        <v>1</v>
      </c>
      <c r="M1053" s="3" t="s">
        <v>99</v>
      </c>
    </row>
    <row r="1054" spans="1:13" ht="34" x14ac:dyDescent="0.2">
      <c r="A1054" t="s">
        <v>1450</v>
      </c>
      <c r="B1054" t="s">
        <v>329</v>
      </c>
      <c r="C1054" t="s">
        <v>172</v>
      </c>
      <c r="D1054" s="1">
        <v>45274</v>
      </c>
      <c r="E1054" s="6" t="s">
        <v>23</v>
      </c>
      <c r="F1054" t="s">
        <v>17</v>
      </c>
      <c r="G1054" s="3" t="s">
        <v>18</v>
      </c>
      <c r="H1054">
        <v>6.5</v>
      </c>
      <c r="I1054">
        <v>77.010000000000005</v>
      </c>
      <c r="J1054">
        <v>500</v>
      </c>
      <c r="K1054" t="s">
        <v>26</v>
      </c>
      <c r="L1054" t="b">
        <v>1</v>
      </c>
      <c r="M1054" s="3" t="s">
        <v>40</v>
      </c>
    </row>
    <row r="1055" spans="1:13" ht="34" x14ac:dyDescent="0.2">
      <c r="A1055" t="s">
        <v>1451</v>
      </c>
      <c r="B1055" t="s">
        <v>980</v>
      </c>
      <c r="C1055" t="s">
        <v>153</v>
      </c>
      <c r="D1055" s="1">
        <v>45528</v>
      </c>
      <c r="E1055" s="6" t="s">
        <v>16</v>
      </c>
      <c r="F1055" t="s">
        <v>61</v>
      </c>
      <c r="G1055" s="3" t="s">
        <v>62</v>
      </c>
      <c r="H1055">
        <v>45.4</v>
      </c>
      <c r="I1055">
        <v>27.51</v>
      </c>
      <c r="J1055">
        <v>1250</v>
      </c>
      <c r="K1055" t="s">
        <v>113</v>
      </c>
      <c r="L1055" t="b">
        <v>1</v>
      </c>
      <c r="M1055" s="3" t="s">
        <v>40</v>
      </c>
    </row>
    <row r="1056" spans="1:13" ht="34" x14ac:dyDescent="0.2">
      <c r="A1056" t="s">
        <v>1452</v>
      </c>
      <c r="B1056" t="s">
        <v>630</v>
      </c>
      <c r="C1056" t="s">
        <v>266</v>
      </c>
      <c r="D1056" s="1">
        <v>45117</v>
      </c>
      <c r="E1056" s="6" t="s">
        <v>16</v>
      </c>
      <c r="F1056" t="s">
        <v>61</v>
      </c>
      <c r="G1056" s="3" t="s">
        <v>62</v>
      </c>
      <c r="H1056">
        <v>22.3</v>
      </c>
      <c r="I1056">
        <v>48.65</v>
      </c>
      <c r="J1056">
        <v>1084.9000000000001</v>
      </c>
      <c r="K1056" t="s">
        <v>32</v>
      </c>
      <c r="L1056" t="b">
        <v>1</v>
      </c>
      <c r="M1056" s="3" t="s">
        <v>79</v>
      </c>
    </row>
    <row r="1057" spans="1:13" ht="34" x14ac:dyDescent="0.2">
      <c r="A1057" t="s">
        <v>1453</v>
      </c>
      <c r="B1057" t="s">
        <v>1454</v>
      </c>
      <c r="C1057" t="s">
        <v>85</v>
      </c>
      <c r="D1057" s="1">
        <v>45605</v>
      </c>
      <c r="E1057" s="6" t="s">
        <v>44</v>
      </c>
      <c r="F1057" t="s">
        <v>24</v>
      </c>
      <c r="G1057" s="3" t="s">
        <v>25</v>
      </c>
      <c r="H1057">
        <v>38.4</v>
      </c>
      <c r="I1057">
        <v>52.1</v>
      </c>
      <c r="J1057">
        <v>2000</v>
      </c>
      <c r="K1057" t="s">
        <v>26</v>
      </c>
      <c r="L1057" t="b">
        <v>1</v>
      </c>
      <c r="M1057" s="3" t="s">
        <v>40</v>
      </c>
    </row>
    <row r="1058" spans="1:13" ht="17" x14ac:dyDescent="0.2">
      <c r="A1058" t="s">
        <v>1455</v>
      </c>
      <c r="B1058" t="s">
        <v>115</v>
      </c>
      <c r="C1058" t="s">
        <v>370</v>
      </c>
      <c r="D1058" s="1">
        <v>45252</v>
      </c>
      <c r="E1058" s="6" t="s">
        <v>16</v>
      </c>
      <c r="F1058" t="s">
        <v>30</v>
      </c>
      <c r="G1058" s="3" t="s">
        <v>31</v>
      </c>
      <c r="H1058">
        <v>5.0999999999999996</v>
      </c>
      <c r="I1058">
        <v>48.74</v>
      </c>
      <c r="J1058">
        <v>248.56</v>
      </c>
      <c r="K1058" t="s">
        <v>26</v>
      </c>
      <c r="L1058" t="b">
        <v>0</v>
      </c>
    </row>
    <row r="1059" spans="1:13" ht="34" x14ac:dyDescent="0.2">
      <c r="A1059" t="s">
        <v>1456</v>
      </c>
      <c r="B1059" t="s">
        <v>265</v>
      </c>
      <c r="C1059" t="s">
        <v>68</v>
      </c>
      <c r="D1059" s="1">
        <v>45278</v>
      </c>
      <c r="E1059" s="6" t="s">
        <v>16</v>
      </c>
      <c r="F1059" t="s">
        <v>24</v>
      </c>
      <c r="G1059" s="3" t="s">
        <v>25</v>
      </c>
      <c r="H1059">
        <v>5.3</v>
      </c>
      <c r="I1059">
        <v>55.97</v>
      </c>
      <c r="J1059">
        <v>296.63</v>
      </c>
      <c r="K1059" t="s">
        <v>26</v>
      </c>
      <c r="L1059" t="b">
        <v>0</v>
      </c>
    </row>
    <row r="1060" spans="1:13" ht="34" x14ac:dyDescent="0.2">
      <c r="A1060" t="s">
        <v>1457</v>
      </c>
      <c r="B1060" t="s">
        <v>329</v>
      </c>
      <c r="C1060" t="s">
        <v>153</v>
      </c>
      <c r="D1060" s="1">
        <v>45621</v>
      </c>
      <c r="E1060" s="6" t="s">
        <v>78</v>
      </c>
      <c r="F1060" t="s">
        <v>24</v>
      </c>
      <c r="G1060" s="3" t="s">
        <v>25</v>
      </c>
      <c r="H1060">
        <v>3.1</v>
      </c>
      <c r="I1060">
        <v>51.37</v>
      </c>
      <c r="J1060">
        <v>159.26</v>
      </c>
      <c r="K1060" t="s">
        <v>26</v>
      </c>
      <c r="L1060" t="b">
        <v>0</v>
      </c>
    </row>
    <row r="1061" spans="1:13" ht="34" x14ac:dyDescent="0.2">
      <c r="A1061" t="s">
        <v>1458</v>
      </c>
      <c r="B1061" t="s">
        <v>238</v>
      </c>
      <c r="C1061" t="s">
        <v>370</v>
      </c>
      <c r="D1061" s="1">
        <v>44936</v>
      </c>
      <c r="E1061" s="6" t="s">
        <v>89</v>
      </c>
      <c r="F1061" t="s">
        <v>45</v>
      </c>
      <c r="G1061" s="3" t="s">
        <v>46</v>
      </c>
      <c r="H1061">
        <v>4.8</v>
      </c>
      <c r="I1061">
        <v>50.35</v>
      </c>
      <c r="J1061">
        <v>241.67</v>
      </c>
      <c r="K1061" t="s">
        <v>105</v>
      </c>
      <c r="L1061" t="b">
        <v>0</v>
      </c>
    </row>
    <row r="1062" spans="1:13" ht="34" x14ac:dyDescent="0.2">
      <c r="A1062" t="s">
        <v>1459</v>
      </c>
      <c r="B1062" t="s">
        <v>975</v>
      </c>
      <c r="C1062" t="s">
        <v>350</v>
      </c>
      <c r="D1062" s="1">
        <v>44988</v>
      </c>
      <c r="E1062" s="6" t="s">
        <v>60</v>
      </c>
      <c r="F1062" t="s">
        <v>24</v>
      </c>
      <c r="G1062" s="3" t="s">
        <v>25</v>
      </c>
      <c r="H1062">
        <v>6.1</v>
      </c>
      <c r="I1062">
        <v>79.22</v>
      </c>
      <c r="J1062">
        <v>483.25</v>
      </c>
      <c r="K1062" t="s">
        <v>19</v>
      </c>
      <c r="L1062" t="b">
        <v>0</v>
      </c>
    </row>
    <row r="1063" spans="1:13" ht="17" x14ac:dyDescent="0.2">
      <c r="A1063" t="s">
        <v>1460</v>
      </c>
      <c r="B1063" t="s">
        <v>1461</v>
      </c>
      <c r="C1063" t="s">
        <v>194</v>
      </c>
      <c r="D1063" s="1">
        <v>45563</v>
      </c>
      <c r="E1063" s="6" t="s">
        <v>23</v>
      </c>
      <c r="F1063" t="s">
        <v>17</v>
      </c>
      <c r="G1063" s="3" t="s">
        <v>18</v>
      </c>
      <c r="H1063">
        <v>2.5</v>
      </c>
      <c r="I1063">
        <v>55.04</v>
      </c>
      <c r="J1063">
        <v>137.6</v>
      </c>
      <c r="K1063" t="s">
        <v>113</v>
      </c>
      <c r="L1063" t="b">
        <v>0</v>
      </c>
    </row>
    <row r="1064" spans="1:13" ht="68" x14ac:dyDescent="0.2">
      <c r="A1064" t="s">
        <v>1462</v>
      </c>
      <c r="B1064" t="s">
        <v>460</v>
      </c>
      <c r="C1064" t="s">
        <v>183</v>
      </c>
      <c r="D1064" s="1">
        <v>45077</v>
      </c>
      <c r="E1064" s="6" t="s">
        <v>44</v>
      </c>
      <c r="F1064" t="s">
        <v>50</v>
      </c>
      <c r="G1064" s="3" t="s">
        <v>51</v>
      </c>
      <c r="H1064">
        <v>4.4000000000000004</v>
      </c>
      <c r="I1064">
        <v>44.41</v>
      </c>
      <c r="J1064">
        <v>195.39</v>
      </c>
      <c r="K1064" t="s">
        <v>26</v>
      </c>
      <c r="L1064" t="b">
        <v>0</v>
      </c>
    </row>
    <row r="1065" spans="1:13" ht="68" x14ac:dyDescent="0.2">
      <c r="A1065" t="s">
        <v>1463</v>
      </c>
      <c r="B1065" t="s">
        <v>546</v>
      </c>
      <c r="C1065" t="s">
        <v>380</v>
      </c>
      <c r="D1065" s="1">
        <v>45642</v>
      </c>
      <c r="E1065" s="6" t="s">
        <v>23</v>
      </c>
      <c r="F1065" t="s">
        <v>50</v>
      </c>
      <c r="G1065" s="3" t="s">
        <v>51</v>
      </c>
      <c r="H1065">
        <v>4.7</v>
      </c>
      <c r="I1065">
        <v>78.8</v>
      </c>
      <c r="J1065">
        <v>370.35</v>
      </c>
      <c r="K1065" t="s">
        <v>105</v>
      </c>
      <c r="L1065" t="b">
        <v>0</v>
      </c>
    </row>
    <row r="1066" spans="1:13" ht="17" x14ac:dyDescent="0.2">
      <c r="A1066" t="s">
        <v>1464</v>
      </c>
      <c r="B1066" t="s">
        <v>302</v>
      </c>
      <c r="C1066" t="s">
        <v>122</v>
      </c>
      <c r="D1066" s="1">
        <v>45560</v>
      </c>
      <c r="E1066" s="6" t="s">
        <v>16</v>
      </c>
      <c r="F1066" t="s">
        <v>17</v>
      </c>
      <c r="G1066" s="3" t="s">
        <v>18</v>
      </c>
      <c r="H1066">
        <v>2.5</v>
      </c>
      <c r="I1066">
        <v>44.44</v>
      </c>
      <c r="J1066">
        <v>111.11</v>
      </c>
      <c r="K1066" t="s">
        <v>96</v>
      </c>
      <c r="L1066" t="b">
        <v>0</v>
      </c>
    </row>
    <row r="1067" spans="1:13" ht="68" x14ac:dyDescent="0.2">
      <c r="A1067" t="s">
        <v>1465</v>
      </c>
      <c r="B1067" t="s">
        <v>635</v>
      </c>
      <c r="C1067" t="s">
        <v>211</v>
      </c>
      <c r="D1067" s="1">
        <v>45390</v>
      </c>
      <c r="E1067" s="6" t="s">
        <v>44</v>
      </c>
      <c r="F1067" t="s">
        <v>50</v>
      </c>
      <c r="G1067" s="3" t="s">
        <v>51</v>
      </c>
      <c r="H1067">
        <v>6.3</v>
      </c>
      <c r="I1067">
        <v>32.409999999999997</v>
      </c>
      <c r="J1067">
        <v>204.2</v>
      </c>
      <c r="K1067" t="s">
        <v>56</v>
      </c>
      <c r="L1067" t="b">
        <v>0</v>
      </c>
    </row>
    <row r="1068" spans="1:13" ht="17" x14ac:dyDescent="0.2">
      <c r="A1068" t="s">
        <v>1466</v>
      </c>
      <c r="B1068" t="s">
        <v>656</v>
      </c>
      <c r="C1068" t="s">
        <v>499</v>
      </c>
      <c r="D1068" s="1">
        <v>44945</v>
      </c>
      <c r="E1068" s="6" t="s">
        <v>16</v>
      </c>
      <c r="F1068" t="s">
        <v>17</v>
      </c>
      <c r="G1068" s="3" t="s">
        <v>18</v>
      </c>
      <c r="H1068">
        <v>17.899999999999999</v>
      </c>
      <c r="I1068">
        <v>30.12</v>
      </c>
      <c r="J1068">
        <v>539.15</v>
      </c>
      <c r="K1068" t="s">
        <v>56</v>
      </c>
      <c r="L1068" t="b">
        <v>1</v>
      </c>
      <c r="M1068" s="3" t="s">
        <v>79</v>
      </c>
    </row>
    <row r="1069" spans="1:13" ht="34" x14ac:dyDescent="0.2">
      <c r="A1069" t="s">
        <v>1467</v>
      </c>
      <c r="B1069" t="s">
        <v>975</v>
      </c>
      <c r="C1069" t="s">
        <v>280</v>
      </c>
      <c r="D1069" s="1">
        <v>45507</v>
      </c>
      <c r="E1069" s="6" t="s">
        <v>89</v>
      </c>
      <c r="F1069" t="s">
        <v>61</v>
      </c>
      <c r="G1069" s="3" t="s">
        <v>62</v>
      </c>
      <c r="H1069">
        <v>6.4</v>
      </c>
      <c r="I1069">
        <v>83.51</v>
      </c>
      <c r="J1069">
        <v>534.47</v>
      </c>
      <c r="K1069" t="s">
        <v>19</v>
      </c>
      <c r="L1069" t="b">
        <v>0</v>
      </c>
    </row>
    <row r="1070" spans="1:13" ht="68" x14ac:dyDescent="0.2">
      <c r="A1070" t="s">
        <v>1468</v>
      </c>
      <c r="B1070" t="s">
        <v>884</v>
      </c>
      <c r="C1070" t="s">
        <v>189</v>
      </c>
      <c r="D1070" s="1">
        <v>45394</v>
      </c>
      <c r="E1070" s="6" t="s">
        <v>23</v>
      </c>
      <c r="F1070" t="s">
        <v>50</v>
      </c>
      <c r="G1070" s="3" t="s">
        <v>51</v>
      </c>
      <c r="H1070">
        <v>4.3</v>
      </c>
      <c r="I1070">
        <v>47.84</v>
      </c>
      <c r="J1070">
        <v>205.7</v>
      </c>
      <c r="K1070" t="s">
        <v>96</v>
      </c>
      <c r="L1070" t="b">
        <v>0</v>
      </c>
    </row>
    <row r="1071" spans="1:13" ht="34" x14ac:dyDescent="0.2">
      <c r="A1071" t="s">
        <v>1469</v>
      </c>
      <c r="B1071" t="s">
        <v>336</v>
      </c>
      <c r="C1071" t="s">
        <v>29</v>
      </c>
      <c r="D1071" s="1">
        <v>44962</v>
      </c>
      <c r="E1071" s="6" t="s">
        <v>23</v>
      </c>
      <c r="F1071" t="s">
        <v>54</v>
      </c>
      <c r="G1071" s="3" t="s">
        <v>55</v>
      </c>
      <c r="H1071">
        <v>5.4</v>
      </c>
      <c r="I1071">
        <v>64.569999999999993</v>
      </c>
      <c r="J1071">
        <v>348.69</v>
      </c>
      <c r="K1071" t="s">
        <v>56</v>
      </c>
      <c r="L1071" t="b">
        <v>0</v>
      </c>
    </row>
    <row r="1072" spans="1:13" ht="68" x14ac:dyDescent="0.2">
      <c r="A1072" t="s">
        <v>1470</v>
      </c>
      <c r="B1072" t="s">
        <v>736</v>
      </c>
      <c r="C1072" t="s">
        <v>191</v>
      </c>
      <c r="D1072" s="1">
        <v>45057</v>
      </c>
      <c r="E1072" s="6" t="s">
        <v>16</v>
      </c>
      <c r="F1072" t="s">
        <v>50</v>
      </c>
      <c r="G1072" s="3" t="s">
        <v>51</v>
      </c>
      <c r="H1072">
        <v>7.2</v>
      </c>
      <c r="I1072">
        <v>35.729999999999997</v>
      </c>
      <c r="J1072">
        <v>257.27</v>
      </c>
      <c r="K1072" t="s">
        <v>96</v>
      </c>
      <c r="L1072" t="b">
        <v>0</v>
      </c>
    </row>
    <row r="1073" spans="1:13" ht="34" x14ac:dyDescent="0.2">
      <c r="A1073" t="s">
        <v>1471</v>
      </c>
      <c r="B1073" t="s">
        <v>396</v>
      </c>
      <c r="C1073" t="s">
        <v>280</v>
      </c>
      <c r="D1073" s="1">
        <v>44971</v>
      </c>
      <c r="E1073" s="6" t="s">
        <v>60</v>
      </c>
      <c r="F1073" t="s">
        <v>24</v>
      </c>
      <c r="G1073" s="3" t="s">
        <v>25</v>
      </c>
      <c r="H1073">
        <v>4.5</v>
      </c>
      <c r="I1073">
        <v>43.57</v>
      </c>
      <c r="J1073">
        <v>196.07</v>
      </c>
      <c r="K1073" t="s">
        <v>92</v>
      </c>
      <c r="L1073" t="b">
        <v>0</v>
      </c>
    </row>
    <row r="1074" spans="1:13" ht="34" x14ac:dyDescent="0.2">
      <c r="A1074" t="s">
        <v>1472</v>
      </c>
      <c r="B1074" t="s">
        <v>970</v>
      </c>
      <c r="C1074" t="s">
        <v>110</v>
      </c>
      <c r="D1074" s="1">
        <v>45464</v>
      </c>
      <c r="E1074" s="6" t="s">
        <v>23</v>
      </c>
      <c r="F1074" t="s">
        <v>45</v>
      </c>
      <c r="G1074" s="3" t="s">
        <v>46</v>
      </c>
      <c r="H1074">
        <v>78</v>
      </c>
      <c r="I1074">
        <v>32.049999999999997</v>
      </c>
      <c r="J1074">
        <v>2500</v>
      </c>
      <c r="K1074" t="s">
        <v>19</v>
      </c>
      <c r="L1074" t="b">
        <v>1</v>
      </c>
      <c r="M1074" s="3" t="s">
        <v>40</v>
      </c>
    </row>
    <row r="1075" spans="1:13" ht="17" x14ac:dyDescent="0.2">
      <c r="A1075" t="s">
        <v>1473</v>
      </c>
      <c r="B1075" t="s">
        <v>165</v>
      </c>
      <c r="C1075" t="s">
        <v>59</v>
      </c>
      <c r="D1075" s="1">
        <v>45006</v>
      </c>
      <c r="E1075" s="6" t="s">
        <v>44</v>
      </c>
      <c r="F1075" t="s">
        <v>30</v>
      </c>
      <c r="G1075" s="3" t="s">
        <v>31</v>
      </c>
      <c r="H1075">
        <v>2</v>
      </c>
      <c r="I1075">
        <v>70.92</v>
      </c>
      <c r="J1075">
        <v>141.85</v>
      </c>
      <c r="K1075" t="s">
        <v>105</v>
      </c>
      <c r="L1075" t="b">
        <v>0</v>
      </c>
    </row>
    <row r="1076" spans="1:13" ht="17" x14ac:dyDescent="0.2">
      <c r="A1076" t="s">
        <v>1474</v>
      </c>
      <c r="B1076" t="s">
        <v>241</v>
      </c>
      <c r="C1076" t="s">
        <v>353</v>
      </c>
      <c r="D1076" s="1">
        <v>45441</v>
      </c>
      <c r="E1076" s="6" t="s">
        <v>44</v>
      </c>
      <c r="F1076" t="s">
        <v>17</v>
      </c>
      <c r="G1076" s="3" t="s">
        <v>18</v>
      </c>
      <c r="H1076">
        <v>5</v>
      </c>
      <c r="I1076">
        <v>54.92</v>
      </c>
      <c r="J1076">
        <v>274.58999999999997</v>
      </c>
      <c r="K1076" t="s">
        <v>105</v>
      </c>
      <c r="L1076" t="b">
        <v>0</v>
      </c>
    </row>
    <row r="1077" spans="1:13" ht="17" x14ac:dyDescent="0.2">
      <c r="A1077" t="s">
        <v>1475</v>
      </c>
      <c r="B1077" t="s">
        <v>695</v>
      </c>
      <c r="C1077" t="s">
        <v>211</v>
      </c>
      <c r="D1077" s="1">
        <v>45102</v>
      </c>
      <c r="E1077" s="6" t="s">
        <v>60</v>
      </c>
      <c r="F1077" t="s">
        <v>17</v>
      </c>
      <c r="G1077" s="3" t="s">
        <v>18</v>
      </c>
      <c r="H1077">
        <v>3.4</v>
      </c>
      <c r="I1077">
        <v>60.33</v>
      </c>
      <c r="J1077">
        <v>205.13</v>
      </c>
      <c r="K1077" t="s">
        <v>26</v>
      </c>
      <c r="L1077" t="b">
        <v>0</v>
      </c>
    </row>
    <row r="1078" spans="1:13" ht="17" x14ac:dyDescent="0.2">
      <c r="A1078" t="s">
        <v>1476</v>
      </c>
      <c r="B1078" t="s">
        <v>286</v>
      </c>
      <c r="C1078" t="s">
        <v>499</v>
      </c>
      <c r="D1078" s="1">
        <v>45617</v>
      </c>
      <c r="E1078" s="6" t="s">
        <v>89</v>
      </c>
      <c r="F1078" t="s">
        <v>17</v>
      </c>
      <c r="G1078" s="3" t="s">
        <v>18</v>
      </c>
      <c r="H1078">
        <v>4.5</v>
      </c>
      <c r="I1078">
        <v>29.76</v>
      </c>
      <c r="J1078">
        <v>133.94</v>
      </c>
      <c r="K1078" t="s">
        <v>19</v>
      </c>
      <c r="L1078" t="b">
        <v>0</v>
      </c>
    </row>
    <row r="1079" spans="1:13" ht="34" x14ac:dyDescent="0.2">
      <c r="A1079" t="s">
        <v>1477</v>
      </c>
      <c r="B1079" t="s">
        <v>109</v>
      </c>
      <c r="C1079" t="s">
        <v>295</v>
      </c>
      <c r="D1079" s="1">
        <v>45270</v>
      </c>
      <c r="E1079" s="6" t="s">
        <v>89</v>
      </c>
      <c r="F1079" t="s">
        <v>24</v>
      </c>
      <c r="G1079" s="3" t="s">
        <v>25</v>
      </c>
      <c r="H1079">
        <v>3.5</v>
      </c>
      <c r="I1079">
        <v>57.84</v>
      </c>
      <c r="J1079">
        <v>202.44</v>
      </c>
      <c r="K1079" t="s">
        <v>92</v>
      </c>
      <c r="L1079" t="b">
        <v>0</v>
      </c>
    </row>
    <row r="1080" spans="1:13" ht="34" x14ac:dyDescent="0.2">
      <c r="A1080" t="s">
        <v>1478</v>
      </c>
      <c r="B1080" t="s">
        <v>58</v>
      </c>
      <c r="C1080" t="s">
        <v>124</v>
      </c>
      <c r="D1080" s="1">
        <v>45423</v>
      </c>
      <c r="E1080" s="6" t="s">
        <v>16</v>
      </c>
      <c r="F1080" t="s">
        <v>30</v>
      </c>
      <c r="G1080" s="3" t="s">
        <v>31</v>
      </c>
      <c r="H1080">
        <v>2.2999999999999998</v>
      </c>
      <c r="I1080">
        <v>33.9</v>
      </c>
      <c r="J1080">
        <v>77.959999999999994</v>
      </c>
      <c r="K1080" t="s">
        <v>26</v>
      </c>
      <c r="L1080" t="b">
        <v>1</v>
      </c>
      <c r="M1080" s="3" t="s">
        <v>102</v>
      </c>
    </row>
    <row r="1081" spans="1:13" ht="34" x14ac:dyDescent="0.2">
      <c r="A1081" t="s">
        <v>1479</v>
      </c>
      <c r="B1081" t="s">
        <v>1111</v>
      </c>
      <c r="C1081" t="s">
        <v>138</v>
      </c>
      <c r="D1081" s="1">
        <v>45116</v>
      </c>
      <c r="E1081" s="6" t="s">
        <v>16</v>
      </c>
      <c r="F1081" t="s">
        <v>54</v>
      </c>
      <c r="G1081" s="3" t="s">
        <v>55</v>
      </c>
      <c r="H1081">
        <v>2.2000000000000002</v>
      </c>
      <c r="I1081">
        <v>76.23</v>
      </c>
      <c r="J1081">
        <v>167.71</v>
      </c>
      <c r="K1081" t="s">
        <v>36</v>
      </c>
      <c r="L1081" t="b">
        <v>0</v>
      </c>
    </row>
    <row r="1082" spans="1:13" ht="34" x14ac:dyDescent="0.2">
      <c r="A1082" t="s">
        <v>1480</v>
      </c>
      <c r="B1082" t="s">
        <v>895</v>
      </c>
      <c r="C1082" t="s">
        <v>29</v>
      </c>
      <c r="D1082" s="1">
        <v>45079</v>
      </c>
      <c r="E1082" s="6" t="s">
        <v>44</v>
      </c>
      <c r="F1082" t="s">
        <v>45</v>
      </c>
      <c r="G1082" s="3" t="s">
        <v>46</v>
      </c>
      <c r="H1082">
        <v>4</v>
      </c>
      <c r="I1082">
        <v>30.26</v>
      </c>
      <c r="J1082">
        <v>121.05</v>
      </c>
      <c r="K1082" t="s">
        <v>92</v>
      </c>
      <c r="L1082" t="b">
        <v>0</v>
      </c>
    </row>
    <row r="1083" spans="1:13" ht="34" x14ac:dyDescent="0.2">
      <c r="A1083" t="s">
        <v>1481</v>
      </c>
      <c r="B1083" t="s">
        <v>1008</v>
      </c>
      <c r="C1083" t="s">
        <v>127</v>
      </c>
      <c r="D1083" s="1">
        <v>45602</v>
      </c>
      <c r="E1083" s="6" t="s">
        <v>78</v>
      </c>
      <c r="F1083" t="s">
        <v>61</v>
      </c>
      <c r="G1083" s="3" t="s">
        <v>62</v>
      </c>
      <c r="H1083">
        <v>43.3</v>
      </c>
      <c r="I1083">
        <v>34.68</v>
      </c>
      <c r="J1083">
        <v>1500</v>
      </c>
      <c r="K1083" t="s">
        <v>82</v>
      </c>
      <c r="L1083" t="b">
        <v>1</v>
      </c>
      <c r="M1083" s="3" t="s">
        <v>40</v>
      </c>
    </row>
    <row r="1084" spans="1:13" ht="68" x14ac:dyDescent="0.2">
      <c r="A1084" t="s">
        <v>1482</v>
      </c>
      <c r="B1084" t="s">
        <v>1483</v>
      </c>
      <c r="C1084" t="s">
        <v>116</v>
      </c>
      <c r="D1084" s="1">
        <v>45305</v>
      </c>
      <c r="E1084" s="6" t="s">
        <v>78</v>
      </c>
      <c r="F1084" t="s">
        <v>50</v>
      </c>
      <c r="G1084" s="3" t="s">
        <v>51</v>
      </c>
      <c r="H1084">
        <v>7.8</v>
      </c>
      <c r="I1084">
        <v>69.959999999999994</v>
      </c>
      <c r="J1084">
        <v>545.69000000000005</v>
      </c>
      <c r="K1084" t="s">
        <v>36</v>
      </c>
      <c r="L1084" t="b">
        <v>0</v>
      </c>
    </row>
    <row r="1085" spans="1:13" ht="34" x14ac:dyDescent="0.2">
      <c r="A1085" t="s">
        <v>1484</v>
      </c>
      <c r="B1085" t="s">
        <v>1485</v>
      </c>
      <c r="C1085" t="s">
        <v>15</v>
      </c>
      <c r="D1085" s="1">
        <v>45650</v>
      </c>
      <c r="E1085" s="6" t="s">
        <v>78</v>
      </c>
      <c r="F1085" t="s">
        <v>24</v>
      </c>
      <c r="G1085" s="3" t="s">
        <v>25</v>
      </c>
      <c r="H1085">
        <v>2.6</v>
      </c>
      <c r="I1085">
        <v>42.96</v>
      </c>
      <c r="J1085">
        <v>111.69</v>
      </c>
      <c r="K1085" t="s">
        <v>56</v>
      </c>
      <c r="L1085" t="b">
        <v>1</v>
      </c>
      <c r="M1085" s="3" t="s">
        <v>102</v>
      </c>
    </row>
    <row r="1086" spans="1:13" ht="34" x14ac:dyDescent="0.2">
      <c r="A1086" t="s">
        <v>1486</v>
      </c>
      <c r="B1086" t="s">
        <v>163</v>
      </c>
      <c r="C1086" t="s">
        <v>280</v>
      </c>
      <c r="D1086" s="1">
        <v>45468</v>
      </c>
      <c r="E1086" s="6" t="s">
        <v>89</v>
      </c>
      <c r="F1086" t="s">
        <v>61</v>
      </c>
      <c r="G1086" s="3" t="s">
        <v>62</v>
      </c>
      <c r="H1086">
        <v>6.9</v>
      </c>
      <c r="I1086">
        <v>70.510000000000005</v>
      </c>
      <c r="J1086">
        <v>486.49</v>
      </c>
      <c r="K1086" t="s">
        <v>113</v>
      </c>
      <c r="L1086" t="b">
        <v>0</v>
      </c>
    </row>
    <row r="1087" spans="1:13" ht="34" x14ac:dyDescent="0.2">
      <c r="A1087" t="s">
        <v>1487</v>
      </c>
      <c r="B1087" t="s">
        <v>429</v>
      </c>
      <c r="C1087" t="s">
        <v>178</v>
      </c>
      <c r="D1087" s="1">
        <v>45572</v>
      </c>
      <c r="E1087" s="6" t="s">
        <v>16</v>
      </c>
      <c r="F1087" t="s">
        <v>90</v>
      </c>
      <c r="G1087" s="3" t="s">
        <v>91</v>
      </c>
      <c r="H1087">
        <v>3.8</v>
      </c>
      <c r="I1087">
        <v>33.07</v>
      </c>
      <c r="J1087">
        <v>125.68</v>
      </c>
      <c r="K1087" t="s">
        <v>92</v>
      </c>
      <c r="L1087" t="b">
        <v>0</v>
      </c>
    </row>
    <row r="1088" spans="1:13" ht="34" x14ac:dyDescent="0.2">
      <c r="A1088" t="s">
        <v>1488</v>
      </c>
      <c r="B1088" t="s">
        <v>819</v>
      </c>
      <c r="C1088" t="s">
        <v>124</v>
      </c>
      <c r="D1088" s="1">
        <v>45140</v>
      </c>
      <c r="E1088" s="6" t="s">
        <v>23</v>
      </c>
      <c r="F1088" t="s">
        <v>45</v>
      </c>
      <c r="G1088" s="3" t="s">
        <v>46</v>
      </c>
      <c r="H1088">
        <v>4</v>
      </c>
      <c r="I1088">
        <v>49.83</v>
      </c>
      <c r="J1088">
        <v>199.3</v>
      </c>
      <c r="K1088" t="s">
        <v>105</v>
      </c>
      <c r="L1088" t="b">
        <v>0</v>
      </c>
    </row>
    <row r="1089" spans="1:13" ht="17" x14ac:dyDescent="0.2">
      <c r="A1089" t="s">
        <v>1489</v>
      </c>
      <c r="B1089" t="s">
        <v>336</v>
      </c>
      <c r="C1089" t="s">
        <v>130</v>
      </c>
      <c r="D1089" s="1">
        <v>45126</v>
      </c>
      <c r="E1089" s="6" t="s">
        <v>16</v>
      </c>
      <c r="F1089" t="s">
        <v>30</v>
      </c>
      <c r="G1089" s="3" t="s">
        <v>31</v>
      </c>
      <c r="H1089">
        <v>5.7</v>
      </c>
      <c r="I1089">
        <v>31.56</v>
      </c>
      <c r="J1089">
        <v>179.88</v>
      </c>
      <c r="K1089" t="s">
        <v>56</v>
      </c>
      <c r="L1089" t="b">
        <v>0</v>
      </c>
    </row>
    <row r="1090" spans="1:13" ht="34" x14ac:dyDescent="0.2">
      <c r="A1090" t="s">
        <v>1490</v>
      </c>
      <c r="B1090" t="s">
        <v>101</v>
      </c>
      <c r="C1090" t="s">
        <v>161</v>
      </c>
      <c r="D1090" s="1">
        <v>45240</v>
      </c>
      <c r="E1090" s="6" t="s">
        <v>16</v>
      </c>
      <c r="F1090" t="s">
        <v>90</v>
      </c>
      <c r="G1090" s="3" t="s">
        <v>91</v>
      </c>
      <c r="H1090">
        <v>4.9000000000000004</v>
      </c>
      <c r="I1090">
        <v>66.319999999999993</v>
      </c>
      <c r="J1090">
        <v>324.95999999999998</v>
      </c>
      <c r="K1090" t="s">
        <v>36</v>
      </c>
      <c r="L1090" t="b">
        <v>1</v>
      </c>
      <c r="M1090" s="3" t="s">
        <v>102</v>
      </c>
    </row>
    <row r="1091" spans="1:13" ht="34" x14ac:dyDescent="0.2">
      <c r="A1091" t="s">
        <v>1491</v>
      </c>
      <c r="B1091" t="s">
        <v>899</v>
      </c>
      <c r="C1091" t="s">
        <v>161</v>
      </c>
      <c r="D1091" s="1">
        <v>45033</v>
      </c>
      <c r="E1091" s="6" t="s">
        <v>78</v>
      </c>
      <c r="F1091" t="s">
        <v>45</v>
      </c>
      <c r="G1091" s="3" t="s">
        <v>46</v>
      </c>
      <c r="H1091">
        <v>4.5999999999999996</v>
      </c>
      <c r="I1091">
        <v>75.87</v>
      </c>
      <c r="J1091">
        <v>348.99</v>
      </c>
      <c r="K1091" t="s">
        <v>113</v>
      </c>
      <c r="L1091" t="b">
        <v>0</v>
      </c>
    </row>
    <row r="1092" spans="1:13" ht="34" x14ac:dyDescent="0.2">
      <c r="A1092" t="s">
        <v>1492</v>
      </c>
      <c r="B1092" t="s">
        <v>709</v>
      </c>
      <c r="C1092" t="s">
        <v>159</v>
      </c>
      <c r="D1092" s="1">
        <v>45243</v>
      </c>
      <c r="E1092" s="6" t="s">
        <v>60</v>
      </c>
      <c r="F1092" t="s">
        <v>54</v>
      </c>
      <c r="G1092" s="3" t="s">
        <v>55</v>
      </c>
      <c r="H1092">
        <v>19.8</v>
      </c>
      <c r="I1092">
        <v>61.86</v>
      </c>
      <c r="J1092">
        <v>1224.83</v>
      </c>
      <c r="K1092" t="s">
        <v>56</v>
      </c>
      <c r="L1092" t="b">
        <v>1</v>
      </c>
      <c r="M1092" s="3" t="s">
        <v>79</v>
      </c>
    </row>
    <row r="1093" spans="1:13" ht="17" x14ac:dyDescent="0.2">
      <c r="A1093" t="s">
        <v>1493</v>
      </c>
      <c r="B1093" t="s">
        <v>73</v>
      </c>
      <c r="C1093" t="s">
        <v>391</v>
      </c>
      <c r="D1093" s="1">
        <v>45210</v>
      </c>
      <c r="E1093" s="6" t="s">
        <v>89</v>
      </c>
      <c r="F1093" t="s">
        <v>17</v>
      </c>
      <c r="G1093" s="3" t="s">
        <v>18</v>
      </c>
      <c r="H1093">
        <v>5</v>
      </c>
      <c r="I1093">
        <v>35.79</v>
      </c>
      <c r="J1093">
        <v>178.97</v>
      </c>
      <c r="K1093" t="s">
        <v>19</v>
      </c>
      <c r="L1093" t="b">
        <v>0</v>
      </c>
    </row>
    <row r="1094" spans="1:13" ht="17" x14ac:dyDescent="0.2">
      <c r="A1094" t="s">
        <v>1494</v>
      </c>
      <c r="B1094" t="s">
        <v>67</v>
      </c>
      <c r="C1094" t="s">
        <v>450</v>
      </c>
      <c r="D1094" s="1">
        <v>45529</v>
      </c>
      <c r="E1094" s="6" t="s">
        <v>44</v>
      </c>
      <c r="F1094" t="s">
        <v>30</v>
      </c>
      <c r="G1094" s="3" t="s">
        <v>31</v>
      </c>
      <c r="H1094">
        <v>6.3</v>
      </c>
      <c r="I1094">
        <v>83.76</v>
      </c>
      <c r="J1094">
        <v>527.66</v>
      </c>
      <c r="K1094" t="s">
        <v>56</v>
      </c>
      <c r="L1094" t="b">
        <v>0</v>
      </c>
    </row>
    <row r="1095" spans="1:13" ht="34" x14ac:dyDescent="0.2">
      <c r="A1095" t="s">
        <v>1495</v>
      </c>
      <c r="B1095" t="s">
        <v>276</v>
      </c>
      <c r="C1095" t="s">
        <v>207</v>
      </c>
      <c r="D1095" s="1">
        <v>45255</v>
      </c>
      <c r="E1095" s="6" t="s">
        <v>44</v>
      </c>
      <c r="F1095" t="s">
        <v>90</v>
      </c>
      <c r="G1095" s="3" t="s">
        <v>91</v>
      </c>
      <c r="H1095">
        <v>2.1</v>
      </c>
      <c r="I1095">
        <v>62.53</v>
      </c>
      <c r="J1095">
        <v>131.31</v>
      </c>
      <c r="K1095" t="s">
        <v>105</v>
      </c>
      <c r="L1095" t="b">
        <v>0</v>
      </c>
    </row>
    <row r="1096" spans="1:13" ht="34" x14ac:dyDescent="0.2">
      <c r="A1096" t="s">
        <v>1496</v>
      </c>
      <c r="B1096" t="s">
        <v>753</v>
      </c>
      <c r="C1096" t="s">
        <v>43</v>
      </c>
      <c r="D1096" s="1">
        <v>45145</v>
      </c>
      <c r="E1096" s="6" t="s">
        <v>60</v>
      </c>
      <c r="F1096" t="s">
        <v>30</v>
      </c>
      <c r="G1096" s="3" t="s">
        <v>31</v>
      </c>
      <c r="H1096">
        <v>8.8000000000000007</v>
      </c>
      <c r="I1096">
        <v>84.94</v>
      </c>
      <c r="J1096">
        <v>750</v>
      </c>
      <c r="K1096" t="s">
        <v>32</v>
      </c>
      <c r="L1096" t="b">
        <v>1</v>
      </c>
      <c r="M1096" s="3" t="s">
        <v>40</v>
      </c>
    </row>
    <row r="1097" spans="1:13" ht="34" x14ac:dyDescent="0.2">
      <c r="A1097" t="s">
        <v>1497</v>
      </c>
      <c r="B1097" t="s">
        <v>378</v>
      </c>
      <c r="C1097" t="s">
        <v>365</v>
      </c>
      <c r="D1097" s="1">
        <v>45288</v>
      </c>
      <c r="E1097" s="6" t="s">
        <v>16</v>
      </c>
      <c r="F1097" t="s">
        <v>24</v>
      </c>
      <c r="G1097" s="3" t="s">
        <v>25</v>
      </c>
      <c r="H1097">
        <v>4</v>
      </c>
      <c r="I1097">
        <v>58.62</v>
      </c>
      <c r="J1097">
        <v>234.5</v>
      </c>
      <c r="K1097" t="s">
        <v>26</v>
      </c>
      <c r="L1097" t="b">
        <v>0</v>
      </c>
    </row>
    <row r="1098" spans="1:13" ht="17" x14ac:dyDescent="0.2">
      <c r="A1098" t="s">
        <v>1498</v>
      </c>
      <c r="B1098" t="s">
        <v>1142</v>
      </c>
      <c r="C1098" t="s">
        <v>191</v>
      </c>
      <c r="D1098" s="1">
        <v>45610</v>
      </c>
      <c r="E1098" s="6" t="s">
        <v>78</v>
      </c>
      <c r="F1098" t="s">
        <v>30</v>
      </c>
      <c r="G1098" s="3" t="s">
        <v>31</v>
      </c>
      <c r="H1098">
        <v>2.1</v>
      </c>
      <c r="I1098">
        <v>37.07</v>
      </c>
      <c r="J1098">
        <v>77.849999999999994</v>
      </c>
      <c r="K1098" t="s">
        <v>113</v>
      </c>
      <c r="L1098" t="b">
        <v>0</v>
      </c>
    </row>
    <row r="1099" spans="1:13" ht="34" x14ac:dyDescent="0.2">
      <c r="A1099" t="s">
        <v>1499</v>
      </c>
      <c r="B1099" t="s">
        <v>472</v>
      </c>
      <c r="C1099" t="s">
        <v>450</v>
      </c>
      <c r="D1099" s="1">
        <v>45110</v>
      </c>
      <c r="E1099" s="6" t="s">
        <v>89</v>
      </c>
      <c r="F1099" t="s">
        <v>45</v>
      </c>
      <c r="G1099" s="3" t="s">
        <v>46</v>
      </c>
      <c r="H1099">
        <v>6.7</v>
      </c>
      <c r="I1099">
        <v>43.47</v>
      </c>
      <c r="J1099">
        <v>291.22000000000003</v>
      </c>
      <c r="K1099" t="s">
        <v>92</v>
      </c>
      <c r="L1099" t="b">
        <v>0</v>
      </c>
    </row>
    <row r="1100" spans="1:13" ht="34" x14ac:dyDescent="0.2">
      <c r="A1100" t="s">
        <v>1500</v>
      </c>
      <c r="B1100" t="s">
        <v>276</v>
      </c>
      <c r="C1100" t="s">
        <v>35</v>
      </c>
      <c r="D1100" s="1">
        <v>45594</v>
      </c>
      <c r="E1100" s="6" t="s">
        <v>78</v>
      </c>
      <c r="F1100" t="s">
        <v>54</v>
      </c>
      <c r="G1100" s="3" t="s">
        <v>55</v>
      </c>
      <c r="H1100">
        <v>6.6</v>
      </c>
      <c r="I1100">
        <v>31.83</v>
      </c>
      <c r="J1100">
        <v>210.08</v>
      </c>
      <c r="K1100" t="s">
        <v>105</v>
      </c>
      <c r="L1100" t="b">
        <v>0</v>
      </c>
    </row>
    <row r="1101" spans="1:13" ht="34" x14ac:dyDescent="0.2">
      <c r="A1101" t="s">
        <v>1501</v>
      </c>
      <c r="B1101" t="s">
        <v>402</v>
      </c>
      <c r="C1101" t="s">
        <v>116</v>
      </c>
      <c r="D1101" s="1">
        <v>45191</v>
      </c>
      <c r="E1101" s="6" t="s">
        <v>44</v>
      </c>
      <c r="F1101" t="s">
        <v>54</v>
      </c>
      <c r="G1101" s="3" t="s">
        <v>55</v>
      </c>
      <c r="H1101">
        <v>4.4000000000000004</v>
      </c>
      <c r="I1101">
        <v>59.14</v>
      </c>
      <c r="J1101">
        <v>260.2</v>
      </c>
      <c r="K1101" t="s">
        <v>96</v>
      </c>
      <c r="L1101" t="b">
        <v>0</v>
      </c>
    </row>
    <row r="1102" spans="1:13" ht="68" x14ac:dyDescent="0.2">
      <c r="A1102" t="s">
        <v>1502</v>
      </c>
      <c r="B1102" t="s">
        <v>630</v>
      </c>
      <c r="C1102" t="s">
        <v>15</v>
      </c>
      <c r="D1102" s="1">
        <v>45050</v>
      </c>
      <c r="E1102" s="6" t="s">
        <v>16</v>
      </c>
      <c r="F1102" t="s">
        <v>50</v>
      </c>
      <c r="G1102" s="3" t="s">
        <v>51</v>
      </c>
      <c r="H1102">
        <v>3.2</v>
      </c>
      <c r="I1102">
        <v>75.03</v>
      </c>
      <c r="J1102">
        <v>240.09</v>
      </c>
      <c r="K1102" t="s">
        <v>32</v>
      </c>
      <c r="L1102" t="b">
        <v>0</v>
      </c>
    </row>
    <row r="1103" spans="1:13" ht="17" x14ac:dyDescent="0.2">
      <c r="A1103" t="s">
        <v>1503</v>
      </c>
      <c r="B1103" t="s">
        <v>493</v>
      </c>
      <c r="C1103" t="s">
        <v>116</v>
      </c>
      <c r="D1103" s="1">
        <v>45535</v>
      </c>
      <c r="E1103" s="6" t="s">
        <v>16</v>
      </c>
      <c r="F1103" t="s">
        <v>17</v>
      </c>
      <c r="G1103" s="3" t="s">
        <v>18</v>
      </c>
      <c r="H1103">
        <v>7.5</v>
      </c>
      <c r="I1103">
        <v>72.84</v>
      </c>
      <c r="J1103">
        <v>546.26</v>
      </c>
      <c r="K1103" t="s">
        <v>19</v>
      </c>
      <c r="L1103" t="b">
        <v>0</v>
      </c>
    </row>
    <row r="1104" spans="1:13" ht="68" x14ac:dyDescent="0.2">
      <c r="A1104" t="s">
        <v>1504</v>
      </c>
      <c r="B1104" t="s">
        <v>236</v>
      </c>
      <c r="C1104" t="s">
        <v>189</v>
      </c>
      <c r="D1104" s="1">
        <v>44979</v>
      </c>
      <c r="E1104" s="6" t="s">
        <v>89</v>
      </c>
      <c r="F1104" t="s">
        <v>50</v>
      </c>
      <c r="G1104" s="3" t="s">
        <v>51</v>
      </c>
      <c r="H1104">
        <v>4.9000000000000004</v>
      </c>
      <c r="I1104">
        <v>62.63</v>
      </c>
      <c r="J1104">
        <v>306.89999999999998</v>
      </c>
      <c r="K1104" t="s">
        <v>19</v>
      </c>
      <c r="L1104" t="b">
        <v>0</v>
      </c>
    </row>
    <row r="1105" spans="1:13" ht="34" x14ac:dyDescent="0.2">
      <c r="A1105" t="s">
        <v>1505</v>
      </c>
      <c r="B1105" t="s">
        <v>685</v>
      </c>
      <c r="C1105" t="s">
        <v>450</v>
      </c>
      <c r="D1105" s="1">
        <v>45378</v>
      </c>
      <c r="E1105" s="6" t="s">
        <v>16</v>
      </c>
      <c r="F1105" t="s">
        <v>54</v>
      </c>
      <c r="G1105" s="3" t="s">
        <v>55</v>
      </c>
      <c r="H1105">
        <v>4.8</v>
      </c>
      <c r="I1105">
        <v>73.849999999999994</v>
      </c>
      <c r="J1105">
        <v>354.48</v>
      </c>
      <c r="K1105" t="s">
        <v>92</v>
      </c>
      <c r="L1105" t="b">
        <v>0</v>
      </c>
    </row>
    <row r="1106" spans="1:13" ht="34" x14ac:dyDescent="0.2">
      <c r="A1106" t="s">
        <v>1506</v>
      </c>
      <c r="B1106" t="s">
        <v>1485</v>
      </c>
      <c r="C1106" t="s">
        <v>391</v>
      </c>
      <c r="D1106" s="1">
        <v>45481</v>
      </c>
      <c r="E1106" s="6" t="s">
        <v>16</v>
      </c>
      <c r="F1106" t="s">
        <v>24</v>
      </c>
      <c r="G1106" s="3" t="s">
        <v>25</v>
      </c>
      <c r="H1106">
        <v>29.1</v>
      </c>
      <c r="I1106">
        <v>42.96</v>
      </c>
      <c r="J1106">
        <v>1250</v>
      </c>
      <c r="K1106" t="s">
        <v>56</v>
      </c>
      <c r="L1106" t="b">
        <v>1</v>
      </c>
      <c r="M1106" s="3" t="s">
        <v>40</v>
      </c>
    </row>
    <row r="1107" spans="1:13" ht="34" x14ac:dyDescent="0.2">
      <c r="A1107" t="s">
        <v>1507</v>
      </c>
      <c r="B1107" t="s">
        <v>94</v>
      </c>
      <c r="C1107" t="s">
        <v>191</v>
      </c>
      <c r="D1107" s="1">
        <v>45392</v>
      </c>
      <c r="E1107" s="6" t="s">
        <v>89</v>
      </c>
      <c r="F1107" t="s">
        <v>54</v>
      </c>
      <c r="G1107" s="3" t="s">
        <v>55</v>
      </c>
      <c r="H1107">
        <v>5.3</v>
      </c>
      <c r="I1107">
        <v>26.12</v>
      </c>
      <c r="J1107">
        <v>138.44999999999999</v>
      </c>
      <c r="K1107" t="s">
        <v>96</v>
      </c>
      <c r="L1107" t="b">
        <v>0</v>
      </c>
    </row>
    <row r="1108" spans="1:13" ht="34" x14ac:dyDescent="0.2">
      <c r="A1108" t="s">
        <v>1508</v>
      </c>
      <c r="B1108" t="s">
        <v>1359</v>
      </c>
      <c r="C1108" t="s">
        <v>156</v>
      </c>
      <c r="D1108" s="1">
        <v>45000</v>
      </c>
      <c r="E1108" s="6" t="s">
        <v>78</v>
      </c>
      <c r="F1108" t="s">
        <v>54</v>
      </c>
      <c r="G1108" s="3" t="s">
        <v>55</v>
      </c>
      <c r="H1108">
        <v>6.8</v>
      </c>
      <c r="I1108">
        <v>78.28</v>
      </c>
      <c r="J1108">
        <v>532.32000000000005</v>
      </c>
      <c r="K1108" t="s">
        <v>113</v>
      </c>
      <c r="L1108" t="b">
        <v>0</v>
      </c>
    </row>
    <row r="1109" spans="1:13" ht="34" x14ac:dyDescent="0.2">
      <c r="A1109" t="s">
        <v>1509</v>
      </c>
      <c r="B1109" t="s">
        <v>419</v>
      </c>
      <c r="C1109" t="s">
        <v>133</v>
      </c>
      <c r="D1109" s="1">
        <v>45156</v>
      </c>
      <c r="E1109" s="6" t="s">
        <v>44</v>
      </c>
      <c r="F1109" t="s">
        <v>90</v>
      </c>
      <c r="G1109" s="3" t="s">
        <v>91</v>
      </c>
      <c r="H1109">
        <v>7.8</v>
      </c>
      <c r="I1109">
        <v>41.83</v>
      </c>
      <c r="J1109">
        <v>326.26</v>
      </c>
      <c r="K1109" t="s">
        <v>113</v>
      </c>
      <c r="L1109" t="b">
        <v>0</v>
      </c>
    </row>
    <row r="1110" spans="1:13" ht="34" x14ac:dyDescent="0.2">
      <c r="A1110" t="s">
        <v>1510</v>
      </c>
      <c r="B1110" t="s">
        <v>819</v>
      </c>
      <c r="C1110" t="s">
        <v>85</v>
      </c>
      <c r="D1110" s="1">
        <v>45399</v>
      </c>
      <c r="E1110" s="6" t="s">
        <v>23</v>
      </c>
      <c r="F1110" t="s">
        <v>54</v>
      </c>
      <c r="G1110" s="3" t="s">
        <v>55</v>
      </c>
      <c r="H1110">
        <v>7.9</v>
      </c>
      <c r="I1110">
        <v>62.59</v>
      </c>
      <c r="J1110">
        <v>494.47</v>
      </c>
      <c r="K1110" t="s">
        <v>105</v>
      </c>
      <c r="L1110" t="b">
        <v>0</v>
      </c>
    </row>
    <row r="1111" spans="1:13" ht="34" x14ac:dyDescent="0.2">
      <c r="A1111" t="s">
        <v>1511</v>
      </c>
      <c r="B1111" t="s">
        <v>701</v>
      </c>
      <c r="C1111" t="s">
        <v>122</v>
      </c>
      <c r="D1111" s="1">
        <v>45610</v>
      </c>
      <c r="E1111" s="6" t="s">
        <v>78</v>
      </c>
      <c r="F1111" t="s">
        <v>61</v>
      </c>
      <c r="G1111" s="3" t="s">
        <v>62</v>
      </c>
      <c r="H1111">
        <v>3.1</v>
      </c>
      <c r="I1111">
        <v>32.01</v>
      </c>
      <c r="J1111">
        <v>99.23</v>
      </c>
      <c r="K1111" t="s">
        <v>26</v>
      </c>
      <c r="L1111" t="b">
        <v>0</v>
      </c>
    </row>
    <row r="1112" spans="1:13" ht="34" x14ac:dyDescent="0.2">
      <c r="A1112" t="s">
        <v>1512</v>
      </c>
      <c r="B1112" t="s">
        <v>231</v>
      </c>
      <c r="C1112" t="s">
        <v>43</v>
      </c>
      <c r="D1112" s="1">
        <v>44927</v>
      </c>
      <c r="E1112" s="6" t="s">
        <v>44</v>
      </c>
      <c r="F1112" t="s">
        <v>54</v>
      </c>
      <c r="G1112" s="3" t="s">
        <v>55</v>
      </c>
      <c r="H1112">
        <v>6.3</v>
      </c>
      <c r="I1112">
        <v>41.29</v>
      </c>
      <c r="J1112">
        <v>260.13</v>
      </c>
      <c r="K1112" t="s">
        <v>19</v>
      </c>
      <c r="L1112" t="b">
        <v>0</v>
      </c>
    </row>
    <row r="1113" spans="1:13" ht="17" x14ac:dyDescent="0.2">
      <c r="A1113" t="s">
        <v>1513</v>
      </c>
      <c r="B1113" t="s">
        <v>561</v>
      </c>
      <c r="C1113" t="s">
        <v>365</v>
      </c>
      <c r="D1113" s="1">
        <v>45083</v>
      </c>
      <c r="E1113" s="6" t="s">
        <v>78</v>
      </c>
      <c r="F1113" t="s">
        <v>17</v>
      </c>
      <c r="G1113" s="3" t="s">
        <v>18</v>
      </c>
      <c r="H1113">
        <v>7.3</v>
      </c>
      <c r="I1113">
        <v>47.3</v>
      </c>
      <c r="J1113">
        <v>345.25</v>
      </c>
      <c r="K1113" t="s">
        <v>105</v>
      </c>
      <c r="L1113" t="b">
        <v>0</v>
      </c>
    </row>
    <row r="1114" spans="1:13" ht="17" x14ac:dyDescent="0.2">
      <c r="A1114" t="s">
        <v>1514</v>
      </c>
      <c r="B1114" t="s">
        <v>738</v>
      </c>
      <c r="C1114" t="s">
        <v>266</v>
      </c>
      <c r="D1114" s="1">
        <v>45302</v>
      </c>
      <c r="E1114" s="6" t="s">
        <v>78</v>
      </c>
      <c r="F1114" t="s">
        <v>30</v>
      </c>
      <c r="G1114" s="3" t="s">
        <v>31</v>
      </c>
      <c r="H1114">
        <v>5.2</v>
      </c>
      <c r="I1114">
        <v>35.5</v>
      </c>
      <c r="J1114">
        <v>184.6</v>
      </c>
      <c r="K1114" t="s">
        <v>96</v>
      </c>
      <c r="L1114" t="b">
        <v>0</v>
      </c>
    </row>
    <row r="1115" spans="1:13" ht="34" x14ac:dyDescent="0.2">
      <c r="A1115" t="s">
        <v>1515</v>
      </c>
      <c r="B1115" t="s">
        <v>561</v>
      </c>
      <c r="C1115" t="s">
        <v>207</v>
      </c>
      <c r="D1115" s="1">
        <v>45544</v>
      </c>
      <c r="E1115" s="6" t="s">
        <v>60</v>
      </c>
      <c r="F1115" t="s">
        <v>24</v>
      </c>
      <c r="G1115" s="3" t="s">
        <v>25</v>
      </c>
      <c r="H1115">
        <v>6.7</v>
      </c>
      <c r="I1115">
        <v>79.8</v>
      </c>
      <c r="J1115">
        <v>534.66999999999996</v>
      </c>
      <c r="K1115" t="s">
        <v>105</v>
      </c>
      <c r="L1115" t="b">
        <v>0</v>
      </c>
    </row>
    <row r="1116" spans="1:13" ht="34" x14ac:dyDescent="0.2">
      <c r="A1116" t="s">
        <v>1516</v>
      </c>
      <c r="B1116" t="s">
        <v>593</v>
      </c>
      <c r="C1116" t="s">
        <v>274</v>
      </c>
      <c r="D1116" s="1">
        <v>45333</v>
      </c>
      <c r="E1116" s="6" t="s">
        <v>23</v>
      </c>
      <c r="F1116" t="s">
        <v>24</v>
      </c>
      <c r="G1116" s="3" t="s">
        <v>25</v>
      </c>
      <c r="H1116">
        <v>6.8</v>
      </c>
      <c r="I1116">
        <v>79.3</v>
      </c>
      <c r="J1116">
        <v>539.22</v>
      </c>
      <c r="K1116" t="s">
        <v>96</v>
      </c>
      <c r="L1116" t="b">
        <v>0</v>
      </c>
    </row>
    <row r="1117" spans="1:13" ht="17" x14ac:dyDescent="0.2">
      <c r="A1117" t="s">
        <v>1517</v>
      </c>
      <c r="B1117" t="s">
        <v>613</v>
      </c>
      <c r="C1117" t="s">
        <v>219</v>
      </c>
      <c r="D1117" s="1">
        <v>45263</v>
      </c>
      <c r="E1117" s="6" t="s">
        <v>89</v>
      </c>
      <c r="F1117" t="s">
        <v>30</v>
      </c>
      <c r="G1117" s="3" t="s">
        <v>31</v>
      </c>
      <c r="H1117">
        <v>4</v>
      </c>
      <c r="I1117">
        <v>54.01</v>
      </c>
      <c r="J1117">
        <v>216.03</v>
      </c>
      <c r="K1117" t="s">
        <v>26</v>
      </c>
      <c r="L1117" t="b">
        <v>0</v>
      </c>
    </row>
    <row r="1118" spans="1:13" ht="34" x14ac:dyDescent="0.2">
      <c r="A1118" t="s">
        <v>1518</v>
      </c>
      <c r="B1118" t="s">
        <v>895</v>
      </c>
      <c r="C1118" t="s">
        <v>332</v>
      </c>
      <c r="D1118" s="1">
        <v>45510</v>
      </c>
      <c r="E1118" s="6" t="s">
        <v>44</v>
      </c>
      <c r="F1118" t="s">
        <v>45</v>
      </c>
      <c r="G1118" s="3" t="s">
        <v>46</v>
      </c>
      <c r="H1118">
        <v>6.7</v>
      </c>
      <c r="I1118">
        <v>33.6</v>
      </c>
      <c r="J1118">
        <v>225.1</v>
      </c>
      <c r="K1118" t="s">
        <v>92</v>
      </c>
      <c r="L1118" t="b">
        <v>0</v>
      </c>
    </row>
    <row r="1119" spans="1:13" ht="68" x14ac:dyDescent="0.2">
      <c r="A1119" t="s">
        <v>1519</v>
      </c>
      <c r="B1119" t="s">
        <v>1485</v>
      </c>
      <c r="C1119" t="s">
        <v>156</v>
      </c>
      <c r="D1119" s="1">
        <v>45162</v>
      </c>
      <c r="E1119" s="6" t="s">
        <v>60</v>
      </c>
      <c r="F1119" t="s">
        <v>50</v>
      </c>
      <c r="G1119" s="3" t="s">
        <v>51</v>
      </c>
      <c r="H1119">
        <v>3.2</v>
      </c>
      <c r="I1119">
        <v>27.19</v>
      </c>
      <c r="J1119">
        <v>87.02</v>
      </c>
      <c r="K1119" t="s">
        <v>56</v>
      </c>
      <c r="L1119" t="b">
        <v>0</v>
      </c>
    </row>
    <row r="1120" spans="1:13" ht="34" x14ac:dyDescent="0.2">
      <c r="A1120" t="s">
        <v>1520</v>
      </c>
      <c r="B1120" t="s">
        <v>931</v>
      </c>
      <c r="C1120" t="s">
        <v>280</v>
      </c>
      <c r="D1120" s="1">
        <v>45513</v>
      </c>
      <c r="E1120" s="6" t="s">
        <v>16</v>
      </c>
      <c r="F1120" t="s">
        <v>90</v>
      </c>
      <c r="G1120" s="3" t="s">
        <v>91</v>
      </c>
      <c r="H1120">
        <v>2</v>
      </c>
      <c r="I1120">
        <v>80.94</v>
      </c>
      <c r="J1120">
        <v>161.88</v>
      </c>
      <c r="K1120" t="s">
        <v>92</v>
      </c>
      <c r="L1120" t="b">
        <v>0</v>
      </c>
    </row>
    <row r="1121" spans="1:13" ht="34" x14ac:dyDescent="0.2">
      <c r="A1121" t="s">
        <v>1521</v>
      </c>
      <c r="B1121" t="s">
        <v>543</v>
      </c>
      <c r="C1121" t="s">
        <v>189</v>
      </c>
      <c r="D1121" s="1">
        <v>45227</v>
      </c>
      <c r="E1121" s="6" t="s">
        <v>44</v>
      </c>
      <c r="F1121" t="s">
        <v>90</v>
      </c>
      <c r="G1121" s="3" t="s">
        <v>91</v>
      </c>
      <c r="H1121">
        <v>4</v>
      </c>
      <c r="I1121">
        <v>78.349999999999994</v>
      </c>
      <c r="J1121">
        <v>313.39999999999998</v>
      </c>
      <c r="K1121" t="s">
        <v>92</v>
      </c>
      <c r="L1121" t="b">
        <v>0</v>
      </c>
    </row>
    <row r="1122" spans="1:13" ht="34" x14ac:dyDescent="0.2">
      <c r="A1122" t="s">
        <v>1522</v>
      </c>
      <c r="B1122" t="s">
        <v>617</v>
      </c>
      <c r="C1122" t="s">
        <v>191</v>
      </c>
      <c r="D1122" s="1">
        <v>45036</v>
      </c>
      <c r="E1122" s="6" t="s">
        <v>16</v>
      </c>
      <c r="F1122" t="s">
        <v>45</v>
      </c>
      <c r="G1122" s="3" t="s">
        <v>46</v>
      </c>
      <c r="H1122">
        <v>2.1</v>
      </c>
      <c r="I1122">
        <v>70.510000000000005</v>
      </c>
      <c r="J1122">
        <v>148.07</v>
      </c>
      <c r="K1122" t="s">
        <v>82</v>
      </c>
      <c r="L1122" t="b">
        <v>0</v>
      </c>
    </row>
    <row r="1123" spans="1:13" ht="17" x14ac:dyDescent="0.2">
      <c r="A1123" t="s">
        <v>1523</v>
      </c>
      <c r="B1123" t="s">
        <v>918</v>
      </c>
      <c r="C1123" t="s">
        <v>159</v>
      </c>
      <c r="D1123" s="1">
        <v>45520</v>
      </c>
      <c r="E1123" s="6" t="s">
        <v>78</v>
      </c>
      <c r="F1123" t="s">
        <v>30</v>
      </c>
      <c r="G1123" s="3" t="s">
        <v>31</v>
      </c>
      <c r="H1123">
        <v>3.9</v>
      </c>
      <c r="I1123">
        <v>36.549999999999997</v>
      </c>
      <c r="J1123">
        <v>142.56</v>
      </c>
      <c r="K1123" t="s">
        <v>105</v>
      </c>
      <c r="L1123" t="b">
        <v>0</v>
      </c>
    </row>
    <row r="1124" spans="1:13" ht="34" x14ac:dyDescent="0.2">
      <c r="A1124" t="s">
        <v>1524</v>
      </c>
      <c r="B1124" t="s">
        <v>482</v>
      </c>
      <c r="C1124" t="s">
        <v>85</v>
      </c>
      <c r="D1124" s="1">
        <v>45642</v>
      </c>
      <c r="E1124" s="6" t="s">
        <v>78</v>
      </c>
      <c r="F1124" t="s">
        <v>54</v>
      </c>
      <c r="G1124" s="3" t="s">
        <v>55</v>
      </c>
      <c r="H1124">
        <v>6.6</v>
      </c>
      <c r="I1124">
        <v>65.27</v>
      </c>
      <c r="J1124">
        <v>430.77</v>
      </c>
      <c r="K1124" t="s">
        <v>92</v>
      </c>
      <c r="L1124" t="b">
        <v>0</v>
      </c>
    </row>
    <row r="1125" spans="1:13" ht="68" x14ac:dyDescent="0.2">
      <c r="A1125" t="s">
        <v>1525</v>
      </c>
      <c r="B1125" t="s">
        <v>598</v>
      </c>
      <c r="C1125" t="s">
        <v>450</v>
      </c>
      <c r="D1125" s="1">
        <v>45131</v>
      </c>
      <c r="E1125" s="6" t="s">
        <v>89</v>
      </c>
      <c r="F1125" t="s">
        <v>50</v>
      </c>
      <c r="G1125" s="3" t="s">
        <v>51</v>
      </c>
      <c r="H1125">
        <v>2.9</v>
      </c>
      <c r="I1125">
        <v>31.87</v>
      </c>
      <c r="J1125">
        <v>92.42</v>
      </c>
      <c r="K1125" t="s">
        <v>19</v>
      </c>
      <c r="L1125" t="b">
        <v>1</v>
      </c>
      <c r="M1125" s="3" t="s">
        <v>102</v>
      </c>
    </row>
    <row r="1126" spans="1:13" ht="34" x14ac:dyDescent="0.2">
      <c r="A1126" t="s">
        <v>1526</v>
      </c>
      <c r="B1126" t="s">
        <v>939</v>
      </c>
      <c r="C1126" t="s">
        <v>110</v>
      </c>
      <c r="D1126" s="1">
        <v>45154</v>
      </c>
      <c r="E1126" s="6" t="s">
        <v>78</v>
      </c>
      <c r="F1126" t="s">
        <v>90</v>
      </c>
      <c r="G1126" s="3" t="s">
        <v>91</v>
      </c>
      <c r="H1126">
        <v>3.2</v>
      </c>
      <c r="I1126">
        <v>46.02</v>
      </c>
      <c r="J1126">
        <v>147.26</v>
      </c>
      <c r="K1126" t="s">
        <v>96</v>
      </c>
      <c r="L1126" t="b">
        <v>0</v>
      </c>
    </row>
    <row r="1127" spans="1:13" ht="34" x14ac:dyDescent="0.2">
      <c r="A1127" t="s">
        <v>1527</v>
      </c>
      <c r="B1127" t="s">
        <v>490</v>
      </c>
      <c r="C1127" t="s">
        <v>43</v>
      </c>
      <c r="D1127" s="1">
        <v>45090</v>
      </c>
      <c r="E1127" s="6" t="s">
        <v>78</v>
      </c>
      <c r="F1127" t="s">
        <v>45</v>
      </c>
      <c r="G1127" s="3" t="s">
        <v>46</v>
      </c>
      <c r="H1127">
        <v>2.8</v>
      </c>
      <c r="I1127">
        <v>67.260000000000005</v>
      </c>
      <c r="J1127">
        <v>188.33</v>
      </c>
      <c r="K1127" t="s">
        <v>92</v>
      </c>
      <c r="L1127" t="b">
        <v>0</v>
      </c>
    </row>
    <row r="1128" spans="1:13" ht="17" x14ac:dyDescent="0.2">
      <c r="A1128" t="s">
        <v>1528</v>
      </c>
      <c r="B1128" t="s">
        <v>109</v>
      </c>
      <c r="C1128" t="s">
        <v>350</v>
      </c>
      <c r="D1128" s="1">
        <v>45166</v>
      </c>
      <c r="E1128" s="6" t="s">
        <v>78</v>
      </c>
      <c r="F1128" t="s">
        <v>30</v>
      </c>
      <c r="G1128" s="3" t="s">
        <v>31</v>
      </c>
      <c r="H1128">
        <v>3</v>
      </c>
      <c r="I1128">
        <v>43.68</v>
      </c>
      <c r="J1128">
        <v>131.05000000000001</v>
      </c>
      <c r="K1128" t="s">
        <v>92</v>
      </c>
      <c r="L1128" t="b">
        <v>0</v>
      </c>
    </row>
    <row r="1129" spans="1:13" ht="17" x14ac:dyDescent="0.2">
      <c r="A1129" t="s">
        <v>1529</v>
      </c>
      <c r="B1129" t="s">
        <v>361</v>
      </c>
      <c r="C1129" t="s">
        <v>138</v>
      </c>
      <c r="D1129" s="1">
        <v>45034</v>
      </c>
      <c r="E1129" s="6" t="s">
        <v>16</v>
      </c>
      <c r="F1129" t="s">
        <v>17</v>
      </c>
      <c r="G1129" s="3" t="s">
        <v>18</v>
      </c>
      <c r="H1129">
        <v>2.2999999999999998</v>
      </c>
      <c r="I1129">
        <v>26.74</v>
      </c>
      <c r="J1129">
        <v>61.5</v>
      </c>
      <c r="K1129" t="s">
        <v>113</v>
      </c>
      <c r="L1129" t="b">
        <v>0</v>
      </c>
    </row>
    <row r="1130" spans="1:13" ht="34" x14ac:dyDescent="0.2">
      <c r="A1130" t="s">
        <v>1530</v>
      </c>
      <c r="B1130" t="s">
        <v>980</v>
      </c>
      <c r="C1130" t="s">
        <v>172</v>
      </c>
      <c r="D1130" s="1">
        <v>45409</v>
      </c>
      <c r="E1130" s="6" t="s">
        <v>60</v>
      </c>
      <c r="F1130" t="s">
        <v>24</v>
      </c>
      <c r="G1130" s="3" t="s">
        <v>25</v>
      </c>
      <c r="H1130">
        <v>2.6</v>
      </c>
      <c r="I1130">
        <v>28.23</v>
      </c>
      <c r="J1130">
        <v>73.39</v>
      </c>
      <c r="K1130" t="s">
        <v>113</v>
      </c>
      <c r="L1130" t="b">
        <v>0</v>
      </c>
    </row>
    <row r="1131" spans="1:13" ht="34" x14ac:dyDescent="0.2">
      <c r="A1131" t="s">
        <v>1531</v>
      </c>
      <c r="B1131" t="s">
        <v>336</v>
      </c>
      <c r="C1131" t="s">
        <v>186</v>
      </c>
      <c r="D1131" s="1">
        <v>38796</v>
      </c>
      <c r="E1131" s="6" t="s">
        <v>89</v>
      </c>
      <c r="F1131" t="s">
        <v>61</v>
      </c>
      <c r="G1131" s="3" t="s">
        <v>62</v>
      </c>
      <c r="H1131">
        <v>3.1</v>
      </c>
      <c r="I1131">
        <v>60.77</v>
      </c>
      <c r="J1131">
        <v>188.38</v>
      </c>
      <c r="K1131" t="s">
        <v>32</v>
      </c>
      <c r="L1131" t="b">
        <v>1</v>
      </c>
      <c r="M1131" s="3" t="s">
        <v>99</v>
      </c>
    </row>
    <row r="1132" spans="1:13" ht="17" x14ac:dyDescent="0.2">
      <c r="A1132" t="s">
        <v>1532</v>
      </c>
      <c r="B1132" t="s">
        <v>278</v>
      </c>
      <c r="C1132" t="s">
        <v>71</v>
      </c>
      <c r="D1132" s="1">
        <v>44951</v>
      </c>
      <c r="E1132" s="6" t="s">
        <v>23</v>
      </c>
      <c r="F1132" t="s">
        <v>17</v>
      </c>
      <c r="G1132" s="3" t="s">
        <v>18</v>
      </c>
      <c r="H1132">
        <v>5.7</v>
      </c>
      <c r="I1132">
        <v>43.75</v>
      </c>
      <c r="J1132">
        <v>249.35</v>
      </c>
      <c r="K1132" t="s">
        <v>32</v>
      </c>
      <c r="L1132" t="b">
        <v>0</v>
      </c>
    </row>
    <row r="1133" spans="1:13" ht="34" x14ac:dyDescent="0.2">
      <c r="A1133" t="s">
        <v>1533</v>
      </c>
      <c r="B1133" t="s">
        <v>593</v>
      </c>
      <c r="C1133" t="s">
        <v>219</v>
      </c>
      <c r="D1133" s="1">
        <v>45584</v>
      </c>
      <c r="E1133" s="6" t="s">
        <v>60</v>
      </c>
      <c r="F1133" t="s">
        <v>90</v>
      </c>
      <c r="G1133" s="3" t="s">
        <v>91</v>
      </c>
      <c r="H1133">
        <v>7.8</v>
      </c>
      <c r="I1133">
        <v>70.34</v>
      </c>
      <c r="J1133">
        <v>548.69000000000005</v>
      </c>
      <c r="K1133" t="s">
        <v>96</v>
      </c>
      <c r="L1133" t="b">
        <v>0</v>
      </c>
    </row>
    <row r="1134" spans="1:13" ht="68" x14ac:dyDescent="0.2">
      <c r="A1134" t="s">
        <v>1534</v>
      </c>
      <c r="B1134" t="s">
        <v>588</v>
      </c>
      <c r="C1134" t="s">
        <v>295</v>
      </c>
      <c r="D1134" s="1">
        <v>45231</v>
      </c>
      <c r="E1134" s="6" t="s">
        <v>16</v>
      </c>
      <c r="F1134" t="s">
        <v>50</v>
      </c>
      <c r="G1134" s="3" t="s">
        <v>51</v>
      </c>
      <c r="H1134">
        <v>2.6</v>
      </c>
      <c r="I1134">
        <v>73.14</v>
      </c>
      <c r="J1134">
        <v>190.17</v>
      </c>
      <c r="K1134" t="s">
        <v>113</v>
      </c>
      <c r="L1134" t="b">
        <v>0</v>
      </c>
    </row>
    <row r="1135" spans="1:13" ht="17" x14ac:dyDescent="0.2">
      <c r="A1135" t="s">
        <v>1535</v>
      </c>
      <c r="B1135" t="s">
        <v>1028</v>
      </c>
      <c r="C1135" t="s">
        <v>178</v>
      </c>
      <c r="D1135" s="1">
        <v>45131</v>
      </c>
      <c r="E1135" s="6" t="s">
        <v>16</v>
      </c>
      <c r="F1135" t="s">
        <v>17</v>
      </c>
      <c r="G1135" s="3" t="s">
        <v>18</v>
      </c>
      <c r="H1135">
        <v>2.6</v>
      </c>
      <c r="I1135">
        <v>43.62</v>
      </c>
      <c r="J1135">
        <v>113.42</v>
      </c>
      <c r="K1135" t="s">
        <v>36</v>
      </c>
      <c r="L1135" t="b">
        <v>0</v>
      </c>
    </row>
    <row r="1136" spans="1:13" ht="17" x14ac:dyDescent="0.2">
      <c r="A1136" t="s">
        <v>1536</v>
      </c>
      <c r="B1136" t="s">
        <v>736</v>
      </c>
      <c r="C1136" t="s">
        <v>194</v>
      </c>
      <c r="D1136" s="1">
        <v>45312</v>
      </c>
      <c r="E1136" s="6" t="s">
        <v>23</v>
      </c>
      <c r="F1136" t="s">
        <v>17</v>
      </c>
      <c r="G1136" s="3" t="s">
        <v>18</v>
      </c>
      <c r="H1136">
        <v>23.5</v>
      </c>
      <c r="I1136">
        <v>81.849999999999994</v>
      </c>
      <c r="J1136">
        <v>1923.48</v>
      </c>
      <c r="K1136" t="s">
        <v>96</v>
      </c>
      <c r="L1136" t="b">
        <v>1</v>
      </c>
      <c r="M1136" s="3" t="s">
        <v>79</v>
      </c>
    </row>
    <row r="1137" spans="1:12" ht="34" x14ac:dyDescent="0.2">
      <c r="A1137" t="s">
        <v>1537</v>
      </c>
      <c r="B1137" t="s">
        <v>1105</v>
      </c>
      <c r="C1137" t="s">
        <v>183</v>
      </c>
      <c r="D1137" s="1">
        <v>45581</v>
      </c>
      <c r="E1137" s="6" t="s">
        <v>16</v>
      </c>
      <c r="F1137" t="s">
        <v>45</v>
      </c>
      <c r="G1137" s="3" t="s">
        <v>46</v>
      </c>
      <c r="H1137">
        <v>7.5</v>
      </c>
      <c r="I1137">
        <v>48.52</v>
      </c>
      <c r="J1137">
        <v>363.93</v>
      </c>
      <c r="K1137" t="s">
        <v>92</v>
      </c>
      <c r="L1137" t="b">
        <v>0</v>
      </c>
    </row>
    <row r="1138" spans="1:12" ht="34" x14ac:dyDescent="0.2">
      <c r="A1138" t="s">
        <v>1538</v>
      </c>
      <c r="B1138" t="s">
        <v>842</v>
      </c>
      <c r="C1138" t="s">
        <v>95</v>
      </c>
      <c r="D1138" s="1">
        <v>45039</v>
      </c>
      <c r="E1138" s="6" t="s">
        <v>60</v>
      </c>
      <c r="F1138" t="s">
        <v>54</v>
      </c>
      <c r="G1138" s="3" t="s">
        <v>55</v>
      </c>
      <c r="H1138">
        <v>6.7</v>
      </c>
      <c r="I1138">
        <v>77.94</v>
      </c>
      <c r="J1138">
        <v>522.23</v>
      </c>
      <c r="K1138" t="s">
        <v>92</v>
      </c>
      <c r="L1138" t="b">
        <v>0</v>
      </c>
    </row>
    <row r="1139" spans="1:12" ht="17" x14ac:dyDescent="0.2">
      <c r="A1139" t="s">
        <v>1539</v>
      </c>
      <c r="B1139" t="s">
        <v>150</v>
      </c>
      <c r="C1139" t="s">
        <v>343</v>
      </c>
      <c r="D1139" s="1">
        <v>45109</v>
      </c>
      <c r="E1139" s="6" t="s">
        <v>78</v>
      </c>
      <c r="F1139" t="s">
        <v>17</v>
      </c>
      <c r="G1139" s="3" t="s">
        <v>18</v>
      </c>
      <c r="H1139">
        <v>2.2000000000000002</v>
      </c>
      <c r="I1139">
        <v>53.52</v>
      </c>
      <c r="J1139">
        <v>117.74</v>
      </c>
      <c r="K1139" t="s">
        <v>32</v>
      </c>
      <c r="L1139" t="b">
        <v>0</v>
      </c>
    </row>
    <row r="1140" spans="1:12" ht="17" x14ac:dyDescent="0.2">
      <c r="A1140" t="s">
        <v>1540</v>
      </c>
      <c r="B1140" t="s">
        <v>384</v>
      </c>
      <c r="C1140" t="s">
        <v>175</v>
      </c>
      <c r="D1140" s="1">
        <v>45147</v>
      </c>
      <c r="E1140" s="6" t="s">
        <v>78</v>
      </c>
      <c r="F1140" t="s">
        <v>17</v>
      </c>
      <c r="G1140" s="3" t="s">
        <v>18</v>
      </c>
      <c r="H1140">
        <v>4.8</v>
      </c>
      <c r="I1140">
        <v>35.25</v>
      </c>
      <c r="J1140">
        <v>169.19</v>
      </c>
      <c r="K1140" t="s">
        <v>92</v>
      </c>
      <c r="L1140" t="b">
        <v>0</v>
      </c>
    </row>
    <row r="1141" spans="1:12" ht="68" x14ac:dyDescent="0.2">
      <c r="A1141" t="s">
        <v>1541</v>
      </c>
      <c r="B1141" t="s">
        <v>236</v>
      </c>
      <c r="C1141" t="s">
        <v>343</v>
      </c>
      <c r="D1141" s="1">
        <v>45359</v>
      </c>
      <c r="E1141" s="6" t="s">
        <v>16</v>
      </c>
      <c r="F1141" t="s">
        <v>50</v>
      </c>
      <c r="G1141" s="3" t="s">
        <v>51</v>
      </c>
      <c r="H1141">
        <v>5</v>
      </c>
      <c r="I1141">
        <v>49.34</v>
      </c>
      <c r="J1141">
        <v>246.71</v>
      </c>
      <c r="K1141" t="s">
        <v>19</v>
      </c>
      <c r="L1141" t="b">
        <v>0</v>
      </c>
    </row>
    <row r="1142" spans="1:12" ht="34" x14ac:dyDescent="0.2">
      <c r="A1142" t="s">
        <v>1542</v>
      </c>
      <c r="B1142" t="s">
        <v>549</v>
      </c>
      <c r="C1142" t="s">
        <v>450</v>
      </c>
      <c r="D1142" s="1">
        <v>45074</v>
      </c>
      <c r="E1142" s="6" t="s">
        <v>78</v>
      </c>
      <c r="F1142" t="s">
        <v>90</v>
      </c>
      <c r="G1142" s="3" t="s">
        <v>91</v>
      </c>
      <c r="H1142">
        <v>4</v>
      </c>
      <c r="I1142">
        <v>63.97</v>
      </c>
      <c r="J1142">
        <v>255.87</v>
      </c>
      <c r="K1142" t="s">
        <v>36</v>
      </c>
      <c r="L1142" t="b">
        <v>0</v>
      </c>
    </row>
    <row r="1143" spans="1:12" ht="17" x14ac:dyDescent="0.2">
      <c r="A1143" t="s">
        <v>1543</v>
      </c>
      <c r="B1143" t="s">
        <v>241</v>
      </c>
      <c r="C1143" t="s">
        <v>186</v>
      </c>
      <c r="D1143" s="1">
        <v>45589</v>
      </c>
      <c r="E1143" s="6" t="s">
        <v>89</v>
      </c>
      <c r="F1143" t="s">
        <v>17</v>
      </c>
      <c r="G1143" s="3" t="s">
        <v>18</v>
      </c>
      <c r="H1143">
        <v>4.4000000000000004</v>
      </c>
      <c r="I1143">
        <v>49.81</v>
      </c>
      <c r="J1143">
        <v>219.15</v>
      </c>
      <c r="K1143" t="s">
        <v>105</v>
      </c>
      <c r="L1143" t="b">
        <v>0</v>
      </c>
    </row>
    <row r="1144" spans="1:12" ht="17" x14ac:dyDescent="0.2">
      <c r="A1144" t="s">
        <v>1544</v>
      </c>
      <c r="B1144" t="s">
        <v>70</v>
      </c>
      <c r="C1144" t="s">
        <v>183</v>
      </c>
      <c r="D1144" s="1">
        <v>44954</v>
      </c>
      <c r="E1144" s="6" t="s">
        <v>60</v>
      </c>
      <c r="F1144" t="s">
        <v>30</v>
      </c>
      <c r="G1144" s="3" t="s">
        <v>31</v>
      </c>
      <c r="H1144">
        <v>5.3</v>
      </c>
      <c r="I1144">
        <v>83.43</v>
      </c>
      <c r="J1144">
        <v>442.2</v>
      </c>
      <c r="K1144" t="s">
        <v>26</v>
      </c>
      <c r="L1144" t="b">
        <v>0</v>
      </c>
    </row>
    <row r="1145" spans="1:12" ht="34" x14ac:dyDescent="0.2">
      <c r="A1145" t="s">
        <v>1545</v>
      </c>
      <c r="B1145" t="s">
        <v>456</v>
      </c>
      <c r="C1145" t="s">
        <v>161</v>
      </c>
      <c r="D1145" s="1">
        <v>44975</v>
      </c>
      <c r="E1145" s="6" t="s">
        <v>89</v>
      </c>
      <c r="F1145" t="s">
        <v>90</v>
      </c>
      <c r="G1145" s="3" t="s">
        <v>91</v>
      </c>
      <c r="H1145">
        <v>4</v>
      </c>
      <c r="I1145">
        <v>73.83</v>
      </c>
      <c r="J1145">
        <v>295.33999999999997</v>
      </c>
      <c r="K1145" t="s">
        <v>92</v>
      </c>
      <c r="L1145" t="b">
        <v>0</v>
      </c>
    </row>
    <row r="1146" spans="1:12" ht="34" x14ac:dyDescent="0.2">
      <c r="A1146" t="s">
        <v>1546</v>
      </c>
      <c r="B1146" t="s">
        <v>388</v>
      </c>
      <c r="C1146" t="s">
        <v>295</v>
      </c>
      <c r="D1146" s="1">
        <v>45544</v>
      </c>
      <c r="E1146" s="6" t="s">
        <v>78</v>
      </c>
      <c r="F1146" t="s">
        <v>61</v>
      </c>
      <c r="G1146" s="3" t="s">
        <v>62</v>
      </c>
      <c r="H1146">
        <v>6.7</v>
      </c>
      <c r="I1146">
        <v>51.12</v>
      </c>
      <c r="J1146">
        <v>342.51</v>
      </c>
      <c r="K1146" t="s">
        <v>56</v>
      </c>
      <c r="L1146" t="b">
        <v>0</v>
      </c>
    </row>
    <row r="1147" spans="1:12" ht="17" x14ac:dyDescent="0.2">
      <c r="A1147" t="s">
        <v>1547</v>
      </c>
      <c r="B1147" t="s">
        <v>819</v>
      </c>
      <c r="C1147" t="s">
        <v>450</v>
      </c>
      <c r="D1147" s="1">
        <v>45213</v>
      </c>
      <c r="E1147" s="6" t="s">
        <v>16</v>
      </c>
      <c r="F1147" t="s">
        <v>30</v>
      </c>
      <c r="G1147" s="3" t="s">
        <v>31</v>
      </c>
      <c r="H1147">
        <v>3</v>
      </c>
      <c r="I1147">
        <v>65.180000000000007</v>
      </c>
      <c r="J1147">
        <v>195.53</v>
      </c>
      <c r="K1147" t="s">
        <v>105</v>
      </c>
      <c r="L1147" t="b">
        <v>0</v>
      </c>
    </row>
    <row r="1148" spans="1:12" ht="17" x14ac:dyDescent="0.2">
      <c r="A1148" t="s">
        <v>1548</v>
      </c>
      <c r="B1148" t="s">
        <v>527</v>
      </c>
      <c r="C1148" t="s">
        <v>499</v>
      </c>
      <c r="D1148" s="1">
        <v>45625</v>
      </c>
      <c r="E1148" s="6" t="s">
        <v>78</v>
      </c>
      <c r="F1148" t="s">
        <v>17</v>
      </c>
      <c r="G1148" s="3" t="s">
        <v>18</v>
      </c>
      <c r="H1148">
        <v>2.7</v>
      </c>
      <c r="I1148">
        <v>60.76</v>
      </c>
      <c r="J1148">
        <v>164.06</v>
      </c>
      <c r="K1148" t="s">
        <v>82</v>
      </c>
      <c r="L1148" t="b">
        <v>0</v>
      </c>
    </row>
    <row r="1149" spans="1:12" ht="34" x14ac:dyDescent="0.2">
      <c r="A1149" t="s">
        <v>1549</v>
      </c>
      <c r="B1149" t="s">
        <v>819</v>
      </c>
      <c r="C1149" t="s">
        <v>274</v>
      </c>
      <c r="D1149" s="1">
        <v>45518</v>
      </c>
      <c r="E1149" s="6" t="s">
        <v>60</v>
      </c>
      <c r="F1149" t="s">
        <v>90</v>
      </c>
      <c r="G1149" s="3" t="s">
        <v>91</v>
      </c>
      <c r="H1149">
        <v>6.9</v>
      </c>
      <c r="I1149">
        <v>35.57</v>
      </c>
      <c r="J1149">
        <v>245.44</v>
      </c>
      <c r="K1149" t="s">
        <v>105</v>
      </c>
      <c r="L1149" t="b">
        <v>0</v>
      </c>
    </row>
    <row r="1150" spans="1:12" ht="34" x14ac:dyDescent="0.2">
      <c r="A1150" t="s">
        <v>1550</v>
      </c>
      <c r="B1150" t="s">
        <v>536</v>
      </c>
      <c r="C1150" t="s">
        <v>499</v>
      </c>
      <c r="D1150" s="1">
        <v>45255</v>
      </c>
      <c r="E1150" s="6" t="s">
        <v>89</v>
      </c>
      <c r="F1150" t="s">
        <v>90</v>
      </c>
      <c r="G1150" s="3" t="s">
        <v>91</v>
      </c>
      <c r="H1150">
        <v>5.6</v>
      </c>
      <c r="I1150">
        <v>66.13</v>
      </c>
      <c r="J1150">
        <v>370.33</v>
      </c>
      <c r="K1150" t="s">
        <v>113</v>
      </c>
      <c r="L1150" t="b">
        <v>0</v>
      </c>
    </row>
    <row r="1151" spans="1:12" ht="34" x14ac:dyDescent="0.2">
      <c r="A1151" t="s">
        <v>1551</v>
      </c>
      <c r="B1151" t="s">
        <v>265</v>
      </c>
      <c r="C1151" t="s">
        <v>153</v>
      </c>
      <c r="D1151" s="1">
        <v>45649</v>
      </c>
      <c r="E1151" s="6" t="s">
        <v>44</v>
      </c>
      <c r="F1151" t="s">
        <v>61</v>
      </c>
      <c r="G1151" s="3" t="s">
        <v>62</v>
      </c>
      <c r="H1151">
        <v>4</v>
      </c>
      <c r="I1151">
        <v>63.7</v>
      </c>
      <c r="J1151">
        <v>254.8</v>
      </c>
      <c r="K1151" t="s">
        <v>26</v>
      </c>
      <c r="L1151" t="b">
        <v>0</v>
      </c>
    </row>
    <row r="1152" spans="1:12" ht="34" x14ac:dyDescent="0.2">
      <c r="A1152" t="s">
        <v>1552</v>
      </c>
      <c r="B1152" t="s">
        <v>484</v>
      </c>
      <c r="C1152" t="s">
        <v>15</v>
      </c>
      <c r="D1152" s="1">
        <v>44999</v>
      </c>
      <c r="E1152" s="6" t="s">
        <v>89</v>
      </c>
      <c r="F1152" t="s">
        <v>90</v>
      </c>
      <c r="G1152" s="3" t="s">
        <v>91</v>
      </c>
      <c r="H1152">
        <v>3.3</v>
      </c>
      <c r="I1152">
        <v>33.340000000000003</v>
      </c>
      <c r="J1152">
        <v>110.01</v>
      </c>
      <c r="K1152" t="s">
        <v>26</v>
      </c>
      <c r="L1152" t="b">
        <v>0</v>
      </c>
    </row>
    <row r="1153" spans="1:13" ht="34" x14ac:dyDescent="0.2">
      <c r="A1153" t="s">
        <v>1553</v>
      </c>
      <c r="B1153" t="s">
        <v>198</v>
      </c>
      <c r="C1153" t="s">
        <v>124</v>
      </c>
      <c r="D1153" s="1">
        <v>45442</v>
      </c>
      <c r="E1153" s="6" t="s">
        <v>60</v>
      </c>
      <c r="F1153" t="s">
        <v>24</v>
      </c>
      <c r="G1153" s="3" t="s">
        <v>25</v>
      </c>
      <c r="H1153">
        <v>6.5</v>
      </c>
      <c r="I1153">
        <v>64.650000000000006</v>
      </c>
      <c r="J1153">
        <v>420.24</v>
      </c>
      <c r="K1153" t="s">
        <v>82</v>
      </c>
      <c r="L1153" t="b">
        <v>0</v>
      </c>
    </row>
    <row r="1154" spans="1:13" ht="34" x14ac:dyDescent="0.2">
      <c r="A1154" t="s">
        <v>1554</v>
      </c>
      <c r="B1154" t="s">
        <v>112</v>
      </c>
      <c r="C1154" t="s">
        <v>450</v>
      </c>
      <c r="D1154" s="1">
        <v>45141</v>
      </c>
      <c r="E1154" s="6" t="s">
        <v>23</v>
      </c>
      <c r="F1154" t="s">
        <v>45</v>
      </c>
      <c r="G1154" s="3" t="s">
        <v>46</v>
      </c>
      <c r="H1154">
        <v>4.3</v>
      </c>
      <c r="I1154">
        <v>59.68</v>
      </c>
      <c r="J1154">
        <v>256.61</v>
      </c>
      <c r="K1154" t="s">
        <v>113</v>
      </c>
      <c r="L1154" t="b">
        <v>0</v>
      </c>
    </row>
    <row r="1155" spans="1:13" ht="17" x14ac:dyDescent="0.2">
      <c r="A1155" t="s">
        <v>1555</v>
      </c>
      <c r="B1155" t="s">
        <v>302</v>
      </c>
      <c r="C1155" t="s">
        <v>295</v>
      </c>
      <c r="D1155" s="1">
        <v>45292</v>
      </c>
      <c r="E1155" s="6" t="s">
        <v>89</v>
      </c>
      <c r="F1155" t="s">
        <v>30</v>
      </c>
      <c r="G1155" s="3" t="s">
        <v>31</v>
      </c>
      <c r="H1155">
        <v>6.1</v>
      </c>
      <c r="I1155">
        <v>44</v>
      </c>
      <c r="J1155">
        <v>268.37</v>
      </c>
      <c r="K1155" t="s">
        <v>96</v>
      </c>
      <c r="L1155" t="b">
        <v>0</v>
      </c>
    </row>
    <row r="1156" spans="1:13" ht="34" x14ac:dyDescent="0.2">
      <c r="A1156" t="s">
        <v>1556</v>
      </c>
      <c r="B1156" t="s">
        <v>150</v>
      </c>
      <c r="C1156" t="s">
        <v>499</v>
      </c>
      <c r="D1156" s="1">
        <v>44991</v>
      </c>
      <c r="E1156" s="6" t="s">
        <v>16</v>
      </c>
      <c r="F1156" t="s">
        <v>45</v>
      </c>
      <c r="G1156" s="3" t="s">
        <v>46</v>
      </c>
      <c r="H1156">
        <v>7.5</v>
      </c>
      <c r="I1156">
        <v>81.2</v>
      </c>
      <c r="J1156">
        <v>609</v>
      </c>
      <c r="K1156" t="s">
        <v>32</v>
      </c>
      <c r="L1156" t="b">
        <v>1</v>
      </c>
      <c r="M1156" s="3" t="s">
        <v>102</v>
      </c>
    </row>
    <row r="1157" spans="1:13" ht="34" x14ac:dyDescent="0.2">
      <c r="A1157" t="s">
        <v>1557</v>
      </c>
      <c r="B1157" t="s">
        <v>613</v>
      </c>
      <c r="C1157" t="s">
        <v>196</v>
      </c>
      <c r="D1157" s="1">
        <v>45629</v>
      </c>
      <c r="E1157" s="6" t="s">
        <v>89</v>
      </c>
      <c r="F1157" t="s">
        <v>54</v>
      </c>
      <c r="G1157" s="3" t="s">
        <v>55</v>
      </c>
      <c r="H1157">
        <v>7.9</v>
      </c>
      <c r="I1157">
        <v>59.96</v>
      </c>
      <c r="J1157">
        <v>473.71</v>
      </c>
      <c r="K1157" t="s">
        <v>26</v>
      </c>
      <c r="L1157" t="b">
        <v>0</v>
      </c>
    </row>
    <row r="1158" spans="1:13" ht="34" x14ac:dyDescent="0.2">
      <c r="A1158" t="s">
        <v>1558</v>
      </c>
      <c r="B1158" t="s">
        <v>1413</v>
      </c>
      <c r="C1158" t="s">
        <v>256</v>
      </c>
      <c r="D1158" s="1">
        <v>45174</v>
      </c>
      <c r="E1158" s="6" t="s">
        <v>44</v>
      </c>
      <c r="F1158" t="s">
        <v>61</v>
      </c>
      <c r="G1158" s="3" t="s">
        <v>62</v>
      </c>
      <c r="H1158">
        <v>7.1</v>
      </c>
      <c r="I1158">
        <v>76.150000000000006</v>
      </c>
      <c r="J1158">
        <v>540.66999999999996</v>
      </c>
      <c r="K1158" t="s">
        <v>32</v>
      </c>
      <c r="L1158" t="b">
        <v>0</v>
      </c>
    </row>
    <row r="1159" spans="1:13" ht="34" x14ac:dyDescent="0.2">
      <c r="A1159" t="s">
        <v>1559</v>
      </c>
      <c r="B1159" t="s">
        <v>204</v>
      </c>
      <c r="C1159" t="s">
        <v>370</v>
      </c>
      <c r="D1159" s="1">
        <v>45596</v>
      </c>
      <c r="E1159" s="6" t="s">
        <v>44</v>
      </c>
      <c r="F1159" t="s">
        <v>54</v>
      </c>
      <c r="G1159" s="3" t="s">
        <v>55</v>
      </c>
      <c r="H1159">
        <v>7.4</v>
      </c>
      <c r="I1159">
        <v>83.07</v>
      </c>
      <c r="J1159">
        <v>614.75</v>
      </c>
      <c r="K1159" t="s">
        <v>113</v>
      </c>
      <c r="L1159" t="b">
        <v>0</v>
      </c>
    </row>
    <row r="1160" spans="1:13" ht="34" x14ac:dyDescent="0.2">
      <c r="A1160" t="s">
        <v>1560</v>
      </c>
      <c r="B1160" t="s">
        <v>1198</v>
      </c>
      <c r="C1160" t="s">
        <v>280</v>
      </c>
      <c r="D1160" s="1">
        <v>45331</v>
      </c>
      <c r="E1160" s="6" t="s">
        <v>44</v>
      </c>
      <c r="F1160" t="s">
        <v>54</v>
      </c>
      <c r="G1160" s="3" t="s">
        <v>55</v>
      </c>
      <c r="H1160">
        <v>2.7</v>
      </c>
      <c r="I1160">
        <v>41.93</v>
      </c>
      <c r="J1160">
        <v>113.22</v>
      </c>
      <c r="K1160" t="s">
        <v>113</v>
      </c>
      <c r="L1160" t="b">
        <v>0</v>
      </c>
    </row>
    <row r="1161" spans="1:13" ht="17" x14ac:dyDescent="0.2">
      <c r="A1161" t="s">
        <v>1561</v>
      </c>
      <c r="B1161" t="s">
        <v>617</v>
      </c>
      <c r="C1161" t="s">
        <v>39</v>
      </c>
      <c r="D1161" s="1">
        <v>45437</v>
      </c>
      <c r="E1161" s="6" t="s">
        <v>16</v>
      </c>
      <c r="F1161" t="s">
        <v>30</v>
      </c>
      <c r="G1161" s="3" t="s">
        <v>31</v>
      </c>
      <c r="H1161">
        <v>4.5999999999999996</v>
      </c>
      <c r="I1161">
        <v>60.41</v>
      </c>
      <c r="J1161">
        <v>277.89</v>
      </c>
      <c r="K1161" t="s">
        <v>82</v>
      </c>
      <c r="L1161" t="b">
        <v>0</v>
      </c>
    </row>
    <row r="1162" spans="1:13" ht="34" x14ac:dyDescent="0.2">
      <c r="A1162" t="s">
        <v>1562</v>
      </c>
      <c r="B1162" t="s">
        <v>331</v>
      </c>
      <c r="C1162" t="s">
        <v>119</v>
      </c>
      <c r="D1162" s="1">
        <v>45069</v>
      </c>
      <c r="E1162" s="6" t="s">
        <v>60</v>
      </c>
      <c r="F1162" t="s">
        <v>54</v>
      </c>
      <c r="G1162" s="3" t="s">
        <v>55</v>
      </c>
      <c r="H1162">
        <v>6.3</v>
      </c>
      <c r="I1162">
        <v>49.36</v>
      </c>
      <c r="J1162">
        <v>310.98</v>
      </c>
      <c r="K1162" t="s">
        <v>19</v>
      </c>
      <c r="L1162" t="b">
        <v>0</v>
      </c>
    </row>
    <row r="1163" spans="1:13" ht="17" x14ac:dyDescent="0.2">
      <c r="A1163" t="s">
        <v>1563</v>
      </c>
      <c r="B1163" t="s">
        <v>311</v>
      </c>
      <c r="C1163" t="s">
        <v>85</v>
      </c>
      <c r="D1163" s="1">
        <v>45021</v>
      </c>
      <c r="E1163" s="6" t="s">
        <v>23</v>
      </c>
      <c r="F1163" t="s">
        <v>30</v>
      </c>
      <c r="G1163" s="3" t="s">
        <v>31</v>
      </c>
      <c r="H1163">
        <v>6</v>
      </c>
      <c r="I1163">
        <v>53.49</v>
      </c>
      <c r="J1163">
        <v>320.95</v>
      </c>
      <c r="K1163" t="s">
        <v>19</v>
      </c>
      <c r="L1163" t="b">
        <v>0</v>
      </c>
    </row>
    <row r="1164" spans="1:13" ht="34" x14ac:dyDescent="0.2">
      <c r="A1164" t="s">
        <v>1564</v>
      </c>
      <c r="B1164" t="s">
        <v>352</v>
      </c>
      <c r="C1164" t="s">
        <v>323</v>
      </c>
      <c r="D1164" s="1">
        <v>45158</v>
      </c>
      <c r="E1164" s="6" t="s">
        <v>60</v>
      </c>
      <c r="F1164" t="s">
        <v>61</v>
      </c>
      <c r="G1164" s="3" t="s">
        <v>62</v>
      </c>
      <c r="H1164">
        <v>17.3</v>
      </c>
      <c r="I1164">
        <v>46.62</v>
      </c>
      <c r="J1164">
        <v>806.53</v>
      </c>
      <c r="K1164" t="s">
        <v>56</v>
      </c>
      <c r="L1164" t="b">
        <v>1</v>
      </c>
      <c r="M1164" s="3" t="s">
        <v>79</v>
      </c>
    </row>
    <row r="1165" spans="1:13" ht="68" x14ac:dyDescent="0.2">
      <c r="A1165" t="s">
        <v>1565</v>
      </c>
      <c r="B1165" t="s">
        <v>1105</v>
      </c>
      <c r="C1165" t="s">
        <v>266</v>
      </c>
      <c r="D1165" s="1">
        <v>45555</v>
      </c>
      <c r="E1165" s="6" t="s">
        <v>23</v>
      </c>
      <c r="F1165" t="s">
        <v>50</v>
      </c>
      <c r="G1165" s="3" t="s">
        <v>51</v>
      </c>
      <c r="H1165">
        <v>3.7</v>
      </c>
      <c r="I1165">
        <v>77.36</v>
      </c>
      <c r="J1165">
        <v>286.25</v>
      </c>
      <c r="K1165" t="s">
        <v>92</v>
      </c>
      <c r="L1165" t="b">
        <v>0</v>
      </c>
    </row>
    <row r="1166" spans="1:13" ht="68" x14ac:dyDescent="0.2">
      <c r="A1166" t="s">
        <v>1566</v>
      </c>
      <c r="B1166" t="s">
        <v>81</v>
      </c>
      <c r="C1166" t="s">
        <v>211</v>
      </c>
      <c r="D1166" s="1">
        <v>45087</v>
      </c>
      <c r="E1166" s="6" t="s">
        <v>23</v>
      </c>
      <c r="F1166" t="s">
        <v>50</v>
      </c>
      <c r="G1166" s="3" t="s">
        <v>51</v>
      </c>
      <c r="H1166">
        <v>15.6</v>
      </c>
      <c r="I1166">
        <v>63.9</v>
      </c>
      <c r="J1166">
        <v>1000</v>
      </c>
      <c r="K1166" t="s">
        <v>82</v>
      </c>
      <c r="L1166" t="b">
        <v>1</v>
      </c>
      <c r="M1166" s="3" t="s">
        <v>40</v>
      </c>
    </row>
    <row r="1167" spans="1:13" ht="17" x14ac:dyDescent="0.2">
      <c r="A1167" t="s">
        <v>1567</v>
      </c>
      <c r="B1167" t="s">
        <v>527</v>
      </c>
      <c r="C1167" t="s">
        <v>380</v>
      </c>
      <c r="D1167" s="1">
        <v>45472</v>
      </c>
      <c r="E1167" s="6" t="s">
        <v>23</v>
      </c>
      <c r="F1167" t="s">
        <v>17</v>
      </c>
      <c r="G1167" s="3" t="s">
        <v>18</v>
      </c>
      <c r="H1167">
        <v>5.9</v>
      </c>
      <c r="I1167">
        <v>83.5</v>
      </c>
      <c r="J1167">
        <v>492.64</v>
      </c>
      <c r="K1167" t="s">
        <v>82</v>
      </c>
      <c r="L1167" t="b">
        <v>0</v>
      </c>
    </row>
    <row r="1168" spans="1:13" ht="34" x14ac:dyDescent="0.2">
      <c r="A1168" t="s">
        <v>1568</v>
      </c>
      <c r="B1168" t="s">
        <v>255</v>
      </c>
      <c r="C1168" t="s">
        <v>274</v>
      </c>
      <c r="D1168" s="1">
        <v>45520</v>
      </c>
      <c r="E1168" s="6" t="s">
        <v>60</v>
      </c>
      <c r="F1168" t="s">
        <v>90</v>
      </c>
      <c r="G1168" s="3" t="s">
        <v>91</v>
      </c>
      <c r="H1168">
        <v>2.8</v>
      </c>
      <c r="I1168">
        <v>73.36</v>
      </c>
      <c r="J1168">
        <v>205.4</v>
      </c>
      <c r="K1168" t="s">
        <v>92</v>
      </c>
      <c r="L1168" t="b">
        <v>0</v>
      </c>
    </row>
    <row r="1169" spans="1:13" ht="34" x14ac:dyDescent="0.2">
      <c r="A1169" t="s">
        <v>1569</v>
      </c>
      <c r="B1169" t="s">
        <v>556</v>
      </c>
      <c r="C1169" t="s">
        <v>343</v>
      </c>
      <c r="D1169" s="1">
        <v>45509</v>
      </c>
      <c r="E1169" s="6" t="s">
        <v>60</v>
      </c>
      <c r="F1169" t="s">
        <v>61</v>
      </c>
      <c r="G1169" s="3" t="s">
        <v>62</v>
      </c>
      <c r="H1169">
        <v>5.7</v>
      </c>
      <c r="I1169">
        <v>52.26</v>
      </c>
      <c r="J1169">
        <v>297.89999999999998</v>
      </c>
      <c r="K1169" t="s">
        <v>56</v>
      </c>
      <c r="L1169" t="b">
        <v>0</v>
      </c>
    </row>
    <row r="1170" spans="1:13" ht="17" x14ac:dyDescent="0.2">
      <c r="A1170" t="s">
        <v>1570</v>
      </c>
      <c r="B1170" t="s">
        <v>309</v>
      </c>
      <c r="C1170" t="s">
        <v>161</v>
      </c>
      <c r="D1170" s="1">
        <v>45041</v>
      </c>
      <c r="E1170" s="6" t="s">
        <v>60</v>
      </c>
      <c r="F1170" t="s">
        <v>17</v>
      </c>
      <c r="G1170" s="3" t="s">
        <v>18</v>
      </c>
      <c r="H1170">
        <v>4.3</v>
      </c>
      <c r="I1170">
        <v>38.54</v>
      </c>
      <c r="J1170">
        <v>165.74</v>
      </c>
      <c r="K1170" t="s">
        <v>82</v>
      </c>
      <c r="L1170" t="b">
        <v>0</v>
      </c>
    </row>
    <row r="1171" spans="1:13" ht="34" x14ac:dyDescent="0.2">
      <c r="A1171" t="s">
        <v>1571</v>
      </c>
      <c r="B1171" t="s">
        <v>150</v>
      </c>
      <c r="C1171" t="s">
        <v>119</v>
      </c>
      <c r="D1171" s="1">
        <v>45567</v>
      </c>
      <c r="E1171" s="6" t="s">
        <v>23</v>
      </c>
      <c r="F1171" t="s">
        <v>24</v>
      </c>
      <c r="G1171" s="3" t="s">
        <v>25</v>
      </c>
      <c r="H1171">
        <v>5.5</v>
      </c>
      <c r="I1171">
        <v>75.81</v>
      </c>
      <c r="J1171">
        <v>416.95</v>
      </c>
      <c r="K1171" t="s">
        <v>32</v>
      </c>
      <c r="L1171" t="b">
        <v>0</v>
      </c>
    </row>
    <row r="1172" spans="1:13" ht="34" x14ac:dyDescent="0.2">
      <c r="A1172" t="s">
        <v>1572</v>
      </c>
      <c r="B1172" t="s">
        <v>770</v>
      </c>
      <c r="C1172" t="s">
        <v>194</v>
      </c>
      <c r="D1172" s="1">
        <v>45051</v>
      </c>
      <c r="E1172" s="6" t="s">
        <v>78</v>
      </c>
      <c r="F1172" t="s">
        <v>45</v>
      </c>
      <c r="G1172" s="3" t="s">
        <v>46</v>
      </c>
      <c r="H1172">
        <v>4.5</v>
      </c>
      <c r="I1172">
        <v>57.77</v>
      </c>
      <c r="J1172">
        <v>259.95999999999998</v>
      </c>
      <c r="K1172" t="s">
        <v>96</v>
      </c>
      <c r="L1172" t="b">
        <v>0</v>
      </c>
    </row>
    <row r="1173" spans="1:13" ht="34" x14ac:dyDescent="0.2">
      <c r="A1173" t="s">
        <v>1573</v>
      </c>
      <c r="B1173" t="s">
        <v>276</v>
      </c>
      <c r="C1173" t="s">
        <v>353</v>
      </c>
      <c r="D1173" s="1">
        <v>45092</v>
      </c>
      <c r="E1173" s="6" t="s">
        <v>16</v>
      </c>
      <c r="F1173" t="s">
        <v>24</v>
      </c>
      <c r="G1173" s="3" t="s">
        <v>25</v>
      </c>
      <c r="H1173">
        <v>7.9</v>
      </c>
      <c r="I1173">
        <v>59.09</v>
      </c>
      <c r="J1173">
        <v>466.8</v>
      </c>
      <c r="K1173" t="s">
        <v>105</v>
      </c>
      <c r="L1173" t="b">
        <v>1</v>
      </c>
      <c r="M1173" s="3" t="s">
        <v>102</v>
      </c>
    </row>
    <row r="1174" spans="1:13" ht="34" x14ac:dyDescent="0.2">
      <c r="A1174" t="s">
        <v>1574</v>
      </c>
      <c r="B1174" t="s">
        <v>38</v>
      </c>
      <c r="C1174" t="s">
        <v>194</v>
      </c>
      <c r="D1174" s="1">
        <v>45367</v>
      </c>
      <c r="E1174" s="6" t="s">
        <v>16</v>
      </c>
      <c r="F1174" t="s">
        <v>54</v>
      </c>
      <c r="G1174" s="3" t="s">
        <v>55</v>
      </c>
      <c r="H1174">
        <v>2.7</v>
      </c>
      <c r="I1174">
        <v>53.89</v>
      </c>
      <c r="J1174">
        <v>145.51</v>
      </c>
      <c r="K1174" t="s">
        <v>32</v>
      </c>
      <c r="L1174" t="b">
        <v>0</v>
      </c>
    </row>
    <row r="1175" spans="1:13" ht="34" x14ac:dyDescent="0.2">
      <c r="A1175" t="s">
        <v>1575</v>
      </c>
      <c r="B1175" t="s">
        <v>315</v>
      </c>
      <c r="C1175" t="s">
        <v>15</v>
      </c>
      <c r="D1175" s="1">
        <v>45454</v>
      </c>
      <c r="E1175" s="6" t="s">
        <v>78</v>
      </c>
      <c r="F1175" t="s">
        <v>90</v>
      </c>
      <c r="G1175" s="3" t="s">
        <v>91</v>
      </c>
      <c r="H1175">
        <v>2.9</v>
      </c>
      <c r="I1175">
        <v>68.88</v>
      </c>
      <c r="J1175">
        <v>199.75</v>
      </c>
      <c r="K1175" t="s">
        <v>36</v>
      </c>
      <c r="L1175" t="b">
        <v>0</v>
      </c>
    </row>
    <row r="1176" spans="1:13" ht="17" x14ac:dyDescent="0.2">
      <c r="A1176" t="s">
        <v>1576</v>
      </c>
      <c r="B1176" t="s">
        <v>231</v>
      </c>
      <c r="C1176" t="s">
        <v>172</v>
      </c>
      <c r="D1176" s="1">
        <v>45531</v>
      </c>
      <c r="E1176" s="6" t="s">
        <v>89</v>
      </c>
      <c r="F1176" t="s">
        <v>17</v>
      </c>
      <c r="G1176" s="3" t="s">
        <v>18</v>
      </c>
      <c r="H1176">
        <v>5.0999999999999996</v>
      </c>
      <c r="I1176">
        <v>56.4</v>
      </c>
      <c r="J1176">
        <v>287.64999999999998</v>
      </c>
      <c r="K1176" t="s">
        <v>19</v>
      </c>
      <c r="L1176" t="b">
        <v>0</v>
      </c>
    </row>
    <row r="1177" spans="1:13" ht="34" x14ac:dyDescent="0.2">
      <c r="A1177" t="s">
        <v>1577</v>
      </c>
      <c r="B1177" t="s">
        <v>221</v>
      </c>
      <c r="C1177" t="s">
        <v>119</v>
      </c>
      <c r="D1177" s="1">
        <v>45006</v>
      </c>
      <c r="E1177" s="6" t="s">
        <v>16</v>
      </c>
      <c r="F1177" t="s">
        <v>90</v>
      </c>
      <c r="G1177" s="3" t="s">
        <v>91</v>
      </c>
      <c r="H1177">
        <v>3.5</v>
      </c>
      <c r="I1177">
        <v>62.84</v>
      </c>
      <c r="J1177">
        <v>219.94</v>
      </c>
      <c r="K1177" t="s">
        <v>36</v>
      </c>
      <c r="L1177" t="b">
        <v>0</v>
      </c>
    </row>
    <row r="1178" spans="1:13" ht="34" x14ac:dyDescent="0.2">
      <c r="A1178" t="s">
        <v>1578</v>
      </c>
      <c r="B1178" t="s">
        <v>107</v>
      </c>
      <c r="C1178" t="s">
        <v>178</v>
      </c>
      <c r="D1178" s="1">
        <v>45321</v>
      </c>
      <c r="E1178" s="6" t="s">
        <v>89</v>
      </c>
      <c r="F1178" t="s">
        <v>90</v>
      </c>
      <c r="G1178" s="3" t="s">
        <v>91</v>
      </c>
      <c r="H1178">
        <v>6.1</v>
      </c>
      <c r="I1178">
        <v>57.35</v>
      </c>
      <c r="J1178">
        <v>349.85</v>
      </c>
      <c r="K1178" t="s">
        <v>92</v>
      </c>
      <c r="L1178" t="b">
        <v>0</v>
      </c>
    </row>
    <row r="1179" spans="1:13" ht="34" x14ac:dyDescent="0.2">
      <c r="A1179" t="s">
        <v>1579</v>
      </c>
      <c r="B1179" t="s">
        <v>378</v>
      </c>
      <c r="C1179" t="s">
        <v>65</v>
      </c>
      <c r="D1179" s="1">
        <v>45571</v>
      </c>
      <c r="E1179" s="6" t="s">
        <v>89</v>
      </c>
      <c r="F1179" t="s">
        <v>45</v>
      </c>
      <c r="G1179" s="3" t="s">
        <v>46</v>
      </c>
      <c r="H1179">
        <v>5.7</v>
      </c>
      <c r="I1179">
        <v>79.22</v>
      </c>
      <c r="J1179">
        <v>451.53</v>
      </c>
      <c r="K1179" t="s">
        <v>26</v>
      </c>
      <c r="L1179" t="b">
        <v>0</v>
      </c>
    </row>
    <row r="1180" spans="1:13" ht="34" x14ac:dyDescent="0.2">
      <c r="A1180" t="s">
        <v>1580</v>
      </c>
      <c r="B1180" t="s">
        <v>21</v>
      </c>
      <c r="C1180" t="s">
        <v>110</v>
      </c>
      <c r="D1180" s="1">
        <v>45096</v>
      </c>
      <c r="E1180" s="6" t="s">
        <v>60</v>
      </c>
      <c r="F1180" t="s">
        <v>24</v>
      </c>
      <c r="G1180" s="3" t="s">
        <v>25</v>
      </c>
      <c r="H1180">
        <v>20.100000000000001</v>
      </c>
      <c r="I1180">
        <v>55.76</v>
      </c>
      <c r="J1180">
        <v>1120.78</v>
      </c>
      <c r="K1180" t="s">
        <v>26</v>
      </c>
      <c r="L1180" t="b">
        <v>1</v>
      </c>
      <c r="M1180" s="3" t="s">
        <v>79</v>
      </c>
    </row>
    <row r="1181" spans="1:13" ht="34" x14ac:dyDescent="0.2">
      <c r="A1181" t="s">
        <v>1581</v>
      </c>
      <c r="B1181" t="s">
        <v>214</v>
      </c>
      <c r="C1181" t="s">
        <v>191</v>
      </c>
      <c r="D1181" s="1">
        <v>45391</v>
      </c>
      <c r="E1181" s="6" t="s">
        <v>78</v>
      </c>
      <c r="F1181" t="s">
        <v>54</v>
      </c>
      <c r="G1181" s="3" t="s">
        <v>55</v>
      </c>
      <c r="H1181">
        <v>4.5</v>
      </c>
      <c r="I1181">
        <v>82.63</v>
      </c>
      <c r="J1181">
        <v>371.86</v>
      </c>
      <c r="K1181" t="s">
        <v>96</v>
      </c>
      <c r="L1181" t="b">
        <v>0</v>
      </c>
    </row>
    <row r="1182" spans="1:13" ht="34" x14ac:dyDescent="0.2">
      <c r="A1182" t="s">
        <v>1582</v>
      </c>
      <c r="B1182" t="s">
        <v>736</v>
      </c>
      <c r="C1182" t="s">
        <v>15</v>
      </c>
      <c r="D1182" s="1">
        <v>45260</v>
      </c>
      <c r="E1182" s="6" t="s">
        <v>89</v>
      </c>
      <c r="F1182" t="s">
        <v>45</v>
      </c>
      <c r="G1182" s="3" t="s">
        <v>46</v>
      </c>
      <c r="H1182">
        <v>3</v>
      </c>
      <c r="I1182">
        <v>66.7</v>
      </c>
      <c r="J1182">
        <v>200.11</v>
      </c>
      <c r="K1182" t="s">
        <v>96</v>
      </c>
      <c r="L1182" t="b">
        <v>0</v>
      </c>
    </row>
    <row r="1183" spans="1:13" ht="34" x14ac:dyDescent="0.2">
      <c r="A1183" t="s">
        <v>1583</v>
      </c>
      <c r="B1183" t="s">
        <v>193</v>
      </c>
      <c r="C1183" t="s">
        <v>175</v>
      </c>
      <c r="D1183" s="1">
        <v>45288</v>
      </c>
      <c r="E1183" s="6" t="s">
        <v>44</v>
      </c>
      <c r="F1183" t="s">
        <v>45</v>
      </c>
      <c r="G1183" s="3" t="s">
        <v>46</v>
      </c>
      <c r="H1183">
        <v>6.4</v>
      </c>
      <c r="I1183">
        <v>58.82</v>
      </c>
      <c r="J1183">
        <v>376.46</v>
      </c>
      <c r="K1183" t="s">
        <v>113</v>
      </c>
      <c r="L1183" t="b">
        <v>0</v>
      </c>
    </row>
    <row r="1184" spans="1:13" ht="17" x14ac:dyDescent="0.2">
      <c r="A1184" t="s">
        <v>1584</v>
      </c>
      <c r="B1184" t="s">
        <v>404</v>
      </c>
      <c r="C1184" t="s">
        <v>116</v>
      </c>
      <c r="D1184" s="1">
        <v>44996</v>
      </c>
      <c r="E1184" s="6" t="s">
        <v>16</v>
      </c>
      <c r="F1184" t="s">
        <v>17</v>
      </c>
      <c r="G1184" s="3" t="s">
        <v>18</v>
      </c>
      <c r="H1184">
        <v>5.5</v>
      </c>
      <c r="I1184">
        <v>59.37</v>
      </c>
      <c r="J1184">
        <v>326.54000000000002</v>
      </c>
      <c r="K1184" t="s">
        <v>92</v>
      </c>
      <c r="L1184" t="b">
        <v>0</v>
      </c>
    </row>
    <row r="1185" spans="1:12" ht="34" x14ac:dyDescent="0.2">
      <c r="A1185" t="s">
        <v>1585</v>
      </c>
      <c r="B1185" t="s">
        <v>322</v>
      </c>
      <c r="C1185" t="s">
        <v>88</v>
      </c>
      <c r="D1185" s="1">
        <v>45627</v>
      </c>
      <c r="E1185" s="6" t="s">
        <v>78</v>
      </c>
      <c r="F1185" t="s">
        <v>45</v>
      </c>
      <c r="G1185" s="3" t="s">
        <v>46</v>
      </c>
      <c r="H1185">
        <v>6.9</v>
      </c>
      <c r="I1185">
        <v>62.46</v>
      </c>
      <c r="J1185">
        <v>430.97</v>
      </c>
      <c r="K1185" t="s">
        <v>36</v>
      </c>
      <c r="L1185" t="b">
        <v>0</v>
      </c>
    </row>
    <row r="1186" spans="1:12" ht="17" x14ac:dyDescent="0.2">
      <c r="A1186" t="s">
        <v>1586</v>
      </c>
      <c r="B1186" t="s">
        <v>247</v>
      </c>
      <c r="C1186" t="s">
        <v>127</v>
      </c>
      <c r="D1186" s="1">
        <v>45471</v>
      </c>
      <c r="E1186" s="6" t="s">
        <v>78</v>
      </c>
      <c r="F1186" t="s">
        <v>17</v>
      </c>
      <c r="G1186" s="3" t="s">
        <v>18</v>
      </c>
      <c r="H1186">
        <v>2.5</v>
      </c>
      <c r="I1186">
        <v>55.34</v>
      </c>
      <c r="J1186">
        <v>138.34</v>
      </c>
      <c r="K1186" t="s">
        <v>105</v>
      </c>
      <c r="L1186" t="b">
        <v>0</v>
      </c>
    </row>
    <row r="1187" spans="1:12" ht="34" x14ac:dyDescent="0.2">
      <c r="A1187" t="s">
        <v>1587</v>
      </c>
      <c r="B1187" t="s">
        <v>582</v>
      </c>
      <c r="C1187" t="s">
        <v>191</v>
      </c>
      <c r="D1187" s="1">
        <v>45524</v>
      </c>
      <c r="E1187" s="6" t="s">
        <v>78</v>
      </c>
      <c r="F1187" t="s">
        <v>45</v>
      </c>
      <c r="G1187" s="3" t="s">
        <v>46</v>
      </c>
      <c r="H1187">
        <v>2.8</v>
      </c>
      <c r="I1187">
        <v>41.86</v>
      </c>
      <c r="J1187">
        <v>117.2</v>
      </c>
      <c r="K1187" t="s">
        <v>36</v>
      </c>
      <c r="L1187" t="b">
        <v>0</v>
      </c>
    </row>
    <row r="1188" spans="1:12" ht="34" x14ac:dyDescent="0.2">
      <c r="A1188" t="s">
        <v>1588</v>
      </c>
      <c r="B1188" t="s">
        <v>241</v>
      </c>
      <c r="C1188" t="s">
        <v>350</v>
      </c>
      <c r="D1188" s="1">
        <v>45062</v>
      </c>
      <c r="E1188" s="6" t="s">
        <v>89</v>
      </c>
      <c r="F1188" t="s">
        <v>24</v>
      </c>
      <c r="G1188" s="3" t="s">
        <v>25</v>
      </c>
      <c r="H1188">
        <v>6.4</v>
      </c>
      <c r="I1188">
        <v>61.23</v>
      </c>
      <c r="J1188">
        <v>391.87</v>
      </c>
      <c r="K1188" t="s">
        <v>105</v>
      </c>
      <c r="L1188" t="b">
        <v>0</v>
      </c>
    </row>
    <row r="1189" spans="1:12" ht="68" x14ac:dyDescent="0.2">
      <c r="A1189" t="s">
        <v>1589</v>
      </c>
      <c r="B1189" t="s">
        <v>588</v>
      </c>
      <c r="C1189" t="s">
        <v>119</v>
      </c>
      <c r="D1189" s="1">
        <v>45415</v>
      </c>
      <c r="E1189" s="6" t="s">
        <v>23</v>
      </c>
      <c r="F1189" t="s">
        <v>50</v>
      </c>
      <c r="G1189" s="3" t="s">
        <v>51</v>
      </c>
      <c r="H1189">
        <v>6</v>
      </c>
      <c r="I1189">
        <v>47.19</v>
      </c>
      <c r="J1189">
        <v>283.12</v>
      </c>
      <c r="K1189" t="s">
        <v>113</v>
      </c>
      <c r="L1189" t="b">
        <v>0</v>
      </c>
    </row>
    <row r="1190" spans="1:12" ht="34" x14ac:dyDescent="0.2">
      <c r="A1190" t="s">
        <v>1590</v>
      </c>
      <c r="B1190" t="s">
        <v>369</v>
      </c>
      <c r="C1190" t="s">
        <v>95</v>
      </c>
      <c r="D1190" s="1">
        <v>45068</v>
      </c>
      <c r="E1190" s="6" t="s">
        <v>23</v>
      </c>
      <c r="F1190" t="s">
        <v>45</v>
      </c>
      <c r="G1190" s="3" t="s">
        <v>46</v>
      </c>
      <c r="H1190">
        <v>6.7</v>
      </c>
      <c r="I1190">
        <v>39.17</v>
      </c>
      <c r="J1190">
        <v>262.45</v>
      </c>
      <c r="K1190" t="s">
        <v>82</v>
      </c>
      <c r="L1190" t="b">
        <v>0</v>
      </c>
    </row>
    <row r="1191" spans="1:12" ht="34" x14ac:dyDescent="0.2">
      <c r="A1191" t="s">
        <v>1591</v>
      </c>
      <c r="B1191" t="s">
        <v>1592</v>
      </c>
      <c r="C1191" t="s">
        <v>332</v>
      </c>
      <c r="D1191" s="1">
        <v>45284</v>
      </c>
      <c r="E1191" s="6" t="s">
        <v>23</v>
      </c>
      <c r="F1191" t="s">
        <v>24</v>
      </c>
      <c r="G1191" s="3" t="s">
        <v>25</v>
      </c>
      <c r="H1191">
        <v>4.0999999999999996</v>
      </c>
      <c r="I1191">
        <v>30.06</v>
      </c>
      <c r="J1191">
        <v>123.26</v>
      </c>
      <c r="K1191" t="s">
        <v>19</v>
      </c>
      <c r="L1191" t="b">
        <v>0</v>
      </c>
    </row>
    <row r="1192" spans="1:12" ht="68" x14ac:dyDescent="0.2">
      <c r="A1192" t="s">
        <v>1593</v>
      </c>
      <c r="B1192" t="s">
        <v>342</v>
      </c>
      <c r="C1192" t="s">
        <v>166</v>
      </c>
      <c r="D1192" s="1">
        <v>45016</v>
      </c>
      <c r="E1192" s="6" t="s">
        <v>60</v>
      </c>
      <c r="F1192" t="s">
        <v>50</v>
      </c>
      <c r="G1192" s="3" t="s">
        <v>51</v>
      </c>
      <c r="H1192">
        <v>7</v>
      </c>
      <c r="I1192">
        <v>70.17</v>
      </c>
      <c r="J1192">
        <v>491.16</v>
      </c>
      <c r="K1192" t="s">
        <v>92</v>
      </c>
      <c r="L1192" t="b">
        <v>0</v>
      </c>
    </row>
    <row r="1193" spans="1:12" ht="34" x14ac:dyDescent="0.2">
      <c r="A1193" t="s">
        <v>1594</v>
      </c>
      <c r="B1193" t="s">
        <v>202</v>
      </c>
      <c r="C1193" t="s">
        <v>88</v>
      </c>
      <c r="D1193" s="1">
        <v>45595</v>
      </c>
      <c r="E1193" s="6" t="s">
        <v>16</v>
      </c>
      <c r="F1193" t="s">
        <v>61</v>
      </c>
      <c r="G1193" s="3" t="s">
        <v>62</v>
      </c>
      <c r="H1193">
        <v>3.4</v>
      </c>
      <c r="I1193">
        <v>51.41</v>
      </c>
      <c r="J1193">
        <v>174.8</v>
      </c>
      <c r="K1193" t="s">
        <v>113</v>
      </c>
      <c r="L1193" t="b">
        <v>0</v>
      </c>
    </row>
    <row r="1194" spans="1:12" ht="68" x14ac:dyDescent="0.2">
      <c r="A1194" t="s">
        <v>1595</v>
      </c>
      <c r="B1194" t="s">
        <v>1075</v>
      </c>
      <c r="C1194" t="s">
        <v>119</v>
      </c>
      <c r="D1194" s="1">
        <v>45010</v>
      </c>
      <c r="E1194" s="6" t="s">
        <v>78</v>
      </c>
      <c r="F1194" t="s">
        <v>50</v>
      </c>
      <c r="G1194" s="3" t="s">
        <v>51</v>
      </c>
      <c r="H1194">
        <v>3.3</v>
      </c>
      <c r="I1194">
        <v>69.06</v>
      </c>
      <c r="J1194">
        <v>227.9</v>
      </c>
      <c r="K1194" t="s">
        <v>92</v>
      </c>
      <c r="L1194" t="b">
        <v>0</v>
      </c>
    </row>
    <row r="1195" spans="1:12" ht="34" x14ac:dyDescent="0.2">
      <c r="A1195" t="s">
        <v>1596</v>
      </c>
      <c r="B1195" t="s">
        <v>374</v>
      </c>
      <c r="C1195" t="s">
        <v>29</v>
      </c>
      <c r="D1195" s="1">
        <v>45387</v>
      </c>
      <c r="E1195" s="6" t="s">
        <v>44</v>
      </c>
      <c r="F1195" t="s">
        <v>24</v>
      </c>
      <c r="G1195" s="3" t="s">
        <v>25</v>
      </c>
      <c r="H1195">
        <v>5.9</v>
      </c>
      <c r="I1195">
        <v>70.33</v>
      </c>
      <c r="J1195">
        <v>414.94</v>
      </c>
      <c r="K1195" t="s">
        <v>19</v>
      </c>
      <c r="L1195" t="b">
        <v>0</v>
      </c>
    </row>
    <row r="1196" spans="1:12" ht="34" x14ac:dyDescent="0.2">
      <c r="A1196" t="s">
        <v>1597</v>
      </c>
      <c r="B1196" t="s">
        <v>1124</v>
      </c>
      <c r="C1196" t="s">
        <v>130</v>
      </c>
      <c r="D1196" s="1">
        <v>45610</v>
      </c>
      <c r="E1196" s="6" t="s">
        <v>78</v>
      </c>
      <c r="F1196" t="s">
        <v>24</v>
      </c>
      <c r="G1196" s="3" t="s">
        <v>25</v>
      </c>
      <c r="H1196">
        <v>3</v>
      </c>
      <c r="I1196">
        <v>48.92</v>
      </c>
      <c r="J1196">
        <v>146.77000000000001</v>
      </c>
      <c r="K1196" t="s">
        <v>113</v>
      </c>
      <c r="L1196" t="b">
        <v>0</v>
      </c>
    </row>
    <row r="1197" spans="1:12" ht="17" x14ac:dyDescent="0.2">
      <c r="A1197" t="s">
        <v>1598</v>
      </c>
      <c r="B1197" t="s">
        <v>247</v>
      </c>
      <c r="C1197" t="s">
        <v>145</v>
      </c>
      <c r="D1197" s="1">
        <v>45301</v>
      </c>
      <c r="E1197" s="6" t="s">
        <v>89</v>
      </c>
      <c r="F1197" t="s">
        <v>17</v>
      </c>
      <c r="G1197" s="3" t="s">
        <v>18</v>
      </c>
      <c r="H1197">
        <v>6.5</v>
      </c>
      <c r="I1197">
        <v>70.150000000000006</v>
      </c>
      <c r="J1197">
        <v>455.95</v>
      </c>
      <c r="K1197" t="s">
        <v>105</v>
      </c>
      <c r="L1197" t="b">
        <v>0</v>
      </c>
    </row>
    <row r="1198" spans="1:12" ht="17" x14ac:dyDescent="0.2">
      <c r="A1198" t="s">
        <v>1599</v>
      </c>
      <c r="B1198" t="s">
        <v>750</v>
      </c>
      <c r="C1198" t="s">
        <v>49</v>
      </c>
      <c r="D1198" s="1">
        <v>45447</v>
      </c>
      <c r="E1198" s="6" t="s">
        <v>60</v>
      </c>
      <c r="F1198" t="s">
        <v>30</v>
      </c>
      <c r="G1198" s="3" t="s">
        <v>31</v>
      </c>
      <c r="H1198">
        <v>4.3</v>
      </c>
      <c r="I1198">
        <v>67.34</v>
      </c>
      <c r="J1198">
        <v>289.55</v>
      </c>
      <c r="K1198" t="s">
        <v>92</v>
      </c>
      <c r="L1198" t="b">
        <v>0</v>
      </c>
    </row>
    <row r="1199" spans="1:12" ht="34" x14ac:dyDescent="0.2">
      <c r="A1199" t="s">
        <v>1600</v>
      </c>
      <c r="B1199" t="s">
        <v>1237</v>
      </c>
      <c r="C1199" t="s">
        <v>178</v>
      </c>
      <c r="D1199" s="1">
        <v>45345</v>
      </c>
      <c r="E1199" s="6" t="s">
        <v>44</v>
      </c>
      <c r="F1199" t="s">
        <v>45</v>
      </c>
      <c r="G1199" s="3" t="s">
        <v>46</v>
      </c>
      <c r="H1199">
        <v>2.9</v>
      </c>
      <c r="I1199">
        <v>77.22</v>
      </c>
      <c r="J1199">
        <v>223.93</v>
      </c>
      <c r="K1199" t="s">
        <v>36</v>
      </c>
      <c r="L1199" t="b">
        <v>0</v>
      </c>
    </row>
    <row r="1200" spans="1:12" ht="34" x14ac:dyDescent="0.2">
      <c r="A1200" t="s">
        <v>1601</v>
      </c>
      <c r="B1200" t="s">
        <v>223</v>
      </c>
      <c r="C1200" t="s">
        <v>110</v>
      </c>
      <c r="D1200" s="1">
        <v>44965</v>
      </c>
      <c r="E1200" s="6" t="s">
        <v>16</v>
      </c>
      <c r="F1200" t="s">
        <v>45</v>
      </c>
      <c r="G1200" s="3" t="s">
        <v>46</v>
      </c>
      <c r="H1200">
        <v>7.6</v>
      </c>
      <c r="I1200">
        <v>51.93</v>
      </c>
      <c r="J1200">
        <v>394.66</v>
      </c>
      <c r="K1200" t="s">
        <v>36</v>
      </c>
      <c r="L1200" t="b">
        <v>0</v>
      </c>
    </row>
    <row r="1201" spans="1:13" ht="34" x14ac:dyDescent="0.2">
      <c r="A1201" t="s">
        <v>1602</v>
      </c>
      <c r="B1201" t="s">
        <v>991</v>
      </c>
      <c r="C1201" t="s">
        <v>293</v>
      </c>
      <c r="D1201" s="1">
        <v>45286</v>
      </c>
      <c r="E1201" s="6" t="s">
        <v>44</v>
      </c>
      <c r="F1201" t="s">
        <v>54</v>
      </c>
      <c r="G1201" s="3" t="s">
        <v>55</v>
      </c>
      <c r="H1201">
        <v>7.8</v>
      </c>
      <c r="I1201">
        <v>65.97</v>
      </c>
      <c r="J1201">
        <v>514.59</v>
      </c>
      <c r="K1201" t="s">
        <v>82</v>
      </c>
      <c r="L1201" t="b">
        <v>0</v>
      </c>
    </row>
    <row r="1202" spans="1:13" ht="34" x14ac:dyDescent="0.2">
      <c r="A1202" t="s">
        <v>1603</v>
      </c>
      <c r="B1202" t="s">
        <v>64</v>
      </c>
      <c r="C1202" t="s">
        <v>499</v>
      </c>
      <c r="D1202" s="1">
        <v>44945</v>
      </c>
      <c r="E1202" s="6" t="s">
        <v>60</v>
      </c>
      <c r="F1202" t="s">
        <v>90</v>
      </c>
      <c r="G1202" s="3" t="s">
        <v>91</v>
      </c>
      <c r="H1202">
        <v>7.5</v>
      </c>
      <c r="I1202">
        <v>63.25</v>
      </c>
      <c r="J1202">
        <v>474.34</v>
      </c>
      <c r="K1202" t="s">
        <v>32</v>
      </c>
      <c r="L1202" t="b">
        <v>0</v>
      </c>
    </row>
    <row r="1203" spans="1:13" ht="34" x14ac:dyDescent="0.2">
      <c r="A1203" t="s">
        <v>1604</v>
      </c>
      <c r="B1203" t="s">
        <v>484</v>
      </c>
      <c r="C1203" t="s">
        <v>191</v>
      </c>
      <c r="D1203" s="1">
        <v>45380</v>
      </c>
      <c r="E1203" s="6" t="s">
        <v>44</v>
      </c>
      <c r="F1203" t="s">
        <v>45</v>
      </c>
      <c r="G1203" s="3" t="s">
        <v>46</v>
      </c>
      <c r="H1203">
        <v>4</v>
      </c>
      <c r="I1203">
        <v>41.03</v>
      </c>
      <c r="J1203">
        <v>164.1</v>
      </c>
      <c r="K1203" t="s">
        <v>26</v>
      </c>
      <c r="L1203" t="b">
        <v>0</v>
      </c>
    </row>
    <row r="1204" spans="1:13" ht="34" x14ac:dyDescent="0.2">
      <c r="A1204" t="s">
        <v>1605</v>
      </c>
      <c r="B1204" t="s">
        <v>721</v>
      </c>
      <c r="C1204" t="s">
        <v>43</v>
      </c>
      <c r="D1204" s="1">
        <v>45208</v>
      </c>
      <c r="E1204" s="6" t="s">
        <v>16</v>
      </c>
      <c r="F1204" t="s">
        <v>45</v>
      </c>
      <c r="G1204" s="3" t="s">
        <v>46</v>
      </c>
      <c r="H1204">
        <v>5.9</v>
      </c>
      <c r="I1204">
        <v>48.47</v>
      </c>
      <c r="J1204">
        <v>285.97000000000003</v>
      </c>
      <c r="K1204" t="s">
        <v>32</v>
      </c>
      <c r="L1204" t="b">
        <v>0</v>
      </c>
    </row>
    <row r="1205" spans="1:13" ht="17" x14ac:dyDescent="0.2">
      <c r="A1205" t="s">
        <v>1606</v>
      </c>
      <c r="B1205" t="s">
        <v>245</v>
      </c>
      <c r="C1205" t="s">
        <v>133</v>
      </c>
      <c r="D1205" s="1">
        <v>45559</v>
      </c>
      <c r="E1205" s="6" t="s">
        <v>23</v>
      </c>
      <c r="F1205" t="s">
        <v>30</v>
      </c>
      <c r="G1205" s="3" t="s">
        <v>31</v>
      </c>
      <c r="H1205">
        <v>6.4</v>
      </c>
      <c r="I1205">
        <v>60.32</v>
      </c>
      <c r="J1205">
        <v>386.07</v>
      </c>
      <c r="K1205" t="s">
        <v>32</v>
      </c>
      <c r="L1205" t="b">
        <v>0</v>
      </c>
    </row>
    <row r="1206" spans="1:13" ht="34" x14ac:dyDescent="0.2">
      <c r="A1206" t="s">
        <v>1607</v>
      </c>
      <c r="B1206" t="s">
        <v>142</v>
      </c>
      <c r="C1206" t="s">
        <v>172</v>
      </c>
      <c r="D1206" s="1">
        <v>45248</v>
      </c>
      <c r="E1206" s="6" t="s">
        <v>78</v>
      </c>
      <c r="F1206" t="s">
        <v>54</v>
      </c>
      <c r="G1206" s="3" t="s">
        <v>55</v>
      </c>
      <c r="H1206">
        <v>6.1</v>
      </c>
      <c r="I1206">
        <v>84.59</v>
      </c>
      <c r="J1206">
        <v>516.02</v>
      </c>
      <c r="K1206" t="s">
        <v>19</v>
      </c>
      <c r="L1206" t="b">
        <v>0</v>
      </c>
    </row>
    <row r="1207" spans="1:13" ht="34" x14ac:dyDescent="0.2">
      <c r="A1207" t="s">
        <v>1608</v>
      </c>
      <c r="B1207" t="s">
        <v>367</v>
      </c>
      <c r="C1207" t="s">
        <v>22</v>
      </c>
      <c r="D1207" s="1">
        <v>44988</v>
      </c>
      <c r="E1207" s="6" t="s">
        <v>44</v>
      </c>
      <c r="F1207" t="s">
        <v>24</v>
      </c>
      <c r="G1207" s="3" t="s">
        <v>25</v>
      </c>
      <c r="H1207">
        <v>6</v>
      </c>
      <c r="I1207">
        <v>74.900000000000006</v>
      </c>
      <c r="J1207">
        <v>449.41</v>
      </c>
      <c r="K1207" t="s">
        <v>105</v>
      </c>
      <c r="L1207" t="b">
        <v>1</v>
      </c>
      <c r="M1207" s="3" t="s">
        <v>102</v>
      </c>
    </row>
    <row r="1208" spans="1:13" ht="34" x14ac:dyDescent="0.2">
      <c r="A1208" t="s">
        <v>1609</v>
      </c>
      <c r="B1208" t="s">
        <v>229</v>
      </c>
      <c r="C1208" t="s">
        <v>95</v>
      </c>
      <c r="D1208" s="1">
        <v>45547</v>
      </c>
      <c r="E1208" s="6" t="s">
        <v>60</v>
      </c>
      <c r="F1208" t="s">
        <v>61</v>
      </c>
      <c r="G1208" s="3" t="s">
        <v>62</v>
      </c>
      <c r="H1208">
        <v>2.6</v>
      </c>
      <c r="I1208">
        <v>31.23</v>
      </c>
      <c r="J1208">
        <v>81.209999999999994</v>
      </c>
      <c r="K1208" t="s">
        <v>96</v>
      </c>
      <c r="L1208" t="b">
        <v>0</v>
      </c>
    </row>
    <row r="1209" spans="1:13" ht="34" x14ac:dyDescent="0.2">
      <c r="A1209" t="s">
        <v>1610</v>
      </c>
      <c r="B1209" t="s">
        <v>286</v>
      </c>
      <c r="C1209" t="s">
        <v>148</v>
      </c>
      <c r="D1209" s="1">
        <v>45296</v>
      </c>
      <c r="E1209" s="6" t="s">
        <v>23</v>
      </c>
      <c r="F1209" t="s">
        <v>54</v>
      </c>
      <c r="G1209" s="3" t="s">
        <v>55</v>
      </c>
      <c r="H1209">
        <v>3.3</v>
      </c>
      <c r="I1209">
        <v>42</v>
      </c>
      <c r="J1209">
        <v>138.59</v>
      </c>
      <c r="K1209" t="s">
        <v>19</v>
      </c>
      <c r="L1209" t="b">
        <v>0</v>
      </c>
    </row>
    <row r="1210" spans="1:13" ht="34" x14ac:dyDescent="0.2">
      <c r="A1210" t="s">
        <v>1611</v>
      </c>
      <c r="B1210" t="s">
        <v>241</v>
      </c>
      <c r="C1210" t="s">
        <v>219</v>
      </c>
      <c r="D1210" s="1">
        <v>45634</v>
      </c>
      <c r="E1210" s="6" t="s">
        <v>89</v>
      </c>
      <c r="F1210" t="s">
        <v>24</v>
      </c>
      <c r="G1210" s="3" t="s">
        <v>25</v>
      </c>
      <c r="H1210">
        <v>2.1</v>
      </c>
      <c r="I1210">
        <v>30.52</v>
      </c>
      <c r="J1210">
        <v>64.08</v>
      </c>
      <c r="K1210" t="s">
        <v>105</v>
      </c>
      <c r="L1210" t="b">
        <v>0</v>
      </c>
    </row>
    <row r="1211" spans="1:13" ht="17" x14ac:dyDescent="0.2">
      <c r="A1211" t="s">
        <v>1612</v>
      </c>
      <c r="B1211" t="s">
        <v>1261</v>
      </c>
      <c r="C1211" t="s">
        <v>211</v>
      </c>
      <c r="D1211" s="1">
        <v>45133</v>
      </c>
      <c r="E1211" s="6" t="s">
        <v>16</v>
      </c>
      <c r="F1211" t="s">
        <v>30</v>
      </c>
      <c r="G1211" s="3" t="s">
        <v>31</v>
      </c>
      <c r="H1211">
        <v>7.7</v>
      </c>
      <c r="I1211">
        <v>63.28</v>
      </c>
      <c r="J1211">
        <v>487.29</v>
      </c>
      <c r="K1211" t="s">
        <v>96</v>
      </c>
      <c r="L1211" t="b">
        <v>0</v>
      </c>
    </row>
    <row r="1212" spans="1:13" ht="34" x14ac:dyDescent="0.2">
      <c r="A1212" t="s">
        <v>1613</v>
      </c>
      <c r="B1212" t="s">
        <v>34</v>
      </c>
      <c r="C1212" t="s">
        <v>293</v>
      </c>
      <c r="D1212" s="1">
        <v>45415</v>
      </c>
      <c r="E1212" s="6" t="s">
        <v>60</v>
      </c>
      <c r="F1212" t="s">
        <v>90</v>
      </c>
      <c r="G1212" s="3" t="s">
        <v>91</v>
      </c>
      <c r="H1212">
        <v>2.5</v>
      </c>
      <c r="I1212">
        <v>61.28</v>
      </c>
      <c r="J1212">
        <v>153.19999999999999</v>
      </c>
      <c r="K1212" t="s">
        <v>36</v>
      </c>
      <c r="L1212" t="b">
        <v>0</v>
      </c>
    </row>
    <row r="1213" spans="1:13" ht="68" x14ac:dyDescent="0.2">
      <c r="A1213" t="s">
        <v>1614</v>
      </c>
      <c r="B1213" t="s">
        <v>331</v>
      </c>
      <c r="C1213" t="s">
        <v>153</v>
      </c>
      <c r="D1213" s="1">
        <v>45258</v>
      </c>
      <c r="E1213" s="6" t="s">
        <v>78</v>
      </c>
      <c r="F1213" t="s">
        <v>50</v>
      </c>
      <c r="G1213" s="3" t="s">
        <v>51</v>
      </c>
      <c r="H1213">
        <v>7.4</v>
      </c>
      <c r="I1213">
        <v>66.739999999999995</v>
      </c>
      <c r="J1213">
        <v>493.87</v>
      </c>
      <c r="K1213" t="s">
        <v>19</v>
      </c>
      <c r="L1213" t="b">
        <v>0</v>
      </c>
    </row>
    <row r="1214" spans="1:13" ht="34" x14ac:dyDescent="0.2">
      <c r="A1214" t="s">
        <v>1615</v>
      </c>
      <c r="B1214" t="s">
        <v>233</v>
      </c>
      <c r="C1214" t="s">
        <v>323</v>
      </c>
      <c r="D1214" s="1">
        <v>45332</v>
      </c>
      <c r="E1214" s="6" t="s">
        <v>16</v>
      </c>
      <c r="F1214" t="s">
        <v>45</v>
      </c>
      <c r="G1214" s="3" t="s">
        <v>46</v>
      </c>
      <c r="H1214">
        <v>4.8</v>
      </c>
      <c r="I1214">
        <v>81.17</v>
      </c>
      <c r="J1214">
        <v>389.62</v>
      </c>
      <c r="K1214" t="s">
        <v>36</v>
      </c>
      <c r="L1214" t="b">
        <v>0</v>
      </c>
    </row>
    <row r="1215" spans="1:13" ht="34" x14ac:dyDescent="0.2">
      <c r="A1215" t="s">
        <v>1616</v>
      </c>
      <c r="B1215" t="s">
        <v>1454</v>
      </c>
      <c r="C1215" t="s">
        <v>175</v>
      </c>
      <c r="D1215" s="1">
        <v>46262</v>
      </c>
      <c r="E1215" s="6" t="s">
        <v>60</v>
      </c>
      <c r="F1215" t="s">
        <v>17</v>
      </c>
      <c r="G1215" s="3" t="s">
        <v>18</v>
      </c>
      <c r="H1215">
        <v>7.5</v>
      </c>
      <c r="I1215">
        <v>41.58</v>
      </c>
      <c r="J1215">
        <v>311.87</v>
      </c>
      <c r="K1215" t="s">
        <v>36</v>
      </c>
      <c r="L1215" t="b">
        <v>1</v>
      </c>
      <c r="M1215" s="3" t="s">
        <v>99</v>
      </c>
    </row>
    <row r="1216" spans="1:13" ht="34" x14ac:dyDescent="0.2">
      <c r="A1216" t="s">
        <v>1617</v>
      </c>
      <c r="B1216" t="s">
        <v>28</v>
      </c>
      <c r="C1216" t="s">
        <v>88</v>
      </c>
      <c r="D1216" s="1">
        <v>45071</v>
      </c>
      <c r="E1216" s="6" t="s">
        <v>78</v>
      </c>
      <c r="F1216" t="s">
        <v>54</v>
      </c>
      <c r="G1216" s="3" t="s">
        <v>55</v>
      </c>
      <c r="H1216">
        <v>3.5</v>
      </c>
      <c r="I1216">
        <v>71.84</v>
      </c>
      <c r="J1216">
        <v>251.45</v>
      </c>
      <c r="K1216" t="s">
        <v>32</v>
      </c>
      <c r="L1216" t="b">
        <v>0</v>
      </c>
    </row>
    <row r="1217" spans="1:13" ht="34" x14ac:dyDescent="0.2">
      <c r="A1217" t="s">
        <v>1618</v>
      </c>
      <c r="B1217" t="s">
        <v>270</v>
      </c>
      <c r="C1217" t="s">
        <v>323</v>
      </c>
      <c r="D1217" s="1">
        <v>45409</v>
      </c>
      <c r="E1217" s="6" t="s">
        <v>44</v>
      </c>
      <c r="F1217" t="s">
        <v>24</v>
      </c>
      <c r="G1217" s="3" t="s">
        <v>25</v>
      </c>
      <c r="H1217">
        <v>4.3</v>
      </c>
      <c r="I1217">
        <v>44.96</v>
      </c>
      <c r="J1217">
        <v>193.32</v>
      </c>
      <c r="K1217" t="s">
        <v>26</v>
      </c>
      <c r="L1217" t="b">
        <v>0</v>
      </c>
    </row>
    <row r="1218" spans="1:13" ht="34" x14ac:dyDescent="0.2">
      <c r="A1218" t="s">
        <v>1619</v>
      </c>
      <c r="B1218" t="s">
        <v>424</v>
      </c>
      <c r="C1218" t="s">
        <v>207</v>
      </c>
      <c r="D1218" s="1">
        <v>45002</v>
      </c>
      <c r="E1218" s="6" t="s">
        <v>60</v>
      </c>
      <c r="F1218" t="s">
        <v>45</v>
      </c>
      <c r="G1218" s="3" t="s">
        <v>46</v>
      </c>
      <c r="H1218">
        <v>7.7</v>
      </c>
      <c r="I1218">
        <v>40.880000000000003</v>
      </c>
      <c r="J1218">
        <v>314.77999999999997</v>
      </c>
      <c r="K1218" t="s">
        <v>32</v>
      </c>
      <c r="L1218" t="b">
        <v>0</v>
      </c>
    </row>
    <row r="1219" spans="1:13" ht="34" x14ac:dyDescent="0.2">
      <c r="A1219" t="s">
        <v>1620</v>
      </c>
      <c r="B1219" t="s">
        <v>336</v>
      </c>
      <c r="C1219" t="s">
        <v>207</v>
      </c>
      <c r="D1219" s="1">
        <v>38661</v>
      </c>
      <c r="E1219" s="6" t="s">
        <v>89</v>
      </c>
      <c r="F1219" t="s">
        <v>90</v>
      </c>
      <c r="G1219" s="3" t="s">
        <v>91</v>
      </c>
      <c r="H1219">
        <v>5</v>
      </c>
      <c r="I1219">
        <v>80.72</v>
      </c>
      <c r="J1219">
        <v>403.58</v>
      </c>
      <c r="K1219" t="s">
        <v>92</v>
      </c>
      <c r="L1219" t="b">
        <v>1</v>
      </c>
      <c r="M1219" s="3" t="s">
        <v>99</v>
      </c>
    </row>
    <row r="1220" spans="1:13" ht="34" x14ac:dyDescent="0.2">
      <c r="A1220" t="s">
        <v>1621</v>
      </c>
      <c r="B1220" t="s">
        <v>1111</v>
      </c>
      <c r="C1220" t="s">
        <v>172</v>
      </c>
      <c r="D1220" s="1">
        <v>45322</v>
      </c>
      <c r="E1220" s="6" t="s">
        <v>23</v>
      </c>
      <c r="F1220" t="s">
        <v>61</v>
      </c>
      <c r="G1220" s="3" t="s">
        <v>62</v>
      </c>
      <c r="H1220">
        <v>3.1</v>
      </c>
      <c r="I1220">
        <v>54.52</v>
      </c>
      <c r="J1220">
        <v>169.02</v>
      </c>
      <c r="K1220" t="s">
        <v>36</v>
      </c>
      <c r="L1220" t="b">
        <v>0</v>
      </c>
    </row>
    <row r="1221" spans="1:13" ht="34" x14ac:dyDescent="0.2">
      <c r="A1221" t="s">
        <v>1622</v>
      </c>
      <c r="B1221" t="s">
        <v>241</v>
      </c>
      <c r="C1221" t="s">
        <v>219</v>
      </c>
      <c r="D1221" s="1">
        <v>45543</v>
      </c>
      <c r="E1221" s="6" t="s">
        <v>60</v>
      </c>
      <c r="F1221" t="s">
        <v>61</v>
      </c>
      <c r="G1221" s="3" t="s">
        <v>62</v>
      </c>
      <c r="H1221">
        <v>3.3</v>
      </c>
      <c r="I1221">
        <v>63.6</v>
      </c>
      <c r="J1221">
        <v>209.88</v>
      </c>
      <c r="K1221" t="s">
        <v>105</v>
      </c>
      <c r="L1221" t="b">
        <v>0</v>
      </c>
    </row>
    <row r="1222" spans="1:13" ht="34" x14ac:dyDescent="0.2">
      <c r="A1222" t="s">
        <v>1623</v>
      </c>
      <c r="B1222" t="s">
        <v>884</v>
      </c>
      <c r="C1222" t="s">
        <v>295</v>
      </c>
      <c r="D1222" s="1">
        <v>45648</v>
      </c>
      <c r="E1222" s="6" t="s">
        <v>89</v>
      </c>
      <c r="F1222" t="s">
        <v>45</v>
      </c>
      <c r="G1222" s="3" t="s">
        <v>46</v>
      </c>
      <c r="H1222">
        <v>2.6</v>
      </c>
      <c r="I1222">
        <v>29.38</v>
      </c>
      <c r="J1222">
        <v>76.38</v>
      </c>
      <c r="K1222" t="s">
        <v>96</v>
      </c>
      <c r="L1222" t="b">
        <v>0</v>
      </c>
    </row>
    <row r="1223" spans="1:13" ht="34" x14ac:dyDescent="0.2">
      <c r="A1223" t="s">
        <v>1624</v>
      </c>
      <c r="B1223" t="s">
        <v>109</v>
      </c>
      <c r="C1223" t="s">
        <v>130</v>
      </c>
      <c r="D1223" s="1">
        <v>45172</v>
      </c>
      <c r="E1223" s="6" t="s">
        <v>60</v>
      </c>
      <c r="F1223" t="s">
        <v>45</v>
      </c>
      <c r="G1223" s="3" t="s">
        <v>46</v>
      </c>
      <c r="H1223">
        <v>6.7</v>
      </c>
      <c r="I1223">
        <v>26.13</v>
      </c>
      <c r="J1223">
        <v>175.04</v>
      </c>
      <c r="K1223" t="s">
        <v>92</v>
      </c>
      <c r="L1223" t="b">
        <v>0</v>
      </c>
    </row>
    <row r="1224" spans="1:13" ht="68" x14ac:dyDescent="0.2">
      <c r="A1224" t="s">
        <v>1625</v>
      </c>
      <c r="B1224" t="s">
        <v>28</v>
      </c>
      <c r="C1224" t="s">
        <v>370</v>
      </c>
      <c r="D1224" s="1">
        <v>45121</v>
      </c>
      <c r="E1224" s="6" t="s">
        <v>44</v>
      </c>
      <c r="F1224" t="s">
        <v>50</v>
      </c>
      <c r="G1224" s="3" t="s">
        <v>51</v>
      </c>
      <c r="H1224">
        <v>5.9</v>
      </c>
      <c r="I1224">
        <v>25.05</v>
      </c>
      <c r="J1224">
        <v>147.81</v>
      </c>
      <c r="K1224" t="s">
        <v>32</v>
      </c>
      <c r="L1224" t="b">
        <v>0</v>
      </c>
    </row>
    <row r="1225" spans="1:13" ht="34" x14ac:dyDescent="0.2">
      <c r="A1225" t="s">
        <v>1626</v>
      </c>
      <c r="B1225" t="s">
        <v>58</v>
      </c>
      <c r="C1225" t="s">
        <v>22</v>
      </c>
      <c r="D1225" s="1">
        <v>45310</v>
      </c>
      <c r="E1225" s="6" t="s">
        <v>60</v>
      </c>
      <c r="F1225" t="s">
        <v>61</v>
      </c>
      <c r="G1225" s="3" t="s">
        <v>62</v>
      </c>
      <c r="H1225">
        <v>3.6</v>
      </c>
      <c r="I1225">
        <v>67</v>
      </c>
      <c r="J1225">
        <v>241.21</v>
      </c>
      <c r="K1225" t="s">
        <v>26</v>
      </c>
      <c r="L1225" t="b">
        <v>0</v>
      </c>
    </row>
    <row r="1226" spans="1:13" ht="34" x14ac:dyDescent="0.2">
      <c r="A1226" t="s">
        <v>1627</v>
      </c>
      <c r="B1226" t="s">
        <v>174</v>
      </c>
      <c r="C1226" t="s">
        <v>68</v>
      </c>
      <c r="D1226" s="1">
        <v>45618</v>
      </c>
      <c r="E1226" s="6" t="s">
        <v>60</v>
      </c>
      <c r="F1226" t="s">
        <v>24</v>
      </c>
      <c r="G1226" s="3" t="s">
        <v>25</v>
      </c>
      <c r="H1226">
        <v>5.0999999999999996</v>
      </c>
      <c r="I1226">
        <v>81.39</v>
      </c>
      <c r="J1226">
        <v>415.11</v>
      </c>
      <c r="K1226" t="s">
        <v>113</v>
      </c>
      <c r="L1226" t="b">
        <v>0</v>
      </c>
    </row>
    <row r="1227" spans="1:13" ht="17" x14ac:dyDescent="0.2">
      <c r="A1227" t="s">
        <v>1628</v>
      </c>
      <c r="B1227" t="s">
        <v>185</v>
      </c>
      <c r="C1227" t="s">
        <v>343</v>
      </c>
      <c r="D1227" s="1">
        <v>45319</v>
      </c>
      <c r="E1227" s="6" t="s">
        <v>44</v>
      </c>
      <c r="F1227" t="s">
        <v>17</v>
      </c>
      <c r="G1227" s="3" t="s">
        <v>18</v>
      </c>
      <c r="H1227">
        <v>4.5999999999999996</v>
      </c>
      <c r="I1227">
        <v>75.64</v>
      </c>
      <c r="J1227">
        <v>347.96</v>
      </c>
      <c r="K1227" t="s">
        <v>113</v>
      </c>
      <c r="L1227" t="b">
        <v>0</v>
      </c>
    </row>
    <row r="1228" spans="1:13" ht="17" x14ac:dyDescent="0.2">
      <c r="A1228" t="s">
        <v>1629</v>
      </c>
      <c r="B1228" t="s">
        <v>252</v>
      </c>
      <c r="C1228" t="s">
        <v>183</v>
      </c>
      <c r="D1228" s="1">
        <v>45600</v>
      </c>
      <c r="E1228" s="6" t="s">
        <v>60</v>
      </c>
      <c r="F1228" t="s">
        <v>30</v>
      </c>
      <c r="G1228" s="3" t="s">
        <v>31</v>
      </c>
      <c r="H1228">
        <v>2</v>
      </c>
      <c r="I1228">
        <v>82.25</v>
      </c>
      <c r="J1228">
        <v>164.5</v>
      </c>
      <c r="K1228" t="s">
        <v>113</v>
      </c>
      <c r="L1228" t="b">
        <v>0</v>
      </c>
    </row>
    <row r="1229" spans="1:13" ht="34" x14ac:dyDescent="0.2">
      <c r="A1229" t="s">
        <v>1630</v>
      </c>
      <c r="B1229" t="s">
        <v>823</v>
      </c>
      <c r="C1229" t="s">
        <v>370</v>
      </c>
      <c r="D1229" s="1">
        <v>45058</v>
      </c>
      <c r="E1229" s="6" t="s">
        <v>78</v>
      </c>
      <c r="F1229" t="s">
        <v>90</v>
      </c>
      <c r="G1229" s="3" t="s">
        <v>91</v>
      </c>
      <c r="H1229">
        <v>5.4</v>
      </c>
      <c r="I1229">
        <v>81.099999999999994</v>
      </c>
      <c r="J1229">
        <v>437.95</v>
      </c>
      <c r="K1229" t="s">
        <v>19</v>
      </c>
      <c r="L1229" t="b">
        <v>0</v>
      </c>
    </row>
    <row r="1230" spans="1:13" ht="34" x14ac:dyDescent="0.2">
      <c r="A1230" t="s">
        <v>1631</v>
      </c>
      <c r="B1230" t="s">
        <v>361</v>
      </c>
      <c r="C1230" t="s">
        <v>161</v>
      </c>
      <c r="D1230" s="1">
        <v>45437</v>
      </c>
      <c r="E1230" s="6" t="s">
        <v>16</v>
      </c>
      <c r="F1230" t="s">
        <v>54</v>
      </c>
      <c r="G1230" s="3" t="s">
        <v>55</v>
      </c>
      <c r="H1230">
        <v>6.1</v>
      </c>
      <c r="I1230">
        <v>49.04</v>
      </c>
      <c r="J1230">
        <v>299.13</v>
      </c>
      <c r="K1230" t="s">
        <v>113</v>
      </c>
      <c r="L1230" t="b">
        <v>0</v>
      </c>
    </row>
    <row r="1231" spans="1:13" ht="34" x14ac:dyDescent="0.2">
      <c r="A1231" t="s">
        <v>1632</v>
      </c>
      <c r="B1231" t="s">
        <v>521</v>
      </c>
      <c r="C1231" t="s">
        <v>71</v>
      </c>
      <c r="D1231" s="1">
        <v>45260</v>
      </c>
      <c r="E1231" s="6" t="s">
        <v>78</v>
      </c>
      <c r="F1231" t="s">
        <v>90</v>
      </c>
      <c r="G1231" s="3" t="s">
        <v>91</v>
      </c>
      <c r="H1231">
        <v>4.2</v>
      </c>
      <c r="I1231">
        <v>76.2</v>
      </c>
      <c r="J1231">
        <v>320.04000000000002</v>
      </c>
      <c r="K1231" t="s">
        <v>36</v>
      </c>
      <c r="L1231" t="b">
        <v>0</v>
      </c>
    </row>
    <row r="1232" spans="1:13" ht="34" x14ac:dyDescent="0.2">
      <c r="A1232" t="s">
        <v>1633</v>
      </c>
      <c r="B1232" t="s">
        <v>109</v>
      </c>
      <c r="C1232" t="s">
        <v>186</v>
      </c>
      <c r="D1232" s="1">
        <v>45209</v>
      </c>
      <c r="E1232" s="6" t="s">
        <v>78</v>
      </c>
      <c r="F1232" t="s">
        <v>90</v>
      </c>
      <c r="G1232" s="3" t="s">
        <v>91</v>
      </c>
      <c r="H1232">
        <v>7</v>
      </c>
      <c r="I1232">
        <v>70.63</v>
      </c>
      <c r="J1232">
        <v>494.39</v>
      </c>
      <c r="K1232" t="s">
        <v>92</v>
      </c>
      <c r="L1232" t="b">
        <v>0</v>
      </c>
    </row>
    <row r="1233" spans="1:13" ht="17" x14ac:dyDescent="0.2">
      <c r="A1233" t="s">
        <v>1634</v>
      </c>
      <c r="B1233" t="s">
        <v>925</v>
      </c>
      <c r="C1233" t="s">
        <v>280</v>
      </c>
      <c r="D1233" s="1">
        <v>45387</v>
      </c>
      <c r="E1233" s="6" t="s">
        <v>60</v>
      </c>
      <c r="F1233" t="s">
        <v>30</v>
      </c>
      <c r="G1233" s="3" t="s">
        <v>31</v>
      </c>
      <c r="H1233">
        <v>3.1</v>
      </c>
      <c r="I1233">
        <v>27.36</v>
      </c>
      <c r="J1233">
        <v>84.82</v>
      </c>
      <c r="K1233" t="s">
        <v>96</v>
      </c>
      <c r="L1233" t="b">
        <v>0</v>
      </c>
    </row>
    <row r="1234" spans="1:13" ht="17" x14ac:dyDescent="0.2">
      <c r="A1234" t="s">
        <v>1635</v>
      </c>
      <c r="B1234" t="s">
        <v>580</v>
      </c>
      <c r="C1234" t="s">
        <v>370</v>
      </c>
      <c r="D1234" s="1">
        <v>45607</v>
      </c>
      <c r="E1234" s="6" t="s">
        <v>44</v>
      </c>
      <c r="F1234" t="s">
        <v>30</v>
      </c>
      <c r="G1234" s="3" t="s">
        <v>31</v>
      </c>
      <c r="H1234">
        <v>3.8</v>
      </c>
      <c r="I1234">
        <v>48.41</v>
      </c>
      <c r="J1234">
        <v>183.94</v>
      </c>
      <c r="K1234" t="s">
        <v>82</v>
      </c>
      <c r="L1234" t="b">
        <v>0</v>
      </c>
    </row>
    <row r="1235" spans="1:13" ht="34" x14ac:dyDescent="0.2">
      <c r="A1235" t="s">
        <v>1636</v>
      </c>
      <c r="B1235" t="s">
        <v>419</v>
      </c>
      <c r="C1235" t="s">
        <v>191</v>
      </c>
      <c r="D1235" s="1">
        <v>44992</v>
      </c>
      <c r="E1235" s="6" t="s">
        <v>60</v>
      </c>
      <c r="F1235" t="s">
        <v>54</v>
      </c>
      <c r="G1235" s="3" t="s">
        <v>55</v>
      </c>
      <c r="H1235">
        <v>4.9000000000000004</v>
      </c>
      <c r="I1235">
        <v>78.11</v>
      </c>
      <c r="J1235">
        <v>382.75</v>
      </c>
      <c r="K1235" t="s">
        <v>113</v>
      </c>
      <c r="L1235" t="b">
        <v>0</v>
      </c>
    </row>
    <row r="1236" spans="1:13" ht="17" x14ac:dyDescent="0.2">
      <c r="A1236" t="s">
        <v>1637</v>
      </c>
      <c r="B1236" t="s">
        <v>1638</v>
      </c>
      <c r="C1236" t="s">
        <v>353</v>
      </c>
      <c r="D1236" s="1">
        <v>45148</v>
      </c>
      <c r="E1236" s="6" t="s">
        <v>16</v>
      </c>
      <c r="F1236" t="s">
        <v>30</v>
      </c>
      <c r="G1236" s="3" t="s">
        <v>31</v>
      </c>
      <c r="H1236">
        <v>2.8</v>
      </c>
      <c r="I1236">
        <v>36.590000000000003</v>
      </c>
      <c r="J1236">
        <v>102.44</v>
      </c>
      <c r="K1236" t="s">
        <v>113</v>
      </c>
      <c r="L1236" t="b">
        <v>0</v>
      </c>
    </row>
    <row r="1237" spans="1:13" ht="17" x14ac:dyDescent="0.2">
      <c r="A1237" t="s">
        <v>1639</v>
      </c>
      <c r="B1237" t="s">
        <v>925</v>
      </c>
      <c r="C1237" t="s">
        <v>323</v>
      </c>
      <c r="D1237" s="1">
        <v>45255</v>
      </c>
      <c r="E1237" s="6" t="s">
        <v>89</v>
      </c>
      <c r="F1237" t="s">
        <v>30</v>
      </c>
      <c r="G1237" s="3" t="s">
        <v>31</v>
      </c>
      <c r="H1237">
        <v>4.9000000000000004</v>
      </c>
      <c r="I1237">
        <v>28.78</v>
      </c>
      <c r="J1237">
        <v>141.02000000000001</v>
      </c>
      <c r="K1237" t="s">
        <v>96</v>
      </c>
      <c r="L1237" t="b">
        <v>0</v>
      </c>
    </row>
    <row r="1238" spans="1:13" ht="34" x14ac:dyDescent="0.2">
      <c r="A1238" t="s">
        <v>1640</v>
      </c>
      <c r="B1238" t="s">
        <v>218</v>
      </c>
      <c r="C1238" t="s">
        <v>323</v>
      </c>
      <c r="D1238" s="1">
        <v>45214</v>
      </c>
      <c r="E1238" s="6" t="s">
        <v>60</v>
      </c>
      <c r="F1238" t="s">
        <v>45</v>
      </c>
      <c r="G1238" s="3" t="s">
        <v>46</v>
      </c>
      <c r="H1238">
        <v>5</v>
      </c>
      <c r="I1238">
        <v>82.9</v>
      </c>
      <c r="J1238">
        <v>414.49</v>
      </c>
      <c r="K1238" t="s">
        <v>19</v>
      </c>
      <c r="L1238" t="b">
        <v>1</v>
      </c>
      <c r="M1238" s="3" t="s">
        <v>102</v>
      </c>
    </row>
    <row r="1239" spans="1:13" ht="34" x14ac:dyDescent="0.2">
      <c r="A1239" t="s">
        <v>1641</v>
      </c>
      <c r="B1239" t="s">
        <v>140</v>
      </c>
      <c r="C1239" t="s">
        <v>391</v>
      </c>
      <c r="D1239" s="1">
        <v>45211</v>
      </c>
      <c r="E1239" s="6" t="s">
        <v>16</v>
      </c>
      <c r="F1239" t="s">
        <v>24</v>
      </c>
      <c r="G1239" s="3" t="s">
        <v>25</v>
      </c>
      <c r="H1239">
        <v>2.2000000000000002</v>
      </c>
      <c r="I1239">
        <v>28.36</v>
      </c>
      <c r="J1239">
        <v>62.4</v>
      </c>
      <c r="K1239" t="s">
        <v>36</v>
      </c>
      <c r="L1239" t="b">
        <v>0</v>
      </c>
    </row>
    <row r="1240" spans="1:13" ht="34" x14ac:dyDescent="0.2">
      <c r="A1240" t="s">
        <v>1642</v>
      </c>
      <c r="B1240" t="s">
        <v>586</v>
      </c>
      <c r="C1240" t="s">
        <v>22</v>
      </c>
      <c r="D1240" s="1">
        <v>45331</v>
      </c>
      <c r="E1240" s="6" t="s">
        <v>16</v>
      </c>
      <c r="F1240" t="s">
        <v>24</v>
      </c>
      <c r="G1240" s="3" t="s">
        <v>25</v>
      </c>
      <c r="H1240">
        <v>4.4000000000000004</v>
      </c>
      <c r="I1240">
        <v>37.700000000000003</v>
      </c>
      <c r="J1240">
        <v>165.88</v>
      </c>
      <c r="K1240" t="s">
        <v>19</v>
      </c>
      <c r="L1240" t="b">
        <v>1</v>
      </c>
      <c r="M1240" s="3" t="s">
        <v>102</v>
      </c>
    </row>
    <row r="1241" spans="1:13" ht="17" x14ac:dyDescent="0.2">
      <c r="A1241" t="s">
        <v>1643</v>
      </c>
      <c r="B1241" t="s">
        <v>531</v>
      </c>
      <c r="C1241" t="s">
        <v>175</v>
      </c>
      <c r="D1241" s="1">
        <v>45585</v>
      </c>
      <c r="E1241" s="6" t="s">
        <v>89</v>
      </c>
      <c r="F1241" t="s">
        <v>17</v>
      </c>
      <c r="G1241" s="3" t="s">
        <v>18</v>
      </c>
      <c r="H1241">
        <v>7.6</v>
      </c>
      <c r="I1241">
        <v>77.209999999999994</v>
      </c>
      <c r="J1241">
        <v>586.80999999999995</v>
      </c>
      <c r="K1241" t="s">
        <v>113</v>
      </c>
      <c r="L1241" t="b">
        <v>0</v>
      </c>
    </row>
    <row r="1242" spans="1:13" ht="68" x14ac:dyDescent="0.2">
      <c r="A1242" t="s">
        <v>1644</v>
      </c>
      <c r="B1242" t="s">
        <v>315</v>
      </c>
      <c r="C1242" t="s">
        <v>124</v>
      </c>
      <c r="D1242" s="1">
        <v>45257</v>
      </c>
      <c r="E1242" s="6" t="s">
        <v>44</v>
      </c>
      <c r="F1242" t="s">
        <v>50</v>
      </c>
      <c r="G1242" s="3" t="s">
        <v>51</v>
      </c>
      <c r="H1242">
        <v>6.4</v>
      </c>
      <c r="I1242">
        <v>38.979999999999997</v>
      </c>
      <c r="J1242">
        <v>249.47</v>
      </c>
      <c r="K1242" t="s">
        <v>36</v>
      </c>
      <c r="L1242" t="b">
        <v>0</v>
      </c>
    </row>
    <row r="1243" spans="1:13" ht="34" x14ac:dyDescent="0.2">
      <c r="A1243" t="s">
        <v>1645</v>
      </c>
      <c r="B1243" t="s">
        <v>842</v>
      </c>
      <c r="C1243" t="s">
        <v>256</v>
      </c>
      <c r="D1243" s="1">
        <v>44949</v>
      </c>
      <c r="E1243" s="6" t="s">
        <v>44</v>
      </c>
      <c r="F1243" t="s">
        <v>24</v>
      </c>
      <c r="G1243" s="3" t="s">
        <v>25</v>
      </c>
      <c r="H1243">
        <v>6.4</v>
      </c>
      <c r="I1243">
        <v>54.33</v>
      </c>
      <c r="J1243">
        <v>347.74</v>
      </c>
      <c r="K1243" t="s">
        <v>92</v>
      </c>
      <c r="L1243" t="b">
        <v>0</v>
      </c>
    </row>
    <row r="1244" spans="1:13" ht="17" x14ac:dyDescent="0.2">
      <c r="A1244" t="s">
        <v>1646</v>
      </c>
      <c r="B1244" t="s">
        <v>711</v>
      </c>
      <c r="C1244" t="s">
        <v>499</v>
      </c>
      <c r="D1244" s="1">
        <v>45301</v>
      </c>
      <c r="E1244" s="6" t="s">
        <v>23</v>
      </c>
      <c r="F1244" t="s">
        <v>17</v>
      </c>
      <c r="G1244" s="3" t="s">
        <v>18</v>
      </c>
      <c r="H1244">
        <v>7.4</v>
      </c>
      <c r="I1244">
        <v>62.1</v>
      </c>
      <c r="J1244">
        <v>459.56</v>
      </c>
      <c r="K1244" t="s">
        <v>113</v>
      </c>
      <c r="L1244" t="b">
        <v>0</v>
      </c>
    </row>
    <row r="1245" spans="1:13" ht="68" x14ac:dyDescent="0.2">
      <c r="A1245" t="s">
        <v>1647</v>
      </c>
      <c r="B1245" t="s">
        <v>396</v>
      </c>
      <c r="C1245" t="s">
        <v>138</v>
      </c>
      <c r="D1245" s="1">
        <v>45492</v>
      </c>
      <c r="E1245" s="6" t="s">
        <v>78</v>
      </c>
      <c r="F1245" t="s">
        <v>50</v>
      </c>
      <c r="G1245" s="3" t="s">
        <v>51</v>
      </c>
      <c r="H1245">
        <v>7.9</v>
      </c>
      <c r="I1245">
        <v>62.96</v>
      </c>
      <c r="J1245">
        <v>500</v>
      </c>
      <c r="K1245" t="s">
        <v>92</v>
      </c>
      <c r="L1245" t="b">
        <v>1</v>
      </c>
      <c r="M1245" s="3" t="s">
        <v>40</v>
      </c>
    </row>
    <row r="1246" spans="1:13" ht="34" x14ac:dyDescent="0.2">
      <c r="A1246" t="s">
        <v>1648</v>
      </c>
      <c r="B1246" t="s">
        <v>94</v>
      </c>
      <c r="C1246" t="s">
        <v>172</v>
      </c>
      <c r="D1246" s="1">
        <v>42502</v>
      </c>
      <c r="E1246" s="6" t="s">
        <v>89</v>
      </c>
      <c r="F1246" t="s">
        <v>90</v>
      </c>
      <c r="G1246" s="3" t="s">
        <v>91</v>
      </c>
      <c r="H1246">
        <v>4.7</v>
      </c>
      <c r="I1246">
        <v>35.24</v>
      </c>
      <c r="J1246">
        <v>165.63</v>
      </c>
      <c r="K1246" t="s">
        <v>36</v>
      </c>
      <c r="L1246" t="b">
        <v>1</v>
      </c>
      <c r="M1246" s="3" t="s">
        <v>99</v>
      </c>
    </row>
    <row r="1247" spans="1:13" ht="34" x14ac:dyDescent="0.2">
      <c r="A1247" t="s">
        <v>1649</v>
      </c>
      <c r="B1247" t="s">
        <v>593</v>
      </c>
      <c r="C1247" t="s">
        <v>119</v>
      </c>
      <c r="D1247" s="1">
        <v>45414</v>
      </c>
      <c r="E1247" s="6" t="s">
        <v>60</v>
      </c>
      <c r="F1247" t="s">
        <v>90</v>
      </c>
      <c r="G1247" s="3" t="s">
        <v>91</v>
      </c>
      <c r="H1247">
        <v>6.9</v>
      </c>
      <c r="I1247">
        <v>31.38</v>
      </c>
      <c r="J1247">
        <v>216.52</v>
      </c>
      <c r="K1247" t="s">
        <v>96</v>
      </c>
      <c r="L1247" t="b">
        <v>0</v>
      </c>
    </row>
    <row r="1248" spans="1:13" ht="17" x14ac:dyDescent="0.2">
      <c r="A1248" t="s">
        <v>1650</v>
      </c>
      <c r="B1248" t="s">
        <v>394</v>
      </c>
      <c r="C1248" t="s">
        <v>450</v>
      </c>
      <c r="D1248" s="1">
        <v>45198</v>
      </c>
      <c r="E1248" s="6" t="s">
        <v>78</v>
      </c>
      <c r="F1248" t="s">
        <v>30</v>
      </c>
      <c r="G1248" s="3" t="s">
        <v>31</v>
      </c>
      <c r="H1248">
        <v>17.7</v>
      </c>
      <c r="I1248">
        <v>37.159999999999997</v>
      </c>
      <c r="J1248">
        <v>657.73</v>
      </c>
      <c r="K1248" t="s">
        <v>32</v>
      </c>
      <c r="L1248" t="b">
        <v>1</v>
      </c>
      <c r="M1248" s="3" t="s">
        <v>79</v>
      </c>
    </row>
    <row r="1249" spans="1:13" ht="34" x14ac:dyDescent="0.2">
      <c r="A1249" t="s">
        <v>1651</v>
      </c>
      <c r="B1249" t="s">
        <v>250</v>
      </c>
      <c r="C1249" t="s">
        <v>172</v>
      </c>
      <c r="D1249" s="1">
        <v>45233</v>
      </c>
      <c r="E1249" s="6" t="s">
        <v>89</v>
      </c>
      <c r="F1249" t="s">
        <v>61</v>
      </c>
      <c r="G1249" s="3" t="s">
        <v>62</v>
      </c>
      <c r="H1249">
        <v>9</v>
      </c>
      <c r="I1249">
        <v>83.55</v>
      </c>
      <c r="J1249">
        <v>750</v>
      </c>
      <c r="K1249" t="s">
        <v>96</v>
      </c>
      <c r="L1249" t="b">
        <v>1</v>
      </c>
      <c r="M1249" s="3" t="s">
        <v>40</v>
      </c>
    </row>
    <row r="1250" spans="1:13" ht="68" x14ac:dyDescent="0.2">
      <c r="A1250" t="s">
        <v>1652</v>
      </c>
      <c r="B1250" t="s">
        <v>386</v>
      </c>
      <c r="C1250" t="s">
        <v>39</v>
      </c>
      <c r="D1250" s="1">
        <v>45536</v>
      </c>
      <c r="E1250" s="6" t="s">
        <v>23</v>
      </c>
      <c r="F1250" t="s">
        <v>50</v>
      </c>
      <c r="G1250" s="3" t="s">
        <v>51</v>
      </c>
      <c r="H1250">
        <v>3.9</v>
      </c>
      <c r="I1250">
        <v>82.88</v>
      </c>
      <c r="J1250">
        <v>323.24</v>
      </c>
      <c r="K1250" t="s">
        <v>26</v>
      </c>
      <c r="L1250" t="b">
        <v>0</v>
      </c>
    </row>
    <row r="1251" spans="1:13" ht="34" x14ac:dyDescent="0.2">
      <c r="A1251" t="s">
        <v>1653</v>
      </c>
      <c r="B1251" t="s">
        <v>202</v>
      </c>
      <c r="C1251" t="s">
        <v>166</v>
      </c>
      <c r="D1251" s="1">
        <v>45621</v>
      </c>
      <c r="E1251" s="6" t="s">
        <v>44</v>
      </c>
      <c r="F1251" t="s">
        <v>24</v>
      </c>
      <c r="G1251" s="3" t="s">
        <v>25</v>
      </c>
      <c r="H1251">
        <v>5.6</v>
      </c>
      <c r="I1251">
        <v>45.13</v>
      </c>
      <c r="J1251">
        <v>252.73</v>
      </c>
      <c r="K1251" t="s">
        <v>113</v>
      </c>
      <c r="L1251" t="b">
        <v>0</v>
      </c>
    </row>
    <row r="1252" spans="1:13" ht="34" x14ac:dyDescent="0.2">
      <c r="A1252" t="s">
        <v>1654</v>
      </c>
      <c r="B1252" t="s">
        <v>384</v>
      </c>
      <c r="C1252" t="s">
        <v>370</v>
      </c>
      <c r="D1252" s="1">
        <v>45238</v>
      </c>
      <c r="E1252" s="6" t="s">
        <v>16</v>
      </c>
      <c r="F1252" t="s">
        <v>45</v>
      </c>
      <c r="G1252" s="3" t="s">
        <v>46</v>
      </c>
      <c r="H1252">
        <v>2.8</v>
      </c>
      <c r="I1252">
        <v>49.91</v>
      </c>
      <c r="J1252">
        <v>139.75</v>
      </c>
      <c r="K1252" t="s">
        <v>92</v>
      </c>
      <c r="L1252" t="b">
        <v>0</v>
      </c>
    </row>
    <row r="1253" spans="1:13" ht="34" x14ac:dyDescent="0.2">
      <c r="A1253" t="s">
        <v>1655</v>
      </c>
      <c r="B1253" t="s">
        <v>152</v>
      </c>
      <c r="C1253" t="s">
        <v>343</v>
      </c>
      <c r="D1253" s="1">
        <v>45595</v>
      </c>
      <c r="E1253" s="6" t="s">
        <v>89</v>
      </c>
      <c r="F1253" t="s">
        <v>54</v>
      </c>
      <c r="G1253" s="3" t="s">
        <v>55</v>
      </c>
      <c r="H1253">
        <v>5.3</v>
      </c>
      <c r="I1253">
        <v>51.32</v>
      </c>
      <c r="J1253">
        <v>271.99</v>
      </c>
      <c r="K1253" t="s">
        <v>96</v>
      </c>
      <c r="L1253" t="b">
        <v>0</v>
      </c>
    </row>
    <row r="1254" spans="1:13" ht="34" x14ac:dyDescent="0.2">
      <c r="A1254" t="s">
        <v>1656</v>
      </c>
      <c r="B1254" t="s">
        <v>367</v>
      </c>
      <c r="C1254" t="s">
        <v>370</v>
      </c>
      <c r="D1254" s="1">
        <v>45345</v>
      </c>
      <c r="E1254" s="6" t="s">
        <v>16</v>
      </c>
      <c r="F1254" t="s">
        <v>24</v>
      </c>
      <c r="G1254" s="3" t="s">
        <v>25</v>
      </c>
      <c r="H1254">
        <v>2.8</v>
      </c>
      <c r="I1254">
        <v>72.459999999999994</v>
      </c>
      <c r="J1254">
        <v>202.9</v>
      </c>
      <c r="K1254" t="s">
        <v>105</v>
      </c>
      <c r="L1254" t="b">
        <v>0</v>
      </c>
    </row>
    <row r="1255" spans="1:13" ht="34" x14ac:dyDescent="0.2">
      <c r="A1255" t="s">
        <v>1657</v>
      </c>
      <c r="B1255" t="s">
        <v>736</v>
      </c>
      <c r="C1255" t="s">
        <v>266</v>
      </c>
      <c r="D1255" s="1">
        <v>45077</v>
      </c>
      <c r="E1255" s="6" t="s">
        <v>60</v>
      </c>
      <c r="F1255" t="s">
        <v>61</v>
      </c>
      <c r="G1255" s="3" t="s">
        <v>62</v>
      </c>
      <c r="H1255">
        <v>6.7</v>
      </c>
      <c r="I1255">
        <v>25.94</v>
      </c>
      <c r="J1255">
        <v>173.78</v>
      </c>
      <c r="K1255" t="s">
        <v>96</v>
      </c>
      <c r="L1255" t="b">
        <v>0</v>
      </c>
    </row>
    <row r="1256" spans="1:13" ht="34" x14ac:dyDescent="0.2">
      <c r="A1256" t="s">
        <v>1658</v>
      </c>
      <c r="B1256" t="s">
        <v>792</v>
      </c>
      <c r="C1256" t="s">
        <v>65</v>
      </c>
      <c r="D1256" s="1">
        <v>45573</v>
      </c>
      <c r="E1256" s="6" t="s">
        <v>44</v>
      </c>
      <c r="F1256" t="s">
        <v>90</v>
      </c>
      <c r="G1256" s="3" t="s">
        <v>91</v>
      </c>
      <c r="H1256">
        <v>2</v>
      </c>
      <c r="I1256">
        <v>35.76</v>
      </c>
      <c r="J1256">
        <v>71.53</v>
      </c>
      <c r="K1256" t="s">
        <v>82</v>
      </c>
      <c r="L1256" t="b">
        <v>0</v>
      </c>
    </row>
    <row r="1257" spans="1:13" ht="34" x14ac:dyDescent="0.2">
      <c r="A1257" t="s">
        <v>1659</v>
      </c>
      <c r="B1257" t="s">
        <v>1592</v>
      </c>
      <c r="C1257" t="s">
        <v>183</v>
      </c>
      <c r="D1257" s="1">
        <v>45414</v>
      </c>
      <c r="E1257" s="6" t="s">
        <v>60</v>
      </c>
      <c r="F1257" t="s">
        <v>45</v>
      </c>
      <c r="G1257" s="3" t="s">
        <v>46</v>
      </c>
      <c r="H1257">
        <v>4.5</v>
      </c>
      <c r="I1257">
        <v>73.44</v>
      </c>
      <c r="J1257">
        <v>330.5</v>
      </c>
      <c r="K1257" t="s">
        <v>19</v>
      </c>
      <c r="L1257" t="b">
        <v>0</v>
      </c>
    </row>
    <row r="1258" spans="1:13" ht="68" x14ac:dyDescent="0.2">
      <c r="A1258" t="s">
        <v>1660</v>
      </c>
      <c r="B1258" t="s">
        <v>185</v>
      </c>
      <c r="C1258" t="s">
        <v>39</v>
      </c>
      <c r="D1258" s="1">
        <v>45287</v>
      </c>
      <c r="E1258" s="6" t="s">
        <v>89</v>
      </c>
      <c r="F1258" t="s">
        <v>50</v>
      </c>
      <c r="G1258" s="3" t="s">
        <v>51</v>
      </c>
      <c r="H1258">
        <v>3.2</v>
      </c>
      <c r="I1258">
        <v>63.39</v>
      </c>
      <c r="J1258">
        <v>202.85</v>
      </c>
      <c r="K1258" t="s">
        <v>113</v>
      </c>
      <c r="L1258" t="b">
        <v>0</v>
      </c>
    </row>
    <row r="1259" spans="1:13" ht="17" x14ac:dyDescent="0.2">
      <c r="A1259" t="s">
        <v>1661</v>
      </c>
      <c r="B1259" t="s">
        <v>556</v>
      </c>
      <c r="C1259" t="s">
        <v>159</v>
      </c>
      <c r="D1259" s="1">
        <v>45267</v>
      </c>
      <c r="E1259" s="6" t="s">
        <v>89</v>
      </c>
      <c r="F1259" t="s">
        <v>17</v>
      </c>
      <c r="G1259" s="3" t="s">
        <v>18</v>
      </c>
      <c r="H1259">
        <v>4.5</v>
      </c>
      <c r="I1259">
        <v>81.290000000000006</v>
      </c>
      <c r="J1259">
        <v>365.78</v>
      </c>
      <c r="K1259" t="s">
        <v>56</v>
      </c>
      <c r="L1259" t="b">
        <v>0</v>
      </c>
    </row>
    <row r="1260" spans="1:13" ht="34" x14ac:dyDescent="0.2">
      <c r="A1260" t="s">
        <v>1662</v>
      </c>
      <c r="B1260" t="s">
        <v>241</v>
      </c>
      <c r="C1260" t="s">
        <v>194</v>
      </c>
      <c r="D1260" s="1">
        <v>45049</v>
      </c>
      <c r="E1260" s="6" t="s">
        <v>89</v>
      </c>
      <c r="F1260" t="s">
        <v>24</v>
      </c>
      <c r="G1260" s="3" t="s">
        <v>25</v>
      </c>
      <c r="H1260">
        <v>5.6</v>
      </c>
      <c r="I1260">
        <v>68.03</v>
      </c>
      <c r="J1260">
        <v>380.98</v>
      </c>
      <c r="K1260" t="s">
        <v>105</v>
      </c>
      <c r="L1260" t="b">
        <v>0</v>
      </c>
    </row>
    <row r="1261" spans="1:13" ht="34" x14ac:dyDescent="0.2">
      <c r="A1261" t="s">
        <v>1663</v>
      </c>
      <c r="B1261" t="s">
        <v>549</v>
      </c>
      <c r="C1261" t="s">
        <v>499</v>
      </c>
      <c r="D1261" s="1">
        <v>45281</v>
      </c>
      <c r="E1261" s="6" t="s">
        <v>78</v>
      </c>
      <c r="F1261" t="s">
        <v>90</v>
      </c>
      <c r="G1261" s="3" t="s">
        <v>91</v>
      </c>
      <c r="H1261">
        <v>5.8</v>
      </c>
      <c r="I1261">
        <v>71.95</v>
      </c>
      <c r="J1261">
        <v>417.34</v>
      </c>
      <c r="K1261" t="s">
        <v>36</v>
      </c>
      <c r="L1261" t="b">
        <v>0</v>
      </c>
    </row>
    <row r="1262" spans="1:13" ht="34" x14ac:dyDescent="0.2">
      <c r="A1262" t="s">
        <v>1664</v>
      </c>
      <c r="B1262" t="s">
        <v>1398</v>
      </c>
      <c r="C1262" t="s">
        <v>29</v>
      </c>
      <c r="D1262" s="1">
        <v>45072</v>
      </c>
      <c r="E1262" s="6" t="s">
        <v>44</v>
      </c>
      <c r="F1262" t="s">
        <v>61</v>
      </c>
      <c r="G1262" s="3" t="s">
        <v>62</v>
      </c>
      <c r="H1262">
        <v>63.9</v>
      </c>
      <c r="I1262">
        <v>39.14</v>
      </c>
      <c r="J1262">
        <v>2500</v>
      </c>
      <c r="K1262" t="s">
        <v>26</v>
      </c>
      <c r="L1262" t="b">
        <v>1</v>
      </c>
      <c r="M1262" s="3" t="s">
        <v>40</v>
      </c>
    </row>
    <row r="1263" spans="1:13" ht="34" x14ac:dyDescent="0.2">
      <c r="A1263" t="s">
        <v>1665</v>
      </c>
      <c r="B1263" t="s">
        <v>147</v>
      </c>
      <c r="C1263" t="s">
        <v>68</v>
      </c>
      <c r="D1263" s="1">
        <v>45519</v>
      </c>
      <c r="E1263" s="6" t="s">
        <v>89</v>
      </c>
      <c r="F1263" t="s">
        <v>90</v>
      </c>
      <c r="G1263" s="3" t="s">
        <v>91</v>
      </c>
      <c r="H1263">
        <v>5.7</v>
      </c>
      <c r="I1263">
        <v>76.760000000000005</v>
      </c>
      <c r="J1263">
        <v>437.55</v>
      </c>
      <c r="K1263" t="s">
        <v>32</v>
      </c>
      <c r="L1263" t="b">
        <v>0</v>
      </c>
    </row>
    <row r="1264" spans="1:13" ht="17" x14ac:dyDescent="0.2">
      <c r="A1264" t="s">
        <v>1666</v>
      </c>
      <c r="B1264" t="s">
        <v>519</v>
      </c>
      <c r="C1264" t="s">
        <v>148</v>
      </c>
      <c r="D1264" s="1">
        <v>45636</v>
      </c>
      <c r="E1264" s="6" t="s">
        <v>23</v>
      </c>
      <c r="F1264" t="s">
        <v>30</v>
      </c>
      <c r="G1264" s="3" t="s">
        <v>31</v>
      </c>
      <c r="H1264">
        <v>18.5</v>
      </c>
      <c r="I1264">
        <v>62.59</v>
      </c>
      <c r="J1264">
        <v>1157.92</v>
      </c>
      <c r="K1264" t="s">
        <v>19</v>
      </c>
      <c r="L1264" t="b">
        <v>1</v>
      </c>
      <c r="M1264" s="3" t="s">
        <v>79</v>
      </c>
    </row>
    <row r="1265" spans="1:13" ht="34" x14ac:dyDescent="0.2">
      <c r="A1265" t="s">
        <v>1667</v>
      </c>
      <c r="B1265" t="s">
        <v>884</v>
      </c>
      <c r="C1265" t="s">
        <v>332</v>
      </c>
      <c r="D1265" s="1">
        <v>45265</v>
      </c>
      <c r="E1265" s="6" t="s">
        <v>23</v>
      </c>
      <c r="F1265" t="s">
        <v>45</v>
      </c>
      <c r="G1265" s="3" t="s">
        <v>46</v>
      </c>
      <c r="H1265">
        <v>2.2999999999999998</v>
      </c>
      <c r="I1265">
        <v>31.76</v>
      </c>
      <c r="J1265">
        <v>73.05</v>
      </c>
      <c r="K1265" t="s">
        <v>96</v>
      </c>
      <c r="L1265" t="b">
        <v>0</v>
      </c>
    </row>
    <row r="1266" spans="1:13" ht="17" x14ac:dyDescent="0.2">
      <c r="A1266" t="s">
        <v>1668</v>
      </c>
      <c r="B1266" t="s">
        <v>669</v>
      </c>
      <c r="C1266" t="s">
        <v>189</v>
      </c>
      <c r="D1266" s="1">
        <v>45361</v>
      </c>
      <c r="E1266" s="6" t="s">
        <v>44</v>
      </c>
      <c r="F1266" t="s">
        <v>17</v>
      </c>
      <c r="G1266" s="3" t="s">
        <v>18</v>
      </c>
      <c r="H1266">
        <v>5</v>
      </c>
      <c r="I1266">
        <v>34.590000000000003</v>
      </c>
      <c r="J1266">
        <v>172.93</v>
      </c>
      <c r="K1266" t="s">
        <v>36</v>
      </c>
      <c r="L1266" t="b">
        <v>0</v>
      </c>
    </row>
    <row r="1267" spans="1:13" ht="34" x14ac:dyDescent="0.2">
      <c r="A1267" t="s">
        <v>1669</v>
      </c>
      <c r="B1267" t="s">
        <v>1008</v>
      </c>
      <c r="C1267" t="s">
        <v>370</v>
      </c>
      <c r="D1267" s="1">
        <v>45338</v>
      </c>
      <c r="E1267" s="6" t="s">
        <v>60</v>
      </c>
      <c r="F1267" t="s">
        <v>24</v>
      </c>
      <c r="G1267" s="3" t="s">
        <v>25</v>
      </c>
      <c r="H1267">
        <v>47.5</v>
      </c>
      <c r="I1267">
        <v>42.1</v>
      </c>
      <c r="J1267">
        <v>2000</v>
      </c>
      <c r="K1267" t="s">
        <v>82</v>
      </c>
      <c r="L1267" t="b">
        <v>1</v>
      </c>
      <c r="M1267" s="3" t="s">
        <v>40</v>
      </c>
    </row>
    <row r="1268" spans="1:13" ht="34" x14ac:dyDescent="0.2">
      <c r="A1268" t="s">
        <v>1670</v>
      </c>
      <c r="B1268" t="s">
        <v>1120</v>
      </c>
      <c r="C1268" t="s">
        <v>189</v>
      </c>
      <c r="D1268" s="1">
        <v>45604</v>
      </c>
      <c r="E1268" s="6" t="s">
        <v>60</v>
      </c>
      <c r="F1268" t="s">
        <v>45</v>
      </c>
      <c r="G1268" s="3" t="s">
        <v>46</v>
      </c>
      <c r="H1268">
        <v>4</v>
      </c>
      <c r="I1268">
        <v>73.31</v>
      </c>
      <c r="J1268">
        <v>293.24</v>
      </c>
      <c r="K1268" t="s">
        <v>96</v>
      </c>
      <c r="L1268" t="b">
        <v>0</v>
      </c>
    </row>
    <row r="1269" spans="1:13" ht="34" x14ac:dyDescent="0.2">
      <c r="A1269" t="s">
        <v>1671</v>
      </c>
      <c r="B1269" t="s">
        <v>243</v>
      </c>
      <c r="C1269" t="s">
        <v>175</v>
      </c>
      <c r="D1269" s="1">
        <v>45379</v>
      </c>
      <c r="E1269" s="6" t="s">
        <v>89</v>
      </c>
      <c r="F1269" t="s">
        <v>24</v>
      </c>
      <c r="G1269" s="3" t="s">
        <v>25</v>
      </c>
      <c r="H1269">
        <v>2.6</v>
      </c>
      <c r="I1269">
        <v>28.15</v>
      </c>
      <c r="J1269">
        <v>73.180000000000007</v>
      </c>
      <c r="K1269" t="s">
        <v>96</v>
      </c>
      <c r="L1269" t="b">
        <v>0</v>
      </c>
    </row>
    <row r="1270" spans="1:13" ht="68" x14ac:dyDescent="0.2">
      <c r="A1270" t="s">
        <v>1672</v>
      </c>
      <c r="B1270" t="s">
        <v>1008</v>
      </c>
      <c r="C1270" t="s">
        <v>391</v>
      </c>
      <c r="D1270" s="1">
        <v>45636</v>
      </c>
      <c r="E1270" s="6" t="s">
        <v>89</v>
      </c>
      <c r="F1270" t="s">
        <v>50</v>
      </c>
      <c r="G1270" s="3" t="s">
        <v>51</v>
      </c>
      <c r="H1270">
        <v>2.9</v>
      </c>
      <c r="I1270">
        <v>26.74</v>
      </c>
      <c r="J1270">
        <v>77.56</v>
      </c>
      <c r="K1270" t="s">
        <v>82</v>
      </c>
      <c r="L1270" t="b">
        <v>0</v>
      </c>
    </row>
    <row r="1271" spans="1:13" ht="34" x14ac:dyDescent="0.2">
      <c r="A1271" t="s">
        <v>1673</v>
      </c>
      <c r="B1271" t="s">
        <v>53</v>
      </c>
      <c r="C1271" t="s">
        <v>191</v>
      </c>
      <c r="D1271" s="1">
        <v>45095</v>
      </c>
      <c r="E1271" s="6" t="s">
        <v>60</v>
      </c>
      <c r="F1271" t="s">
        <v>90</v>
      </c>
      <c r="G1271" s="3" t="s">
        <v>91</v>
      </c>
      <c r="H1271">
        <v>2.4</v>
      </c>
      <c r="I1271">
        <v>39.119999999999997</v>
      </c>
      <c r="J1271">
        <v>93.88</v>
      </c>
      <c r="K1271" t="s">
        <v>56</v>
      </c>
      <c r="L1271" t="b">
        <v>0</v>
      </c>
    </row>
    <row r="1272" spans="1:13" ht="34" x14ac:dyDescent="0.2">
      <c r="A1272" t="s">
        <v>1674</v>
      </c>
      <c r="B1272" t="s">
        <v>488</v>
      </c>
      <c r="C1272" t="s">
        <v>138</v>
      </c>
      <c r="D1272" s="1">
        <v>45450</v>
      </c>
      <c r="E1272" s="6" t="s">
        <v>78</v>
      </c>
      <c r="F1272" t="s">
        <v>54</v>
      </c>
      <c r="G1272" s="3" t="s">
        <v>55</v>
      </c>
      <c r="H1272">
        <v>4.5</v>
      </c>
      <c r="I1272">
        <v>69.83</v>
      </c>
      <c r="J1272">
        <v>314.20999999999998</v>
      </c>
      <c r="K1272" t="s">
        <v>56</v>
      </c>
      <c r="L1272" t="b">
        <v>0</v>
      </c>
    </row>
    <row r="1273" spans="1:13" ht="17" x14ac:dyDescent="0.2">
      <c r="A1273" t="s">
        <v>1675</v>
      </c>
      <c r="B1273" t="s">
        <v>286</v>
      </c>
      <c r="C1273" t="s">
        <v>138</v>
      </c>
      <c r="D1273" s="1">
        <v>45501</v>
      </c>
      <c r="E1273" s="6" t="s">
        <v>44</v>
      </c>
      <c r="F1273" t="s">
        <v>30</v>
      </c>
      <c r="G1273" s="3" t="s">
        <v>31</v>
      </c>
      <c r="H1273">
        <v>6.7</v>
      </c>
      <c r="I1273">
        <v>44.57</v>
      </c>
      <c r="J1273">
        <v>298.61</v>
      </c>
      <c r="K1273" t="s">
        <v>19</v>
      </c>
      <c r="L1273" t="b">
        <v>0</v>
      </c>
    </row>
    <row r="1274" spans="1:13" ht="17" x14ac:dyDescent="0.2">
      <c r="A1274" t="s">
        <v>1676</v>
      </c>
      <c r="B1274" t="s">
        <v>770</v>
      </c>
      <c r="C1274" t="s">
        <v>323</v>
      </c>
      <c r="D1274" s="1">
        <v>45206</v>
      </c>
      <c r="E1274" s="6" t="s">
        <v>60</v>
      </c>
      <c r="F1274" t="s">
        <v>30</v>
      </c>
      <c r="G1274" s="3" t="s">
        <v>31</v>
      </c>
      <c r="H1274">
        <v>6.4</v>
      </c>
      <c r="I1274">
        <v>77.19</v>
      </c>
      <c r="J1274">
        <v>494.04</v>
      </c>
      <c r="K1274" t="s">
        <v>96</v>
      </c>
      <c r="L1274" t="b">
        <v>0</v>
      </c>
    </row>
    <row r="1275" spans="1:13" ht="17" x14ac:dyDescent="0.2">
      <c r="A1275" t="s">
        <v>1677</v>
      </c>
      <c r="B1275" t="s">
        <v>466</v>
      </c>
      <c r="C1275" t="s">
        <v>95</v>
      </c>
      <c r="D1275" s="1">
        <v>45531</v>
      </c>
      <c r="E1275" s="6" t="s">
        <v>44</v>
      </c>
      <c r="F1275" t="s">
        <v>30</v>
      </c>
      <c r="G1275" s="3" t="s">
        <v>31</v>
      </c>
      <c r="H1275">
        <v>2.4</v>
      </c>
      <c r="I1275">
        <v>60.11</v>
      </c>
      <c r="J1275">
        <v>144.25</v>
      </c>
      <c r="K1275" t="s">
        <v>113</v>
      </c>
      <c r="L1275" t="b">
        <v>0</v>
      </c>
    </row>
    <row r="1276" spans="1:13" ht="34" x14ac:dyDescent="0.2">
      <c r="A1276" t="s">
        <v>1678</v>
      </c>
      <c r="B1276" t="s">
        <v>468</v>
      </c>
      <c r="C1276" t="s">
        <v>332</v>
      </c>
      <c r="D1276" s="1">
        <v>45093</v>
      </c>
      <c r="E1276" s="6" t="s">
        <v>60</v>
      </c>
      <c r="F1276" t="s">
        <v>61</v>
      </c>
      <c r="G1276" s="3" t="s">
        <v>62</v>
      </c>
      <c r="H1276">
        <v>2.9</v>
      </c>
      <c r="I1276">
        <v>80.67</v>
      </c>
      <c r="J1276">
        <v>233.95</v>
      </c>
      <c r="K1276" t="s">
        <v>96</v>
      </c>
      <c r="L1276" t="b">
        <v>0</v>
      </c>
    </row>
    <row r="1277" spans="1:13" ht="68" x14ac:dyDescent="0.2">
      <c r="A1277" t="s">
        <v>1679</v>
      </c>
      <c r="B1277" t="s">
        <v>602</v>
      </c>
      <c r="C1277" t="s">
        <v>124</v>
      </c>
      <c r="D1277" s="1">
        <v>45455</v>
      </c>
      <c r="E1277" s="6" t="s">
        <v>16</v>
      </c>
      <c r="F1277" t="s">
        <v>50</v>
      </c>
      <c r="G1277" s="3" t="s">
        <v>51</v>
      </c>
      <c r="H1277">
        <v>4.3</v>
      </c>
      <c r="I1277">
        <v>33.18</v>
      </c>
      <c r="J1277">
        <v>142.69</v>
      </c>
      <c r="K1277" t="s">
        <v>56</v>
      </c>
      <c r="L1277" t="b">
        <v>0</v>
      </c>
    </row>
    <row r="1278" spans="1:13" ht="17" x14ac:dyDescent="0.2">
      <c r="A1278" t="s">
        <v>1680</v>
      </c>
      <c r="B1278" t="s">
        <v>338</v>
      </c>
      <c r="C1278" t="s">
        <v>133</v>
      </c>
      <c r="D1278" s="1">
        <v>44989</v>
      </c>
      <c r="E1278" s="6" t="s">
        <v>23</v>
      </c>
      <c r="F1278" t="s">
        <v>30</v>
      </c>
      <c r="G1278" s="3" t="s">
        <v>31</v>
      </c>
      <c r="H1278">
        <v>5.8</v>
      </c>
      <c r="I1278">
        <v>83.53</v>
      </c>
      <c r="J1278">
        <v>484.49</v>
      </c>
      <c r="K1278" t="s">
        <v>92</v>
      </c>
      <c r="L1278" t="b">
        <v>0</v>
      </c>
    </row>
    <row r="1279" spans="1:13" ht="34" x14ac:dyDescent="0.2">
      <c r="A1279" t="s">
        <v>1681</v>
      </c>
      <c r="B1279" t="s">
        <v>402</v>
      </c>
      <c r="C1279" t="s">
        <v>124</v>
      </c>
      <c r="D1279" s="1">
        <v>45487</v>
      </c>
      <c r="E1279" s="6" t="s">
        <v>44</v>
      </c>
      <c r="F1279" t="s">
        <v>54</v>
      </c>
      <c r="G1279" s="3" t="s">
        <v>55</v>
      </c>
      <c r="H1279">
        <v>2.8</v>
      </c>
      <c r="I1279">
        <v>66.53</v>
      </c>
      <c r="J1279">
        <v>186.29</v>
      </c>
      <c r="K1279" t="s">
        <v>96</v>
      </c>
      <c r="L1279" t="b">
        <v>0</v>
      </c>
    </row>
    <row r="1280" spans="1:13" ht="34" x14ac:dyDescent="0.2">
      <c r="A1280" t="s">
        <v>1682</v>
      </c>
      <c r="B1280" t="s">
        <v>135</v>
      </c>
      <c r="C1280" t="s">
        <v>124</v>
      </c>
      <c r="D1280" s="1">
        <v>45282</v>
      </c>
      <c r="E1280" s="6" t="s">
        <v>60</v>
      </c>
      <c r="F1280" t="s">
        <v>45</v>
      </c>
      <c r="G1280" s="3" t="s">
        <v>46</v>
      </c>
      <c r="H1280">
        <v>2.8</v>
      </c>
      <c r="I1280">
        <v>76.099999999999994</v>
      </c>
      <c r="J1280">
        <v>213.08</v>
      </c>
      <c r="K1280" t="s">
        <v>113</v>
      </c>
      <c r="L1280" t="b">
        <v>0</v>
      </c>
    </row>
    <row r="1281" spans="1:13" ht="34" x14ac:dyDescent="0.2">
      <c r="A1281" t="s">
        <v>1683</v>
      </c>
      <c r="B1281" t="s">
        <v>482</v>
      </c>
      <c r="C1281" t="s">
        <v>499</v>
      </c>
      <c r="D1281" s="1">
        <v>45399</v>
      </c>
      <c r="E1281" s="6" t="s">
        <v>78</v>
      </c>
      <c r="F1281" t="s">
        <v>61</v>
      </c>
      <c r="G1281" s="3" t="s">
        <v>62</v>
      </c>
      <c r="H1281">
        <v>3</v>
      </c>
      <c r="I1281">
        <v>45.61</v>
      </c>
      <c r="J1281">
        <v>136.84</v>
      </c>
      <c r="K1281" t="s">
        <v>92</v>
      </c>
      <c r="L1281" t="b">
        <v>0</v>
      </c>
    </row>
    <row r="1282" spans="1:13" ht="68" x14ac:dyDescent="0.2">
      <c r="A1282" t="s">
        <v>1684</v>
      </c>
      <c r="B1282" t="s">
        <v>1167</v>
      </c>
      <c r="C1282" t="s">
        <v>95</v>
      </c>
      <c r="D1282" s="1">
        <v>45290</v>
      </c>
      <c r="E1282" s="6" t="s">
        <v>89</v>
      </c>
      <c r="F1282" t="s">
        <v>50</v>
      </c>
      <c r="G1282" s="3" t="s">
        <v>51</v>
      </c>
      <c r="H1282">
        <v>6.7</v>
      </c>
      <c r="I1282">
        <v>63.28</v>
      </c>
      <c r="J1282">
        <v>423.98</v>
      </c>
      <c r="K1282" t="s">
        <v>96</v>
      </c>
      <c r="L1282" t="b">
        <v>0</v>
      </c>
    </row>
    <row r="1283" spans="1:13" ht="68" x14ac:dyDescent="0.2">
      <c r="A1283" t="s">
        <v>1685</v>
      </c>
      <c r="B1283" t="s">
        <v>1142</v>
      </c>
      <c r="C1283" t="s">
        <v>186</v>
      </c>
      <c r="D1283" s="1">
        <v>45453</v>
      </c>
      <c r="E1283" s="6" t="s">
        <v>23</v>
      </c>
      <c r="F1283" t="s">
        <v>50</v>
      </c>
      <c r="G1283" s="3" t="s">
        <v>51</v>
      </c>
      <c r="H1283">
        <v>5.5</v>
      </c>
      <c r="I1283">
        <v>58.17</v>
      </c>
      <c r="J1283">
        <v>319.91000000000003</v>
      </c>
      <c r="K1283" t="s">
        <v>113</v>
      </c>
      <c r="L1283" t="b">
        <v>0</v>
      </c>
    </row>
    <row r="1284" spans="1:13" ht="34" x14ac:dyDescent="0.2">
      <c r="A1284" t="s">
        <v>1686</v>
      </c>
      <c r="B1284" t="s">
        <v>991</v>
      </c>
      <c r="C1284" t="s">
        <v>110</v>
      </c>
      <c r="D1284" s="1">
        <v>45261</v>
      </c>
      <c r="E1284" s="6" t="s">
        <v>23</v>
      </c>
      <c r="F1284" t="s">
        <v>90</v>
      </c>
      <c r="G1284" s="3" t="s">
        <v>91</v>
      </c>
      <c r="H1284">
        <v>4.5</v>
      </c>
      <c r="I1284">
        <v>56.31</v>
      </c>
      <c r="J1284">
        <v>253.38</v>
      </c>
      <c r="K1284" t="s">
        <v>82</v>
      </c>
      <c r="L1284" t="b">
        <v>0</v>
      </c>
    </row>
    <row r="1285" spans="1:13" ht="17" x14ac:dyDescent="0.2">
      <c r="A1285" t="s">
        <v>1687</v>
      </c>
      <c r="B1285" t="s">
        <v>386</v>
      </c>
      <c r="C1285" t="s">
        <v>219</v>
      </c>
      <c r="D1285" s="1">
        <v>45258</v>
      </c>
      <c r="E1285" s="6" t="s">
        <v>16</v>
      </c>
      <c r="F1285" t="s">
        <v>17</v>
      </c>
      <c r="G1285" s="3" t="s">
        <v>18</v>
      </c>
      <c r="H1285">
        <v>7</v>
      </c>
      <c r="I1285">
        <v>41.75</v>
      </c>
      <c r="J1285">
        <v>292.25</v>
      </c>
      <c r="K1285" t="s">
        <v>26</v>
      </c>
      <c r="L1285" t="b">
        <v>0</v>
      </c>
    </row>
    <row r="1286" spans="1:13" ht="34" x14ac:dyDescent="0.2">
      <c r="A1286" t="s">
        <v>1688</v>
      </c>
      <c r="B1286" t="s">
        <v>101</v>
      </c>
      <c r="C1286" t="s">
        <v>138</v>
      </c>
      <c r="D1286" s="1">
        <v>45262</v>
      </c>
      <c r="E1286" s="6" t="s">
        <v>78</v>
      </c>
      <c r="F1286" t="s">
        <v>61</v>
      </c>
      <c r="G1286" s="3" t="s">
        <v>62</v>
      </c>
      <c r="H1286">
        <v>6.4</v>
      </c>
      <c r="I1286">
        <v>39.799999999999997</v>
      </c>
      <c r="J1286">
        <v>254.72</v>
      </c>
      <c r="K1286" t="s">
        <v>36</v>
      </c>
      <c r="L1286" t="b">
        <v>0</v>
      </c>
    </row>
    <row r="1287" spans="1:13" ht="34" x14ac:dyDescent="0.2">
      <c r="A1287" t="s">
        <v>1689</v>
      </c>
      <c r="B1287" t="s">
        <v>970</v>
      </c>
      <c r="C1287" t="s">
        <v>499</v>
      </c>
      <c r="D1287" s="1">
        <v>45211</v>
      </c>
      <c r="E1287" s="6" t="s">
        <v>89</v>
      </c>
      <c r="F1287" t="s">
        <v>61</v>
      </c>
      <c r="G1287" s="3" t="s">
        <v>62</v>
      </c>
      <c r="H1287">
        <v>5.5</v>
      </c>
      <c r="I1287">
        <v>78.510000000000005</v>
      </c>
      <c r="J1287">
        <v>431.8</v>
      </c>
      <c r="K1287" t="s">
        <v>19</v>
      </c>
      <c r="L1287" t="b">
        <v>0</v>
      </c>
    </row>
    <row r="1288" spans="1:13" ht="68" x14ac:dyDescent="0.2">
      <c r="A1288" t="s">
        <v>1690</v>
      </c>
      <c r="B1288" t="s">
        <v>558</v>
      </c>
      <c r="C1288" t="s">
        <v>88</v>
      </c>
      <c r="D1288" s="1">
        <v>44988</v>
      </c>
      <c r="E1288" s="6" t="s">
        <v>60</v>
      </c>
      <c r="F1288" t="s">
        <v>50</v>
      </c>
      <c r="G1288" s="3" t="s">
        <v>51</v>
      </c>
      <c r="H1288">
        <v>7.5</v>
      </c>
      <c r="I1288">
        <v>78.900000000000006</v>
      </c>
      <c r="J1288">
        <v>591.71</v>
      </c>
      <c r="K1288" t="s">
        <v>26</v>
      </c>
      <c r="L1288" t="b">
        <v>0</v>
      </c>
    </row>
    <row r="1289" spans="1:13" ht="34" x14ac:dyDescent="0.2">
      <c r="A1289" t="s">
        <v>1691</v>
      </c>
      <c r="B1289" t="s">
        <v>81</v>
      </c>
      <c r="C1289" t="s">
        <v>130</v>
      </c>
      <c r="D1289" s="1">
        <v>45044</v>
      </c>
      <c r="E1289" s="6" t="s">
        <v>89</v>
      </c>
      <c r="F1289" t="s">
        <v>24</v>
      </c>
      <c r="G1289" s="3" t="s">
        <v>25</v>
      </c>
      <c r="H1289">
        <v>2.2000000000000002</v>
      </c>
      <c r="I1289">
        <v>53.24</v>
      </c>
      <c r="J1289">
        <v>117.13</v>
      </c>
      <c r="K1289" t="s">
        <v>82</v>
      </c>
      <c r="L1289" t="b">
        <v>0</v>
      </c>
    </row>
    <row r="1290" spans="1:13" ht="34" x14ac:dyDescent="0.2">
      <c r="A1290" t="s">
        <v>1692</v>
      </c>
      <c r="B1290" t="s">
        <v>349</v>
      </c>
      <c r="C1290" t="s">
        <v>124</v>
      </c>
      <c r="D1290" s="1">
        <v>45291</v>
      </c>
      <c r="E1290" s="6" t="s">
        <v>16</v>
      </c>
      <c r="F1290" t="s">
        <v>24</v>
      </c>
      <c r="G1290" s="3" t="s">
        <v>25</v>
      </c>
      <c r="H1290">
        <v>4.5999999999999996</v>
      </c>
      <c r="I1290">
        <v>48.66</v>
      </c>
      <c r="J1290">
        <v>223.83</v>
      </c>
      <c r="K1290" t="s">
        <v>32</v>
      </c>
      <c r="L1290" t="b">
        <v>0</v>
      </c>
    </row>
    <row r="1291" spans="1:13" ht="34" x14ac:dyDescent="0.2">
      <c r="A1291" t="s">
        <v>1693</v>
      </c>
      <c r="B1291" t="s">
        <v>147</v>
      </c>
      <c r="C1291" t="s">
        <v>280</v>
      </c>
      <c r="D1291" s="1">
        <v>45060</v>
      </c>
      <c r="E1291" s="6" t="s">
        <v>89</v>
      </c>
      <c r="F1291" t="s">
        <v>90</v>
      </c>
      <c r="G1291" s="3" t="s">
        <v>91</v>
      </c>
      <c r="H1291">
        <v>4.7</v>
      </c>
      <c r="I1291">
        <v>39.43</v>
      </c>
      <c r="J1291">
        <v>185.32</v>
      </c>
      <c r="K1291" t="s">
        <v>32</v>
      </c>
      <c r="L1291" t="b">
        <v>1</v>
      </c>
      <c r="M1291" s="3" t="s">
        <v>102</v>
      </c>
    </row>
    <row r="1292" spans="1:13" ht="34" x14ac:dyDescent="0.2">
      <c r="A1292" t="s">
        <v>1694</v>
      </c>
      <c r="B1292" t="s">
        <v>238</v>
      </c>
      <c r="C1292" t="s">
        <v>274</v>
      </c>
      <c r="D1292" s="1">
        <v>45525</v>
      </c>
      <c r="E1292" s="6" t="s">
        <v>23</v>
      </c>
      <c r="F1292" t="s">
        <v>24</v>
      </c>
      <c r="G1292" s="3" t="s">
        <v>25</v>
      </c>
      <c r="H1292">
        <v>6.2</v>
      </c>
      <c r="I1292">
        <v>49.4</v>
      </c>
      <c r="J1292">
        <v>306.26</v>
      </c>
      <c r="K1292" t="s">
        <v>105</v>
      </c>
      <c r="L1292" t="b">
        <v>0</v>
      </c>
    </row>
    <row r="1293" spans="1:13" ht="68" x14ac:dyDescent="0.2">
      <c r="A1293" t="s">
        <v>1695</v>
      </c>
      <c r="B1293" t="s">
        <v>28</v>
      </c>
      <c r="C1293" t="s">
        <v>35</v>
      </c>
      <c r="D1293" s="1">
        <v>44956</v>
      </c>
      <c r="E1293" s="6" t="s">
        <v>44</v>
      </c>
      <c r="F1293" t="s">
        <v>50</v>
      </c>
      <c r="G1293" s="3" t="s">
        <v>51</v>
      </c>
      <c r="H1293">
        <v>4.2</v>
      </c>
      <c r="I1293">
        <v>39.340000000000003</v>
      </c>
      <c r="J1293">
        <v>165.24</v>
      </c>
      <c r="K1293" t="s">
        <v>32</v>
      </c>
      <c r="L1293" t="b">
        <v>0</v>
      </c>
    </row>
    <row r="1294" spans="1:13" ht="34" x14ac:dyDescent="0.2">
      <c r="A1294" t="s">
        <v>1696</v>
      </c>
      <c r="B1294" t="s">
        <v>855</v>
      </c>
      <c r="C1294" t="s">
        <v>110</v>
      </c>
      <c r="D1294" s="1">
        <v>45492</v>
      </c>
      <c r="E1294" s="6" t="s">
        <v>16</v>
      </c>
      <c r="F1294" t="s">
        <v>24</v>
      </c>
      <c r="G1294" s="3" t="s">
        <v>25</v>
      </c>
      <c r="H1294">
        <v>17.3</v>
      </c>
      <c r="I1294">
        <v>43.29</v>
      </c>
      <c r="J1294">
        <v>750</v>
      </c>
      <c r="K1294" t="s">
        <v>82</v>
      </c>
      <c r="L1294" t="b">
        <v>1</v>
      </c>
      <c r="M1294" s="3" t="s">
        <v>40</v>
      </c>
    </row>
    <row r="1295" spans="1:13" ht="17" x14ac:dyDescent="0.2">
      <c r="A1295" t="s">
        <v>1697</v>
      </c>
      <c r="B1295" t="s">
        <v>358</v>
      </c>
      <c r="C1295" t="s">
        <v>156</v>
      </c>
      <c r="D1295" s="1">
        <v>45441</v>
      </c>
      <c r="E1295" s="6" t="s">
        <v>44</v>
      </c>
      <c r="F1295" t="s">
        <v>17</v>
      </c>
      <c r="G1295" s="3" t="s">
        <v>18</v>
      </c>
      <c r="H1295">
        <v>7.1</v>
      </c>
      <c r="I1295">
        <v>69.84</v>
      </c>
      <c r="J1295">
        <v>495.84</v>
      </c>
      <c r="K1295" t="s">
        <v>36</v>
      </c>
      <c r="L1295" t="b">
        <v>0</v>
      </c>
    </row>
    <row r="1296" spans="1:13" ht="17" x14ac:dyDescent="0.2">
      <c r="A1296" t="s">
        <v>1698</v>
      </c>
      <c r="B1296" t="s">
        <v>593</v>
      </c>
      <c r="C1296" t="s">
        <v>196</v>
      </c>
      <c r="D1296" s="1">
        <v>45378</v>
      </c>
      <c r="E1296" s="6" t="s">
        <v>16</v>
      </c>
      <c r="F1296" t="s">
        <v>17</v>
      </c>
      <c r="G1296" s="3" t="s">
        <v>18</v>
      </c>
      <c r="H1296">
        <v>4.8</v>
      </c>
      <c r="I1296">
        <v>33.32</v>
      </c>
      <c r="J1296">
        <v>159.91999999999999</v>
      </c>
      <c r="K1296" t="s">
        <v>96</v>
      </c>
      <c r="L1296" t="b">
        <v>0</v>
      </c>
    </row>
    <row r="1297" spans="1:13" ht="34" x14ac:dyDescent="0.2">
      <c r="A1297" t="s">
        <v>1699</v>
      </c>
      <c r="B1297" t="s">
        <v>1058</v>
      </c>
      <c r="C1297" t="s">
        <v>49</v>
      </c>
      <c r="D1297" s="1">
        <v>45275</v>
      </c>
      <c r="E1297" s="6" t="s">
        <v>16</v>
      </c>
      <c r="F1297" t="s">
        <v>61</v>
      </c>
      <c r="G1297" s="3" t="s">
        <v>62</v>
      </c>
      <c r="H1297">
        <v>3.1</v>
      </c>
      <c r="I1297">
        <v>77.290000000000006</v>
      </c>
      <c r="J1297">
        <v>239.61</v>
      </c>
      <c r="K1297" t="s">
        <v>113</v>
      </c>
      <c r="L1297" t="b">
        <v>0</v>
      </c>
    </row>
    <row r="1298" spans="1:13" ht="34" x14ac:dyDescent="0.2">
      <c r="A1298" t="s">
        <v>1700</v>
      </c>
      <c r="B1298" t="s">
        <v>1461</v>
      </c>
      <c r="C1298" t="s">
        <v>499</v>
      </c>
      <c r="D1298" s="1">
        <v>45013</v>
      </c>
      <c r="E1298" s="6" t="s">
        <v>16</v>
      </c>
      <c r="F1298" t="s">
        <v>17</v>
      </c>
      <c r="G1298" s="3" t="s">
        <v>18</v>
      </c>
      <c r="H1298">
        <v>6.2</v>
      </c>
      <c r="I1298">
        <v>25.08</v>
      </c>
      <c r="J1298">
        <v>155.51</v>
      </c>
      <c r="K1298" t="s">
        <v>113</v>
      </c>
      <c r="L1298" t="b">
        <v>1</v>
      </c>
      <c r="M1298" s="3" t="s">
        <v>102</v>
      </c>
    </row>
    <row r="1299" spans="1:13" ht="34" x14ac:dyDescent="0.2">
      <c r="A1299" t="s">
        <v>1701</v>
      </c>
      <c r="B1299" t="s">
        <v>912</v>
      </c>
      <c r="C1299" t="s">
        <v>256</v>
      </c>
      <c r="D1299" s="1">
        <v>45502</v>
      </c>
      <c r="E1299" s="6" t="s">
        <v>89</v>
      </c>
      <c r="F1299" t="s">
        <v>90</v>
      </c>
      <c r="G1299" s="3" t="s">
        <v>91</v>
      </c>
      <c r="H1299">
        <v>4.3</v>
      </c>
      <c r="I1299">
        <v>66.45</v>
      </c>
      <c r="J1299">
        <v>285.70999999999998</v>
      </c>
      <c r="K1299" t="s">
        <v>82</v>
      </c>
      <c r="L1299" t="b">
        <v>0</v>
      </c>
    </row>
    <row r="1300" spans="1:13" ht="34" x14ac:dyDescent="0.2">
      <c r="A1300" t="s">
        <v>1702</v>
      </c>
      <c r="B1300" t="s">
        <v>1461</v>
      </c>
      <c r="C1300" t="s">
        <v>110</v>
      </c>
      <c r="D1300" s="1">
        <v>45579</v>
      </c>
      <c r="E1300" s="6" t="s">
        <v>16</v>
      </c>
      <c r="F1300" t="s">
        <v>24</v>
      </c>
      <c r="G1300" s="3" t="s">
        <v>25</v>
      </c>
      <c r="H1300">
        <v>3.8</v>
      </c>
      <c r="I1300">
        <v>70.17</v>
      </c>
      <c r="J1300">
        <v>266.66000000000003</v>
      </c>
      <c r="K1300" t="s">
        <v>113</v>
      </c>
      <c r="L1300" t="b">
        <v>0</v>
      </c>
    </row>
    <row r="1301" spans="1:13" ht="17" x14ac:dyDescent="0.2">
      <c r="A1301" t="s">
        <v>1703</v>
      </c>
      <c r="B1301" t="s">
        <v>464</v>
      </c>
      <c r="C1301" t="s">
        <v>219</v>
      </c>
      <c r="D1301" s="1">
        <v>44972</v>
      </c>
      <c r="E1301" s="6" t="s">
        <v>78</v>
      </c>
      <c r="F1301" t="s">
        <v>30</v>
      </c>
      <c r="G1301" s="3" t="s">
        <v>31</v>
      </c>
      <c r="H1301">
        <v>18.3</v>
      </c>
      <c r="I1301">
        <v>29.86</v>
      </c>
      <c r="J1301">
        <v>546.44000000000005</v>
      </c>
      <c r="K1301" t="s">
        <v>92</v>
      </c>
      <c r="L1301" t="b">
        <v>1</v>
      </c>
      <c r="M1301" s="3" t="s">
        <v>79</v>
      </c>
    </row>
    <row r="1302" spans="1:13" ht="34" x14ac:dyDescent="0.2">
      <c r="A1302" t="s">
        <v>1704</v>
      </c>
      <c r="B1302" t="s">
        <v>588</v>
      </c>
      <c r="C1302" t="s">
        <v>22</v>
      </c>
      <c r="D1302" s="1">
        <v>45132</v>
      </c>
      <c r="E1302" s="6" t="s">
        <v>78</v>
      </c>
      <c r="F1302" t="s">
        <v>24</v>
      </c>
      <c r="G1302" s="3" t="s">
        <v>25</v>
      </c>
      <c r="H1302">
        <v>5.0999999999999996</v>
      </c>
      <c r="I1302">
        <v>79.599999999999994</v>
      </c>
      <c r="J1302">
        <v>405.96</v>
      </c>
      <c r="K1302" t="s">
        <v>113</v>
      </c>
      <c r="L1302" t="b">
        <v>0</v>
      </c>
    </row>
    <row r="1303" spans="1:13" ht="34" x14ac:dyDescent="0.2">
      <c r="A1303" t="s">
        <v>1705</v>
      </c>
      <c r="B1303" t="s">
        <v>94</v>
      </c>
      <c r="C1303" t="s">
        <v>49</v>
      </c>
      <c r="D1303" s="1">
        <v>45656</v>
      </c>
      <c r="E1303" s="6" t="s">
        <v>89</v>
      </c>
      <c r="F1303" t="s">
        <v>24</v>
      </c>
      <c r="G1303" s="3" t="s">
        <v>25</v>
      </c>
      <c r="H1303">
        <v>23.5</v>
      </c>
      <c r="I1303">
        <v>46.94</v>
      </c>
      <c r="J1303">
        <v>1103.0899999999999</v>
      </c>
      <c r="K1303" t="s">
        <v>96</v>
      </c>
      <c r="L1303" t="b">
        <v>1</v>
      </c>
      <c r="M1303" s="3" t="s">
        <v>79</v>
      </c>
    </row>
    <row r="1304" spans="1:13" ht="34" x14ac:dyDescent="0.2">
      <c r="A1304" t="s">
        <v>1706</v>
      </c>
      <c r="B1304" t="s">
        <v>424</v>
      </c>
      <c r="C1304" t="s">
        <v>183</v>
      </c>
      <c r="D1304" s="1">
        <v>44943</v>
      </c>
      <c r="E1304" s="6" t="s">
        <v>89</v>
      </c>
      <c r="F1304" t="s">
        <v>24</v>
      </c>
      <c r="G1304" s="3" t="s">
        <v>25</v>
      </c>
      <c r="H1304">
        <v>4.2</v>
      </c>
      <c r="I1304">
        <v>35.520000000000003</v>
      </c>
      <c r="J1304">
        <v>149.16999999999999</v>
      </c>
      <c r="K1304" t="s">
        <v>32</v>
      </c>
      <c r="L1304" t="b">
        <v>0</v>
      </c>
    </row>
    <row r="1305" spans="1:13" ht="34" x14ac:dyDescent="0.2">
      <c r="A1305" t="s">
        <v>1707</v>
      </c>
      <c r="B1305" t="s">
        <v>185</v>
      </c>
      <c r="C1305" t="s">
        <v>194</v>
      </c>
      <c r="D1305" s="1">
        <v>44962</v>
      </c>
      <c r="E1305" s="6" t="s">
        <v>23</v>
      </c>
      <c r="F1305" t="s">
        <v>90</v>
      </c>
      <c r="G1305" s="3" t="s">
        <v>91</v>
      </c>
      <c r="H1305">
        <v>5.4</v>
      </c>
      <c r="I1305">
        <v>71.41</v>
      </c>
      <c r="J1305">
        <v>385.64</v>
      </c>
      <c r="K1305" t="s">
        <v>113</v>
      </c>
      <c r="L1305" t="b">
        <v>0</v>
      </c>
    </row>
    <row r="1306" spans="1:13" ht="34" x14ac:dyDescent="0.2">
      <c r="A1306" t="s">
        <v>1708</v>
      </c>
      <c r="B1306" t="s">
        <v>925</v>
      </c>
      <c r="C1306" t="s">
        <v>116</v>
      </c>
      <c r="D1306" s="1">
        <v>44945</v>
      </c>
      <c r="E1306" s="6" t="s">
        <v>60</v>
      </c>
      <c r="F1306" t="s">
        <v>54</v>
      </c>
      <c r="G1306" s="3" t="s">
        <v>55</v>
      </c>
      <c r="H1306">
        <v>3.4</v>
      </c>
      <c r="I1306">
        <v>31.81</v>
      </c>
      <c r="J1306">
        <v>108.17</v>
      </c>
      <c r="K1306" t="s">
        <v>96</v>
      </c>
      <c r="L1306" t="b">
        <v>0</v>
      </c>
    </row>
    <row r="1307" spans="1:13" ht="17" x14ac:dyDescent="0.2">
      <c r="A1307" t="s">
        <v>1709</v>
      </c>
      <c r="B1307" t="s">
        <v>895</v>
      </c>
      <c r="C1307" t="s">
        <v>280</v>
      </c>
      <c r="D1307" s="1">
        <v>44937</v>
      </c>
      <c r="E1307" s="6" t="s">
        <v>78</v>
      </c>
      <c r="F1307" t="s">
        <v>30</v>
      </c>
      <c r="G1307" s="3" t="s">
        <v>31</v>
      </c>
      <c r="H1307">
        <v>6.5</v>
      </c>
      <c r="I1307">
        <v>70.650000000000006</v>
      </c>
      <c r="J1307">
        <v>459.25</v>
      </c>
      <c r="K1307" t="s">
        <v>92</v>
      </c>
      <c r="L1307" t="b">
        <v>0</v>
      </c>
    </row>
    <row r="1308" spans="1:13" ht="34" x14ac:dyDescent="0.2">
      <c r="A1308" t="s">
        <v>1710</v>
      </c>
      <c r="B1308" t="s">
        <v>1028</v>
      </c>
      <c r="C1308" t="s">
        <v>172</v>
      </c>
      <c r="D1308" s="1">
        <v>45381</v>
      </c>
      <c r="E1308" s="6" t="s">
        <v>60</v>
      </c>
      <c r="F1308" t="s">
        <v>54</v>
      </c>
      <c r="G1308" s="3" t="s">
        <v>55</v>
      </c>
      <c r="H1308">
        <v>7.4</v>
      </c>
      <c r="I1308">
        <v>55.21</v>
      </c>
      <c r="J1308">
        <v>408.58</v>
      </c>
      <c r="K1308" t="s">
        <v>36</v>
      </c>
      <c r="L1308" t="b">
        <v>0</v>
      </c>
    </row>
    <row r="1309" spans="1:13" ht="34" x14ac:dyDescent="0.2">
      <c r="A1309" t="s">
        <v>1711</v>
      </c>
      <c r="B1309" t="s">
        <v>424</v>
      </c>
      <c r="C1309" t="s">
        <v>43</v>
      </c>
      <c r="D1309" s="1">
        <v>45515</v>
      </c>
      <c r="E1309" s="6" t="s">
        <v>60</v>
      </c>
      <c r="F1309" t="s">
        <v>45</v>
      </c>
      <c r="G1309" s="3" t="s">
        <v>46</v>
      </c>
      <c r="H1309">
        <v>2.2999999999999998</v>
      </c>
      <c r="I1309">
        <v>47.37</v>
      </c>
      <c r="J1309">
        <v>108.95</v>
      </c>
      <c r="K1309" t="s">
        <v>32</v>
      </c>
      <c r="L1309" t="b">
        <v>0</v>
      </c>
    </row>
    <row r="1310" spans="1:13" ht="17" x14ac:dyDescent="0.2">
      <c r="A1310" t="s">
        <v>1712</v>
      </c>
      <c r="B1310" t="s">
        <v>406</v>
      </c>
      <c r="C1310" t="s">
        <v>191</v>
      </c>
      <c r="D1310" s="1">
        <v>45575</v>
      </c>
      <c r="E1310" s="6" t="s">
        <v>60</v>
      </c>
      <c r="F1310" t="s">
        <v>17</v>
      </c>
      <c r="G1310" s="3" t="s">
        <v>18</v>
      </c>
      <c r="H1310">
        <v>5</v>
      </c>
      <c r="I1310">
        <v>74.77</v>
      </c>
      <c r="J1310">
        <v>373.87</v>
      </c>
      <c r="K1310" t="s">
        <v>82</v>
      </c>
      <c r="L1310" t="b">
        <v>0</v>
      </c>
    </row>
    <row r="1311" spans="1:13" ht="34" x14ac:dyDescent="0.2">
      <c r="A1311" t="s">
        <v>1713</v>
      </c>
      <c r="B1311" t="s">
        <v>517</v>
      </c>
      <c r="C1311" t="s">
        <v>172</v>
      </c>
      <c r="D1311" s="1">
        <v>45490</v>
      </c>
      <c r="E1311" s="6" t="s">
        <v>16</v>
      </c>
      <c r="F1311" t="s">
        <v>45</v>
      </c>
      <c r="G1311" s="3" t="s">
        <v>46</v>
      </c>
      <c r="H1311">
        <v>23.4</v>
      </c>
      <c r="I1311">
        <v>47.09</v>
      </c>
      <c r="J1311">
        <v>1101.9100000000001</v>
      </c>
      <c r="K1311" t="s">
        <v>82</v>
      </c>
      <c r="L1311" t="b">
        <v>1</v>
      </c>
      <c r="M1311" s="3" t="s">
        <v>79</v>
      </c>
    </row>
    <row r="1312" spans="1:13" ht="34" x14ac:dyDescent="0.2">
      <c r="A1312" t="s">
        <v>1714</v>
      </c>
      <c r="B1312" t="s">
        <v>261</v>
      </c>
      <c r="C1312" t="s">
        <v>295</v>
      </c>
      <c r="D1312" s="1">
        <v>45156</v>
      </c>
      <c r="E1312" s="6" t="s">
        <v>44</v>
      </c>
      <c r="F1312" t="s">
        <v>90</v>
      </c>
      <c r="G1312" s="3" t="s">
        <v>91</v>
      </c>
      <c r="H1312">
        <v>3.1</v>
      </c>
      <c r="I1312">
        <v>78.040000000000006</v>
      </c>
      <c r="J1312">
        <v>241.92</v>
      </c>
      <c r="K1312" t="s">
        <v>96</v>
      </c>
      <c r="L1312" t="b">
        <v>0</v>
      </c>
    </row>
    <row r="1313" spans="1:13" ht="34" x14ac:dyDescent="0.2">
      <c r="A1313" t="s">
        <v>1715</v>
      </c>
      <c r="B1313" t="s">
        <v>342</v>
      </c>
      <c r="C1313" t="s">
        <v>110</v>
      </c>
      <c r="D1313" s="1">
        <v>45011</v>
      </c>
      <c r="E1313" s="6" t="s">
        <v>44</v>
      </c>
      <c r="F1313" t="s">
        <v>90</v>
      </c>
      <c r="G1313" s="3" t="s">
        <v>91</v>
      </c>
      <c r="H1313">
        <v>4.3</v>
      </c>
      <c r="I1313">
        <v>35.729999999999997</v>
      </c>
      <c r="J1313">
        <v>153.63</v>
      </c>
      <c r="K1313" t="s">
        <v>92</v>
      </c>
      <c r="L1313" t="b">
        <v>1</v>
      </c>
      <c r="M1313" s="3" t="s">
        <v>102</v>
      </c>
    </row>
    <row r="1314" spans="1:13" ht="34" x14ac:dyDescent="0.2">
      <c r="A1314" t="s">
        <v>1716</v>
      </c>
      <c r="B1314" t="s">
        <v>525</v>
      </c>
      <c r="C1314" t="s">
        <v>194</v>
      </c>
      <c r="D1314" s="1">
        <v>45022</v>
      </c>
      <c r="E1314" s="6" t="s">
        <v>23</v>
      </c>
      <c r="F1314" t="s">
        <v>90</v>
      </c>
      <c r="G1314" s="3" t="s">
        <v>91</v>
      </c>
      <c r="H1314">
        <v>3</v>
      </c>
      <c r="I1314">
        <v>31.72</v>
      </c>
      <c r="J1314">
        <v>95.16</v>
      </c>
      <c r="K1314" t="s">
        <v>32</v>
      </c>
      <c r="L1314" t="b">
        <v>0</v>
      </c>
    </row>
    <row r="1315" spans="1:13" ht="17" x14ac:dyDescent="0.2">
      <c r="A1315" t="s">
        <v>1717</v>
      </c>
      <c r="B1315" t="s">
        <v>168</v>
      </c>
      <c r="C1315" t="s">
        <v>145</v>
      </c>
      <c r="D1315" s="1">
        <v>44930</v>
      </c>
      <c r="E1315" s="6" t="s">
        <v>16</v>
      </c>
      <c r="F1315" t="s">
        <v>17</v>
      </c>
      <c r="G1315" s="3" t="s">
        <v>18</v>
      </c>
      <c r="H1315">
        <v>2.9</v>
      </c>
      <c r="I1315">
        <v>37.26</v>
      </c>
      <c r="J1315">
        <v>108.04</v>
      </c>
      <c r="K1315" t="s">
        <v>113</v>
      </c>
      <c r="L1315" t="b">
        <v>0</v>
      </c>
    </row>
    <row r="1316" spans="1:13" ht="34" x14ac:dyDescent="0.2">
      <c r="A1316" t="s">
        <v>1718</v>
      </c>
      <c r="B1316" t="s">
        <v>367</v>
      </c>
      <c r="C1316" t="s">
        <v>133</v>
      </c>
      <c r="D1316" s="1">
        <v>45332</v>
      </c>
      <c r="E1316" s="6" t="s">
        <v>89</v>
      </c>
      <c r="F1316" t="s">
        <v>24</v>
      </c>
      <c r="G1316" s="3" t="s">
        <v>25</v>
      </c>
      <c r="H1316">
        <v>3.8</v>
      </c>
      <c r="I1316">
        <v>83.17</v>
      </c>
      <c r="J1316">
        <v>316.06</v>
      </c>
      <c r="K1316" t="s">
        <v>105</v>
      </c>
      <c r="L1316" t="b">
        <v>0</v>
      </c>
    </row>
    <row r="1317" spans="1:13" ht="68" x14ac:dyDescent="0.2">
      <c r="A1317" t="s">
        <v>1719</v>
      </c>
      <c r="B1317" t="s">
        <v>899</v>
      </c>
      <c r="C1317" t="s">
        <v>293</v>
      </c>
      <c r="D1317" s="1">
        <v>45585</v>
      </c>
      <c r="E1317" s="6" t="s">
        <v>16</v>
      </c>
      <c r="F1317" t="s">
        <v>50</v>
      </c>
      <c r="G1317" s="3" t="s">
        <v>51</v>
      </c>
      <c r="H1317">
        <v>4.8</v>
      </c>
      <c r="I1317">
        <v>50.21</v>
      </c>
      <c r="J1317">
        <v>241</v>
      </c>
      <c r="K1317" t="s">
        <v>113</v>
      </c>
      <c r="L1317" t="b">
        <v>0</v>
      </c>
    </row>
    <row r="1318" spans="1:13" ht="34" x14ac:dyDescent="0.2">
      <c r="A1318" t="s">
        <v>1720</v>
      </c>
      <c r="B1318" t="s">
        <v>98</v>
      </c>
      <c r="C1318" t="s">
        <v>370</v>
      </c>
      <c r="D1318" s="1">
        <v>45142</v>
      </c>
      <c r="E1318" s="6" t="s">
        <v>23</v>
      </c>
      <c r="F1318" t="s">
        <v>24</v>
      </c>
      <c r="G1318" s="3" t="s">
        <v>25</v>
      </c>
      <c r="H1318">
        <v>17.399999999999999</v>
      </c>
      <c r="I1318">
        <v>28.78</v>
      </c>
      <c r="J1318">
        <v>500</v>
      </c>
      <c r="K1318" t="s">
        <v>113</v>
      </c>
      <c r="L1318" t="b">
        <v>1</v>
      </c>
      <c r="M1318" s="3" t="s">
        <v>40</v>
      </c>
    </row>
    <row r="1319" spans="1:13" ht="34" x14ac:dyDescent="0.2">
      <c r="A1319" t="s">
        <v>1721</v>
      </c>
      <c r="B1319" t="s">
        <v>1237</v>
      </c>
      <c r="C1319" t="s">
        <v>207</v>
      </c>
      <c r="D1319" s="1">
        <v>45263</v>
      </c>
      <c r="E1319" s="6" t="s">
        <v>16</v>
      </c>
      <c r="F1319" t="s">
        <v>54</v>
      </c>
      <c r="G1319" s="3" t="s">
        <v>55</v>
      </c>
      <c r="H1319">
        <v>4.5</v>
      </c>
      <c r="I1319">
        <v>45.57</v>
      </c>
      <c r="J1319">
        <v>205.05</v>
      </c>
      <c r="K1319" t="s">
        <v>36</v>
      </c>
      <c r="L1319" t="b">
        <v>0</v>
      </c>
    </row>
    <row r="1320" spans="1:13" ht="34" x14ac:dyDescent="0.2">
      <c r="A1320" t="s">
        <v>1722</v>
      </c>
      <c r="B1320" t="s">
        <v>233</v>
      </c>
      <c r="C1320" t="s">
        <v>122</v>
      </c>
      <c r="D1320" s="1">
        <v>45280</v>
      </c>
      <c r="E1320" s="6" t="s">
        <v>89</v>
      </c>
      <c r="F1320" t="s">
        <v>54</v>
      </c>
      <c r="G1320" s="3" t="s">
        <v>55</v>
      </c>
      <c r="H1320">
        <v>4.9000000000000004</v>
      </c>
      <c r="I1320">
        <v>64.95</v>
      </c>
      <c r="J1320">
        <v>318.26</v>
      </c>
      <c r="K1320" t="s">
        <v>36</v>
      </c>
      <c r="L1320" t="b">
        <v>0</v>
      </c>
    </row>
    <row r="1321" spans="1:13" ht="17" x14ac:dyDescent="0.2">
      <c r="A1321" t="s">
        <v>1723</v>
      </c>
      <c r="B1321" t="s">
        <v>987</v>
      </c>
      <c r="C1321" t="s">
        <v>130</v>
      </c>
      <c r="D1321" s="1">
        <v>45125</v>
      </c>
      <c r="E1321" s="6" t="s">
        <v>78</v>
      </c>
      <c r="F1321" t="s">
        <v>17</v>
      </c>
      <c r="G1321" s="3" t="s">
        <v>18</v>
      </c>
      <c r="H1321">
        <v>4.7</v>
      </c>
      <c r="I1321">
        <v>59.04</v>
      </c>
      <c r="J1321">
        <v>277.45999999999998</v>
      </c>
      <c r="K1321" t="s">
        <v>92</v>
      </c>
      <c r="L1321" t="b">
        <v>0</v>
      </c>
    </row>
    <row r="1322" spans="1:13" ht="68" x14ac:dyDescent="0.2">
      <c r="A1322" t="s">
        <v>1724</v>
      </c>
      <c r="B1322" t="s">
        <v>939</v>
      </c>
      <c r="C1322" t="s">
        <v>156</v>
      </c>
      <c r="D1322" s="1">
        <v>44950</v>
      </c>
      <c r="E1322" s="6" t="s">
        <v>78</v>
      </c>
      <c r="F1322" t="s">
        <v>50</v>
      </c>
      <c r="G1322" s="3" t="s">
        <v>51</v>
      </c>
      <c r="H1322">
        <v>6.7</v>
      </c>
      <c r="I1322">
        <v>38.61</v>
      </c>
      <c r="J1322">
        <v>258.67</v>
      </c>
      <c r="K1322" t="s">
        <v>96</v>
      </c>
      <c r="L1322" t="b">
        <v>0</v>
      </c>
    </row>
    <row r="1323" spans="1:13" ht="34" x14ac:dyDescent="0.2">
      <c r="A1323" t="s">
        <v>1725</v>
      </c>
      <c r="B1323" t="s">
        <v>374</v>
      </c>
      <c r="C1323" t="s">
        <v>219</v>
      </c>
      <c r="D1323" s="1">
        <v>45242</v>
      </c>
      <c r="E1323" s="6" t="s">
        <v>78</v>
      </c>
      <c r="F1323" t="s">
        <v>45</v>
      </c>
      <c r="G1323" s="3" t="s">
        <v>46</v>
      </c>
      <c r="H1323">
        <v>6.6</v>
      </c>
      <c r="I1323">
        <v>27.84</v>
      </c>
      <c r="J1323">
        <v>183.74</v>
      </c>
      <c r="K1323" t="s">
        <v>19</v>
      </c>
      <c r="L1323" t="b">
        <v>0</v>
      </c>
    </row>
    <row r="1324" spans="1:13" ht="34" x14ac:dyDescent="0.2">
      <c r="A1324" t="s">
        <v>1726</v>
      </c>
      <c r="B1324" t="s">
        <v>112</v>
      </c>
      <c r="C1324" t="s">
        <v>183</v>
      </c>
      <c r="D1324" s="1">
        <v>44977</v>
      </c>
      <c r="E1324" s="6" t="s">
        <v>23</v>
      </c>
      <c r="F1324" t="s">
        <v>45</v>
      </c>
      <c r="G1324" s="3" t="s">
        <v>46</v>
      </c>
      <c r="H1324">
        <v>4.7</v>
      </c>
      <c r="I1324">
        <v>34.979999999999997</v>
      </c>
      <c r="J1324">
        <v>164.41</v>
      </c>
      <c r="K1324" t="s">
        <v>113</v>
      </c>
      <c r="L1324" t="b">
        <v>1</v>
      </c>
      <c r="M1324" s="3" t="s">
        <v>102</v>
      </c>
    </row>
    <row r="1325" spans="1:13" ht="34" x14ac:dyDescent="0.2">
      <c r="A1325" t="s">
        <v>1727</v>
      </c>
      <c r="B1325" t="s">
        <v>493</v>
      </c>
      <c r="C1325" t="s">
        <v>172</v>
      </c>
      <c r="D1325" s="1">
        <v>45615</v>
      </c>
      <c r="E1325" s="6" t="s">
        <v>16</v>
      </c>
      <c r="F1325" t="s">
        <v>45</v>
      </c>
      <c r="G1325" s="3" t="s">
        <v>46</v>
      </c>
      <c r="H1325">
        <v>3.1</v>
      </c>
      <c r="I1325">
        <v>35.520000000000003</v>
      </c>
      <c r="J1325">
        <v>110.12</v>
      </c>
      <c r="K1325" t="s">
        <v>19</v>
      </c>
      <c r="L1325" t="b">
        <v>0</v>
      </c>
    </row>
    <row r="1326" spans="1:13" ht="68" x14ac:dyDescent="0.2">
      <c r="A1326" t="s">
        <v>1728</v>
      </c>
      <c r="B1326" t="s">
        <v>630</v>
      </c>
      <c r="C1326" t="s">
        <v>39</v>
      </c>
      <c r="D1326" s="1">
        <v>44996</v>
      </c>
      <c r="E1326" s="6" t="s">
        <v>78</v>
      </c>
      <c r="F1326" t="s">
        <v>50</v>
      </c>
      <c r="G1326" s="3" t="s">
        <v>51</v>
      </c>
      <c r="H1326">
        <v>3</v>
      </c>
      <c r="I1326">
        <v>32.020000000000003</v>
      </c>
      <c r="J1326">
        <v>96.05</v>
      </c>
      <c r="K1326" t="s">
        <v>32</v>
      </c>
      <c r="L1326" t="b">
        <v>0</v>
      </c>
    </row>
    <row r="1327" spans="1:13" ht="68" x14ac:dyDescent="0.2">
      <c r="A1327" t="s">
        <v>1729</v>
      </c>
      <c r="B1327" t="s">
        <v>147</v>
      </c>
      <c r="C1327" t="s">
        <v>186</v>
      </c>
      <c r="D1327" s="1">
        <v>45223</v>
      </c>
      <c r="E1327" s="6" t="s">
        <v>23</v>
      </c>
      <c r="F1327" t="s">
        <v>50</v>
      </c>
      <c r="G1327" s="3" t="s">
        <v>51</v>
      </c>
      <c r="H1327">
        <v>4.5999999999999996</v>
      </c>
      <c r="I1327">
        <v>47.18</v>
      </c>
      <c r="J1327">
        <v>217.03</v>
      </c>
      <c r="K1327" t="s">
        <v>32</v>
      </c>
      <c r="L1327" t="b">
        <v>0</v>
      </c>
    </row>
    <row r="1328" spans="1:13" ht="34" x14ac:dyDescent="0.2">
      <c r="A1328" t="s">
        <v>1730</v>
      </c>
      <c r="B1328" t="s">
        <v>558</v>
      </c>
      <c r="C1328" t="s">
        <v>189</v>
      </c>
      <c r="D1328" s="1">
        <v>45247</v>
      </c>
      <c r="E1328" s="6" t="s">
        <v>23</v>
      </c>
      <c r="F1328" t="s">
        <v>24</v>
      </c>
      <c r="G1328" s="3" t="s">
        <v>25</v>
      </c>
      <c r="H1328">
        <v>6</v>
      </c>
      <c r="I1328">
        <v>83.68</v>
      </c>
      <c r="J1328">
        <v>502.09</v>
      </c>
      <c r="K1328" t="s">
        <v>26</v>
      </c>
      <c r="L1328" t="b">
        <v>1</v>
      </c>
      <c r="M1328" s="3" t="s">
        <v>102</v>
      </c>
    </row>
    <row r="1329" spans="1:12" ht="34" x14ac:dyDescent="0.2">
      <c r="A1329" t="s">
        <v>1731</v>
      </c>
      <c r="B1329" t="s">
        <v>210</v>
      </c>
      <c r="C1329" t="s">
        <v>380</v>
      </c>
      <c r="D1329" s="1">
        <v>45440</v>
      </c>
      <c r="E1329" s="6" t="s">
        <v>89</v>
      </c>
      <c r="F1329" t="s">
        <v>54</v>
      </c>
      <c r="G1329" s="3" t="s">
        <v>55</v>
      </c>
      <c r="H1329">
        <v>4.7</v>
      </c>
      <c r="I1329">
        <v>83.53</v>
      </c>
      <c r="J1329">
        <v>392.58</v>
      </c>
      <c r="K1329" t="s">
        <v>96</v>
      </c>
      <c r="L1329" t="b">
        <v>0</v>
      </c>
    </row>
    <row r="1330" spans="1:12" ht="34" x14ac:dyDescent="0.2">
      <c r="A1330" t="s">
        <v>1732</v>
      </c>
      <c r="B1330" t="s">
        <v>252</v>
      </c>
      <c r="C1330" t="s">
        <v>29</v>
      </c>
      <c r="D1330" s="1">
        <v>45081</v>
      </c>
      <c r="E1330" s="6" t="s">
        <v>60</v>
      </c>
      <c r="F1330" t="s">
        <v>45</v>
      </c>
      <c r="G1330" s="3" t="s">
        <v>46</v>
      </c>
      <c r="H1330">
        <v>2.7</v>
      </c>
      <c r="I1330">
        <v>26.5</v>
      </c>
      <c r="J1330">
        <v>71.540000000000006</v>
      </c>
      <c r="K1330" t="s">
        <v>113</v>
      </c>
      <c r="L1330" t="b">
        <v>0</v>
      </c>
    </row>
    <row r="1331" spans="1:12" ht="68" x14ac:dyDescent="0.2">
      <c r="A1331" t="s">
        <v>1733</v>
      </c>
      <c r="B1331" t="s">
        <v>939</v>
      </c>
      <c r="C1331" t="s">
        <v>22</v>
      </c>
      <c r="D1331" s="1">
        <v>45131</v>
      </c>
      <c r="E1331" s="6" t="s">
        <v>23</v>
      </c>
      <c r="F1331" t="s">
        <v>50</v>
      </c>
      <c r="G1331" s="3" t="s">
        <v>51</v>
      </c>
      <c r="H1331">
        <v>7.7</v>
      </c>
      <c r="I1331">
        <v>80.67</v>
      </c>
      <c r="J1331">
        <v>621.15</v>
      </c>
      <c r="K1331" t="s">
        <v>96</v>
      </c>
      <c r="L1331" t="b">
        <v>0</v>
      </c>
    </row>
    <row r="1332" spans="1:12" ht="34" x14ac:dyDescent="0.2">
      <c r="A1332" t="s">
        <v>1734</v>
      </c>
      <c r="B1332" t="s">
        <v>384</v>
      </c>
      <c r="C1332" t="s">
        <v>183</v>
      </c>
      <c r="D1332" s="1">
        <v>45603</v>
      </c>
      <c r="E1332" s="6" t="s">
        <v>89</v>
      </c>
      <c r="F1332" t="s">
        <v>24</v>
      </c>
      <c r="G1332" s="3" t="s">
        <v>25</v>
      </c>
      <c r="H1332">
        <v>7.8</v>
      </c>
      <c r="I1332">
        <v>57.77</v>
      </c>
      <c r="J1332">
        <v>450.6</v>
      </c>
      <c r="K1332" t="s">
        <v>92</v>
      </c>
      <c r="L1332" t="b">
        <v>0</v>
      </c>
    </row>
    <row r="1333" spans="1:12" ht="34" x14ac:dyDescent="0.2">
      <c r="A1333" t="s">
        <v>1735</v>
      </c>
      <c r="B1333" t="s">
        <v>67</v>
      </c>
      <c r="C1333" t="s">
        <v>380</v>
      </c>
      <c r="D1333" s="1">
        <v>45295</v>
      </c>
      <c r="E1333" s="6" t="s">
        <v>78</v>
      </c>
      <c r="F1333" t="s">
        <v>54</v>
      </c>
      <c r="G1333" s="3" t="s">
        <v>55</v>
      </c>
      <c r="H1333">
        <v>5.9</v>
      </c>
      <c r="I1333">
        <v>42.73</v>
      </c>
      <c r="J1333">
        <v>252.13</v>
      </c>
      <c r="K1333" t="s">
        <v>56</v>
      </c>
      <c r="L1333" t="b">
        <v>0</v>
      </c>
    </row>
    <row r="1334" spans="1:12" ht="68" x14ac:dyDescent="0.2">
      <c r="A1334" t="s">
        <v>1736</v>
      </c>
      <c r="B1334" t="s">
        <v>711</v>
      </c>
      <c r="C1334" t="s">
        <v>85</v>
      </c>
      <c r="D1334" s="1">
        <v>44933</v>
      </c>
      <c r="E1334" s="6" t="s">
        <v>60</v>
      </c>
      <c r="F1334" t="s">
        <v>50</v>
      </c>
      <c r="G1334" s="3" t="s">
        <v>51</v>
      </c>
      <c r="H1334">
        <v>6.8</v>
      </c>
      <c r="I1334">
        <v>68.709999999999994</v>
      </c>
      <c r="J1334">
        <v>467.25</v>
      </c>
      <c r="K1334" t="s">
        <v>113</v>
      </c>
      <c r="L1334" t="b">
        <v>0</v>
      </c>
    </row>
    <row r="1335" spans="1:12" ht="34" x14ac:dyDescent="0.2">
      <c r="A1335" t="s">
        <v>1737</v>
      </c>
      <c r="B1335" t="s">
        <v>53</v>
      </c>
      <c r="C1335" t="s">
        <v>65</v>
      </c>
      <c r="D1335" s="1">
        <v>45452</v>
      </c>
      <c r="E1335" s="6" t="s">
        <v>44</v>
      </c>
      <c r="F1335" t="s">
        <v>54</v>
      </c>
      <c r="G1335" s="3" t="s">
        <v>55</v>
      </c>
      <c r="H1335">
        <v>6.1</v>
      </c>
      <c r="I1335">
        <v>68.900000000000006</v>
      </c>
      <c r="J1335">
        <v>420.28</v>
      </c>
      <c r="K1335" t="s">
        <v>56</v>
      </c>
      <c r="L1335" t="b">
        <v>0</v>
      </c>
    </row>
    <row r="1336" spans="1:12" ht="68" x14ac:dyDescent="0.2">
      <c r="A1336" t="s">
        <v>1738</v>
      </c>
      <c r="B1336" t="s">
        <v>728</v>
      </c>
      <c r="C1336" t="s">
        <v>110</v>
      </c>
      <c r="D1336" s="1">
        <v>45460</v>
      </c>
      <c r="E1336" s="6" t="s">
        <v>44</v>
      </c>
      <c r="F1336" t="s">
        <v>50</v>
      </c>
      <c r="G1336" s="3" t="s">
        <v>51</v>
      </c>
      <c r="H1336">
        <v>6.1</v>
      </c>
      <c r="I1336">
        <v>32.01</v>
      </c>
      <c r="J1336">
        <v>195.28</v>
      </c>
      <c r="K1336" t="s">
        <v>32</v>
      </c>
      <c r="L1336" t="b">
        <v>0</v>
      </c>
    </row>
    <row r="1337" spans="1:12" ht="34" x14ac:dyDescent="0.2">
      <c r="A1337" t="s">
        <v>1739</v>
      </c>
      <c r="B1337" t="s">
        <v>960</v>
      </c>
      <c r="C1337" t="s">
        <v>196</v>
      </c>
      <c r="D1337" s="1">
        <v>44948</v>
      </c>
      <c r="E1337" s="6" t="s">
        <v>78</v>
      </c>
      <c r="F1337" t="s">
        <v>61</v>
      </c>
      <c r="G1337" s="3" t="s">
        <v>62</v>
      </c>
      <c r="H1337">
        <v>5.7</v>
      </c>
      <c r="I1337">
        <v>38.22</v>
      </c>
      <c r="J1337">
        <v>217.86</v>
      </c>
      <c r="K1337" t="s">
        <v>113</v>
      </c>
      <c r="L1337" t="b">
        <v>0</v>
      </c>
    </row>
    <row r="1338" spans="1:12" ht="34" x14ac:dyDescent="0.2">
      <c r="A1338" t="s">
        <v>1740</v>
      </c>
      <c r="B1338" t="s">
        <v>527</v>
      </c>
      <c r="C1338" t="s">
        <v>175</v>
      </c>
      <c r="D1338" s="1">
        <v>45145</v>
      </c>
      <c r="E1338" s="6" t="s">
        <v>23</v>
      </c>
      <c r="F1338" t="s">
        <v>90</v>
      </c>
      <c r="G1338" s="3" t="s">
        <v>91</v>
      </c>
      <c r="H1338">
        <v>4</v>
      </c>
      <c r="I1338">
        <v>61.49</v>
      </c>
      <c r="J1338">
        <v>245.96</v>
      </c>
      <c r="K1338" t="s">
        <v>82</v>
      </c>
      <c r="L1338" t="b">
        <v>0</v>
      </c>
    </row>
    <row r="1339" spans="1:12" ht="17" x14ac:dyDescent="0.2">
      <c r="A1339" t="s">
        <v>1741</v>
      </c>
      <c r="B1339" t="s">
        <v>652</v>
      </c>
      <c r="C1339" t="s">
        <v>153</v>
      </c>
      <c r="D1339" s="1">
        <v>45235</v>
      </c>
      <c r="E1339" s="6" t="s">
        <v>23</v>
      </c>
      <c r="F1339" t="s">
        <v>30</v>
      </c>
      <c r="G1339" s="3" t="s">
        <v>31</v>
      </c>
      <c r="H1339">
        <v>6.7</v>
      </c>
      <c r="I1339">
        <v>71.03</v>
      </c>
      <c r="J1339">
        <v>475.87</v>
      </c>
      <c r="K1339" t="s">
        <v>82</v>
      </c>
      <c r="L1339" t="b">
        <v>0</v>
      </c>
    </row>
    <row r="1340" spans="1:12" ht="34" x14ac:dyDescent="0.2">
      <c r="A1340" t="s">
        <v>1742</v>
      </c>
      <c r="B1340" t="s">
        <v>210</v>
      </c>
      <c r="C1340" t="s">
        <v>122</v>
      </c>
      <c r="D1340" s="1">
        <v>44932</v>
      </c>
      <c r="E1340" s="6" t="s">
        <v>16</v>
      </c>
      <c r="F1340" t="s">
        <v>24</v>
      </c>
      <c r="G1340" s="3" t="s">
        <v>25</v>
      </c>
      <c r="H1340">
        <v>2.5</v>
      </c>
      <c r="I1340">
        <v>75.97</v>
      </c>
      <c r="J1340">
        <v>189.92</v>
      </c>
      <c r="K1340" t="s">
        <v>96</v>
      </c>
      <c r="L1340" t="b">
        <v>0</v>
      </c>
    </row>
    <row r="1341" spans="1:12" ht="34" x14ac:dyDescent="0.2">
      <c r="A1341" t="s">
        <v>1743</v>
      </c>
      <c r="B1341" t="s">
        <v>177</v>
      </c>
      <c r="C1341" t="s">
        <v>65</v>
      </c>
      <c r="D1341" s="1">
        <v>45553</v>
      </c>
      <c r="E1341" s="6" t="s">
        <v>60</v>
      </c>
      <c r="F1341" t="s">
        <v>90</v>
      </c>
      <c r="G1341" s="3" t="s">
        <v>91</v>
      </c>
      <c r="H1341">
        <v>7.9</v>
      </c>
      <c r="I1341">
        <v>48.67</v>
      </c>
      <c r="J1341">
        <v>384.46</v>
      </c>
      <c r="K1341" t="s">
        <v>19</v>
      </c>
      <c r="L1341" t="b">
        <v>0</v>
      </c>
    </row>
    <row r="1342" spans="1:12" ht="34" x14ac:dyDescent="0.2">
      <c r="A1342" t="s">
        <v>1744</v>
      </c>
      <c r="B1342" t="s">
        <v>1387</v>
      </c>
      <c r="C1342" t="s">
        <v>323</v>
      </c>
      <c r="D1342" s="1">
        <v>45566</v>
      </c>
      <c r="E1342" s="6" t="s">
        <v>44</v>
      </c>
      <c r="F1342" t="s">
        <v>54</v>
      </c>
      <c r="G1342" s="3" t="s">
        <v>55</v>
      </c>
      <c r="H1342">
        <v>5.6</v>
      </c>
      <c r="I1342">
        <v>55.69</v>
      </c>
      <c r="J1342">
        <v>311.88</v>
      </c>
      <c r="K1342" t="s">
        <v>96</v>
      </c>
      <c r="L1342" t="b">
        <v>0</v>
      </c>
    </row>
    <row r="1343" spans="1:12" ht="34" x14ac:dyDescent="0.2">
      <c r="A1343" t="s">
        <v>1745</v>
      </c>
      <c r="B1343" t="s">
        <v>152</v>
      </c>
      <c r="C1343" t="s">
        <v>127</v>
      </c>
      <c r="D1343" s="1">
        <v>45544</v>
      </c>
      <c r="E1343" s="6" t="s">
        <v>60</v>
      </c>
      <c r="F1343" t="s">
        <v>54</v>
      </c>
      <c r="G1343" s="3" t="s">
        <v>55</v>
      </c>
      <c r="H1343">
        <v>4.4000000000000004</v>
      </c>
      <c r="I1343">
        <v>67.959999999999994</v>
      </c>
      <c r="J1343">
        <v>299.01</v>
      </c>
      <c r="K1343" t="s">
        <v>96</v>
      </c>
      <c r="L1343" t="b">
        <v>0</v>
      </c>
    </row>
    <row r="1344" spans="1:12" ht="34" x14ac:dyDescent="0.2">
      <c r="A1344" t="s">
        <v>1746</v>
      </c>
      <c r="B1344" t="s">
        <v>434</v>
      </c>
      <c r="C1344" t="s">
        <v>191</v>
      </c>
      <c r="D1344" s="1">
        <v>45131</v>
      </c>
      <c r="E1344" s="6" t="s">
        <v>78</v>
      </c>
      <c r="F1344" t="s">
        <v>54</v>
      </c>
      <c r="G1344" s="3" t="s">
        <v>55</v>
      </c>
      <c r="H1344">
        <v>4.3</v>
      </c>
      <c r="I1344">
        <v>25.73</v>
      </c>
      <c r="J1344">
        <v>110.65</v>
      </c>
      <c r="K1344" t="s">
        <v>32</v>
      </c>
      <c r="L1344" t="b">
        <v>0</v>
      </c>
    </row>
    <row r="1345" spans="1:13" ht="34" x14ac:dyDescent="0.2">
      <c r="A1345" t="s">
        <v>1747</v>
      </c>
      <c r="B1345" t="s">
        <v>610</v>
      </c>
      <c r="C1345" t="s">
        <v>153</v>
      </c>
      <c r="D1345" s="1">
        <v>45257</v>
      </c>
      <c r="E1345" s="6" t="s">
        <v>89</v>
      </c>
      <c r="F1345" t="s">
        <v>54</v>
      </c>
      <c r="G1345" s="3" t="s">
        <v>55</v>
      </c>
      <c r="H1345">
        <v>3.8</v>
      </c>
      <c r="I1345">
        <v>51.73</v>
      </c>
      <c r="J1345">
        <v>196.59</v>
      </c>
      <c r="K1345" t="s">
        <v>26</v>
      </c>
      <c r="L1345" t="b">
        <v>0</v>
      </c>
    </row>
    <row r="1346" spans="1:13" ht="34" x14ac:dyDescent="0.2">
      <c r="A1346" t="s">
        <v>1748</v>
      </c>
      <c r="B1346" t="s">
        <v>434</v>
      </c>
      <c r="C1346" t="s">
        <v>191</v>
      </c>
      <c r="D1346" s="1">
        <v>45575</v>
      </c>
      <c r="E1346" s="6" t="s">
        <v>16</v>
      </c>
      <c r="F1346" t="s">
        <v>90</v>
      </c>
      <c r="G1346" s="3" t="s">
        <v>91</v>
      </c>
      <c r="H1346">
        <v>16</v>
      </c>
      <c r="I1346">
        <v>78.27</v>
      </c>
      <c r="J1346">
        <v>1250</v>
      </c>
      <c r="K1346" t="s">
        <v>32</v>
      </c>
      <c r="L1346" t="b">
        <v>1</v>
      </c>
      <c r="M1346" s="3" t="s">
        <v>40</v>
      </c>
    </row>
    <row r="1347" spans="1:13" ht="34" x14ac:dyDescent="0.2">
      <c r="A1347" t="s">
        <v>1749</v>
      </c>
      <c r="B1347" t="s">
        <v>855</v>
      </c>
      <c r="C1347" t="s">
        <v>219</v>
      </c>
      <c r="D1347" s="1">
        <v>45250</v>
      </c>
      <c r="E1347" s="6" t="s">
        <v>16</v>
      </c>
      <c r="F1347" t="s">
        <v>61</v>
      </c>
      <c r="G1347" s="3" t="s">
        <v>62</v>
      </c>
      <c r="H1347">
        <v>6.8</v>
      </c>
      <c r="I1347">
        <v>42.32</v>
      </c>
      <c r="J1347">
        <v>287.76</v>
      </c>
      <c r="K1347" t="s">
        <v>82</v>
      </c>
      <c r="L1347" t="b">
        <v>0</v>
      </c>
    </row>
    <row r="1348" spans="1:13" ht="34" x14ac:dyDescent="0.2">
      <c r="A1348" t="s">
        <v>1750</v>
      </c>
      <c r="B1348" t="s">
        <v>406</v>
      </c>
      <c r="C1348" t="s">
        <v>166</v>
      </c>
      <c r="D1348" s="1">
        <v>45242</v>
      </c>
      <c r="E1348" s="6" t="s">
        <v>89</v>
      </c>
      <c r="F1348" t="s">
        <v>61</v>
      </c>
      <c r="G1348" s="3" t="s">
        <v>62</v>
      </c>
      <c r="H1348">
        <v>6.4</v>
      </c>
      <c r="I1348">
        <v>49.85</v>
      </c>
      <c r="J1348">
        <v>319.05</v>
      </c>
      <c r="K1348" t="s">
        <v>82</v>
      </c>
      <c r="L1348" t="b">
        <v>1</v>
      </c>
      <c r="M1348" s="3" t="s">
        <v>102</v>
      </c>
    </row>
    <row r="1349" spans="1:13" ht="34" x14ac:dyDescent="0.2">
      <c r="A1349" t="s">
        <v>1751</v>
      </c>
      <c r="B1349" t="s">
        <v>168</v>
      </c>
      <c r="C1349" t="s">
        <v>343</v>
      </c>
      <c r="D1349" s="1">
        <v>45218</v>
      </c>
      <c r="E1349" s="6" t="s">
        <v>89</v>
      </c>
      <c r="F1349" t="s">
        <v>90</v>
      </c>
      <c r="G1349" s="3" t="s">
        <v>91</v>
      </c>
      <c r="H1349">
        <v>2.9</v>
      </c>
      <c r="I1349">
        <v>43.19</v>
      </c>
      <c r="J1349">
        <v>125.26</v>
      </c>
      <c r="K1349" t="s">
        <v>113</v>
      </c>
      <c r="L1349" t="b">
        <v>0</v>
      </c>
    </row>
    <row r="1350" spans="1:13" ht="34" x14ac:dyDescent="0.2">
      <c r="A1350" t="s">
        <v>1752</v>
      </c>
      <c r="B1350" t="s">
        <v>941</v>
      </c>
      <c r="C1350" t="s">
        <v>133</v>
      </c>
      <c r="D1350" s="1">
        <v>44942</v>
      </c>
      <c r="E1350" s="6" t="s">
        <v>60</v>
      </c>
      <c r="F1350" t="s">
        <v>54</v>
      </c>
      <c r="G1350" s="3" t="s">
        <v>55</v>
      </c>
      <c r="H1350">
        <v>2.4</v>
      </c>
      <c r="I1350">
        <v>82.61</v>
      </c>
      <c r="J1350">
        <v>198.25</v>
      </c>
      <c r="K1350" t="s">
        <v>56</v>
      </c>
      <c r="L1350" t="b">
        <v>0</v>
      </c>
    </row>
    <row r="1351" spans="1:13" ht="34" x14ac:dyDescent="0.2">
      <c r="A1351" t="s">
        <v>1753</v>
      </c>
      <c r="B1351" t="s">
        <v>721</v>
      </c>
      <c r="C1351" t="s">
        <v>159</v>
      </c>
      <c r="D1351" s="1">
        <v>45151</v>
      </c>
      <c r="E1351" s="6" t="s">
        <v>78</v>
      </c>
      <c r="F1351" t="s">
        <v>90</v>
      </c>
      <c r="G1351" s="3" t="s">
        <v>91</v>
      </c>
      <c r="H1351">
        <v>2</v>
      </c>
      <c r="I1351">
        <v>63.33</v>
      </c>
      <c r="J1351">
        <v>126.66</v>
      </c>
      <c r="K1351" t="s">
        <v>32</v>
      </c>
      <c r="L1351" t="b">
        <v>0</v>
      </c>
    </row>
    <row r="1352" spans="1:13" ht="34" x14ac:dyDescent="0.2">
      <c r="A1352" t="s">
        <v>1754</v>
      </c>
      <c r="B1352" t="s">
        <v>1120</v>
      </c>
      <c r="C1352" t="s">
        <v>35</v>
      </c>
      <c r="D1352" s="1">
        <v>45604</v>
      </c>
      <c r="E1352" s="6" t="s">
        <v>89</v>
      </c>
      <c r="F1352" t="s">
        <v>61</v>
      </c>
      <c r="G1352" s="3" t="s">
        <v>62</v>
      </c>
      <c r="H1352">
        <v>3</v>
      </c>
      <c r="I1352">
        <v>52.73</v>
      </c>
      <c r="J1352">
        <v>158.18</v>
      </c>
      <c r="K1352" t="s">
        <v>96</v>
      </c>
      <c r="L1352" t="b">
        <v>0</v>
      </c>
    </row>
    <row r="1353" spans="1:13" ht="68" x14ac:dyDescent="0.2">
      <c r="A1353" t="s">
        <v>1755</v>
      </c>
      <c r="B1353" t="s">
        <v>320</v>
      </c>
      <c r="C1353" t="s">
        <v>130</v>
      </c>
      <c r="D1353" s="1">
        <v>45257</v>
      </c>
      <c r="E1353" s="6" t="s">
        <v>78</v>
      </c>
      <c r="F1353" t="s">
        <v>50</v>
      </c>
      <c r="G1353" s="3" t="s">
        <v>51</v>
      </c>
      <c r="H1353">
        <v>3.2</v>
      </c>
      <c r="I1353">
        <v>74.94</v>
      </c>
      <c r="J1353">
        <v>239.8</v>
      </c>
      <c r="K1353" t="s">
        <v>82</v>
      </c>
      <c r="L1353" t="b">
        <v>0</v>
      </c>
    </row>
    <row r="1354" spans="1:13" ht="17" x14ac:dyDescent="0.2">
      <c r="A1354" t="s">
        <v>1756</v>
      </c>
      <c r="B1354" t="s">
        <v>158</v>
      </c>
      <c r="C1354" t="s">
        <v>196</v>
      </c>
      <c r="D1354" s="1">
        <v>45221</v>
      </c>
      <c r="E1354" s="6" t="s">
        <v>89</v>
      </c>
      <c r="F1354" t="s">
        <v>17</v>
      </c>
      <c r="G1354" s="3" t="s">
        <v>18</v>
      </c>
      <c r="H1354">
        <v>2.2999999999999998</v>
      </c>
      <c r="I1354">
        <v>74.569999999999993</v>
      </c>
      <c r="J1354">
        <v>171.52</v>
      </c>
      <c r="K1354" t="s">
        <v>82</v>
      </c>
      <c r="L1354" t="b">
        <v>0</v>
      </c>
    </row>
    <row r="1355" spans="1:13" ht="34" x14ac:dyDescent="0.2">
      <c r="A1355" t="s">
        <v>1757</v>
      </c>
      <c r="B1355" t="s">
        <v>918</v>
      </c>
      <c r="C1355" t="s">
        <v>219</v>
      </c>
      <c r="D1355" s="1">
        <v>45502</v>
      </c>
      <c r="E1355" s="6" t="s">
        <v>23</v>
      </c>
      <c r="F1355" t="s">
        <v>45</v>
      </c>
      <c r="G1355" s="3" t="s">
        <v>46</v>
      </c>
      <c r="H1355">
        <v>5</v>
      </c>
      <c r="I1355">
        <v>69.39</v>
      </c>
      <c r="J1355">
        <v>346.96</v>
      </c>
      <c r="K1355" t="s">
        <v>105</v>
      </c>
      <c r="L1355" t="b">
        <v>0</v>
      </c>
    </row>
    <row r="1356" spans="1:13" ht="34" x14ac:dyDescent="0.2">
      <c r="A1356" t="s">
        <v>1758</v>
      </c>
      <c r="B1356" t="s">
        <v>529</v>
      </c>
      <c r="C1356" t="s">
        <v>343</v>
      </c>
      <c r="D1356" s="1">
        <v>45112</v>
      </c>
      <c r="E1356" s="6" t="s">
        <v>78</v>
      </c>
      <c r="F1356" t="s">
        <v>24</v>
      </c>
      <c r="G1356" s="3" t="s">
        <v>25</v>
      </c>
      <c r="H1356">
        <v>43.8</v>
      </c>
      <c r="I1356">
        <v>34.24</v>
      </c>
      <c r="J1356">
        <v>1500</v>
      </c>
      <c r="K1356" t="s">
        <v>92</v>
      </c>
      <c r="L1356" t="b">
        <v>1</v>
      </c>
      <c r="M1356" s="3" t="s">
        <v>40</v>
      </c>
    </row>
    <row r="1357" spans="1:13" ht="17" x14ac:dyDescent="0.2">
      <c r="A1357" t="s">
        <v>1759</v>
      </c>
      <c r="B1357" t="s">
        <v>278</v>
      </c>
      <c r="C1357" t="s">
        <v>175</v>
      </c>
      <c r="D1357" s="1">
        <v>45228</v>
      </c>
      <c r="E1357" s="6" t="s">
        <v>78</v>
      </c>
      <c r="F1357" t="s">
        <v>17</v>
      </c>
      <c r="G1357" s="3" t="s">
        <v>18</v>
      </c>
      <c r="H1357">
        <v>2.7</v>
      </c>
      <c r="I1357">
        <v>64.95</v>
      </c>
      <c r="J1357">
        <v>175.38</v>
      </c>
      <c r="K1357" t="s">
        <v>32</v>
      </c>
      <c r="L1357" t="b">
        <v>0</v>
      </c>
    </row>
    <row r="1358" spans="1:13" ht="34" x14ac:dyDescent="0.2">
      <c r="A1358" t="s">
        <v>1760</v>
      </c>
      <c r="B1358" t="s">
        <v>842</v>
      </c>
      <c r="C1358" t="s">
        <v>365</v>
      </c>
      <c r="D1358" s="1">
        <v>45630</v>
      </c>
      <c r="E1358" s="6" t="s">
        <v>16</v>
      </c>
      <c r="F1358" t="s">
        <v>61</v>
      </c>
      <c r="G1358" s="3" t="s">
        <v>62</v>
      </c>
      <c r="H1358">
        <v>3.1</v>
      </c>
      <c r="I1358">
        <v>79.41</v>
      </c>
      <c r="J1358">
        <v>246.16</v>
      </c>
      <c r="K1358" t="s">
        <v>92</v>
      </c>
      <c r="L1358" t="b">
        <v>0</v>
      </c>
    </row>
    <row r="1359" spans="1:13" ht="17" x14ac:dyDescent="0.2">
      <c r="A1359" t="s">
        <v>1761</v>
      </c>
      <c r="B1359" t="s">
        <v>356</v>
      </c>
      <c r="C1359" t="s">
        <v>189</v>
      </c>
      <c r="D1359" s="1">
        <v>45367</v>
      </c>
      <c r="E1359" s="6" t="s">
        <v>60</v>
      </c>
      <c r="F1359" t="s">
        <v>30</v>
      </c>
      <c r="G1359" s="3" t="s">
        <v>31</v>
      </c>
      <c r="H1359">
        <v>2.2000000000000002</v>
      </c>
      <c r="I1359">
        <v>70.88</v>
      </c>
      <c r="J1359">
        <v>155.94</v>
      </c>
      <c r="K1359" t="s">
        <v>82</v>
      </c>
      <c r="L1359" t="b">
        <v>0</v>
      </c>
    </row>
    <row r="1360" spans="1:13" ht="34" x14ac:dyDescent="0.2">
      <c r="A1360" t="s">
        <v>1762</v>
      </c>
      <c r="B1360" t="s">
        <v>649</v>
      </c>
      <c r="C1360" t="s">
        <v>268</v>
      </c>
      <c r="D1360" s="1">
        <v>45079</v>
      </c>
      <c r="E1360" s="6" t="s">
        <v>60</v>
      </c>
      <c r="F1360" t="s">
        <v>90</v>
      </c>
      <c r="G1360" s="3" t="s">
        <v>91</v>
      </c>
      <c r="H1360">
        <v>5.6</v>
      </c>
      <c r="I1360">
        <v>46.71</v>
      </c>
      <c r="J1360">
        <v>261.55</v>
      </c>
      <c r="K1360" t="s">
        <v>26</v>
      </c>
      <c r="L1360" t="b">
        <v>0</v>
      </c>
    </row>
    <row r="1361" spans="1:12" ht="34" x14ac:dyDescent="0.2">
      <c r="A1361" t="s">
        <v>1763</v>
      </c>
      <c r="B1361" t="s">
        <v>1261</v>
      </c>
      <c r="C1361" t="s">
        <v>95</v>
      </c>
      <c r="D1361" s="1">
        <v>45085</v>
      </c>
      <c r="E1361" s="6" t="s">
        <v>60</v>
      </c>
      <c r="F1361" t="s">
        <v>61</v>
      </c>
      <c r="G1361" s="3" t="s">
        <v>62</v>
      </c>
      <c r="H1361">
        <v>7.2</v>
      </c>
      <c r="I1361">
        <v>62.68</v>
      </c>
      <c r="J1361">
        <v>451.29</v>
      </c>
      <c r="K1361" t="s">
        <v>96</v>
      </c>
      <c r="L1361" t="b">
        <v>0</v>
      </c>
    </row>
    <row r="1362" spans="1:12" ht="34" x14ac:dyDescent="0.2">
      <c r="A1362" t="s">
        <v>1764</v>
      </c>
      <c r="B1362" t="s">
        <v>419</v>
      </c>
      <c r="C1362" t="s">
        <v>370</v>
      </c>
      <c r="D1362" s="1">
        <v>45118</v>
      </c>
      <c r="E1362" s="6" t="s">
        <v>44</v>
      </c>
      <c r="F1362" t="s">
        <v>90</v>
      </c>
      <c r="G1362" s="3" t="s">
        <v>91</v>
      </c>
      <c r="H1362">
        <v>4.2</v>
      </c>
      <c r="I1362">
        <v>68.98</v>
      </c>
      <c r="J1362">
        <v>289.70999999999998</v>
      </c>
      <c r="K1362" t="s">
        <v>113</v>
      </c>
      <c r="L1362" t="b">
        <v>0</v>
      </c>
    </row>
    <row r="1363" spans="1:12" ht="34" x14ac:dyDescent="0.2">
      <c r="A1363" t="s">
        <v>1765</v>
      </c>
      <c r="B1363" t="s">
        <v>118</v>
      </c>
      <c r="C1363" t="s">
        <v>194</v>
      </c>
      <c r="D1363" s="1">
        <v>45648</v>
      </c>
      <c r="E1363" s="6" t="s">
        <v>78</v>
      </c>
      <c r="F1363" t="s">
        <v>45</v>
      </c>
      <c r="G1363" s="3" t="s">
        <v>46</v>
      </c>
      <c r="H1363">
        <v>3</v>
      </c>
      <c r="I1363">
        <v>28.51</v>
      </c>
      <c r="J1363">
        <v>85.53</v>
      </c>
      <c r="K1363" t="s">
        <v>26</v>
      </c>
      <c r="L1363" t="b">
        <v>0</v>
      </c>
    </row>
    <row r="1364" spans="1:12" ht="17" x14ac:dyDescent="0.2">
      <c r="A1364" t="s">
        <v>1766</v>
      </c>
      <c r="B1364" t="s">
        <v>388</v>
      </c>
      <c r="C1364" t="s">
        <v>266</v>
      </c>
      <c r="D1364" s="1">
        <v>45277</v>
      </c>
      <c r="E1364" s="6" t="s">
        <v>23</v>
      </c>
      <c r="F1364" t="s">
        <v>17</v>
      </c>
      <c r="G1364" s="3" t="s">
        <v>18</v>
      </c>
      <c r="H1364">
        <v>7.3</v>
      </c>
      <c r="I1364">
        <v>33.130000000000003</v>
      </c>
      <c r="J1364">
        <v>241.85</v>
      </c>
      <c r="K1364" t="s">
        <v>56</v>
      </c>
      <c r="L1364" t="b">
        <v>0</v>
      </c>
    </row>
    <row r="1365" spans="1:12" ht="34" x14ac:dyDescent="0.2">
      <c r="A1365" t="s">
        <v>1767</v>
      </c>
      <c r="B1365" t="s">
        <v>236</v>
      </c>
      <c r="C1365" t="s">
        <v>65</v>
      </c>
      <c r="D1365" s="1">
        <v>45078</v>
      </c>
      <c r="E1365" s="6" t="s">
        <v>78</v>
      </c>
      <c r="F1365" t="s">
        <v>24</v>
      </c>
      <c r="G1365" s="3" t="s">
        <v>25</v>
      </c>
      <c r="H1365">
        <v>3.6</v>
      </c>
      <c r="I1365">
        <v>50.17</v>
      </c>
      <c r="J1365">
        <v>180.62</v>
      </c>
      <c r="K1365" t="s">
        <v>19</v>
      </c>
      <c r="L1365" t="b">
        <v>0</v>
      </c>
    </row>
    <row r="1366" spans="1:12" ht="34" x14ac:dyDescent="0.2">
      <c r="A1366" t="s">
        <v>1768</v>
      </c>
      <c r="B1366" t="s">
        <v>521</v>
      </c>
      <c r="C1366" t="s">
        <v>119</v>
      </c>
      <c r="D1366" s="1">
        <v>45546</v>
      </c>
      <c r="E1366" s="6" t="s">
        <v>44</v>
      </c>
      <c r="F1366" t="s">
        <v>24</v>
      </c>
      <c r="G1366" s="3" t="s">
        <v>25</v>
      </c>
      <c r="H1366">
        <v>3.7</v>
      </c>
      <c r="I1366">
        <v>56.78</v>
      </c>
      <c r="J1366">
        <v>210.07</v>
      </c>
      <c r="K1366" t="s">
        <v>36</v>
      </c>
      <c r="L1366" t="b">
        <v>0</v>
      </c>
    </row>
    <row r="1367" spans="1:12" ht="17" x14ac:dyDescent="0.2">
      <c r="A1367" t="s">
        <v>1769</v>
      </c>
      <c r="B1367" t="s">
        <v>1198</v>
      </c>
      <c r="C1367" t="s">
        <v>127</v>
      </c>
      <c r="D1367" s="1">
        <v>45572</v>
      </c>
      <c r="E1367" s="6" t="s">
        <v>44</v>
      </c>
      <c r="F1367" t="s">
        <v>30</v>
      </c>
      <c r="G1367" s="3" t="s">
        <v>31</v>
      </c>
      <c r="H1367">
        <v>6.6</v>
      </c>
      <c r="I1367">
        <v>35.99</v>
      </c>
      <c r="J1367">
        <v>237.57</v>
      </c>
      <c r="K1367" t="s">
        <v>113</v>
      </c>
      <c r="L1367" t="b">
        <v>0</v>
      </c>
    </row>
    <row r="1368" spans="1:12" ht="68" x14ac:dyDescent="0.2">
      <c r="A1368" t="s">
        <v>1770</v>
      </c>
      <c r="B1368" t="s">
        <v>713</v>
      </c>
      <c r="C1368" t="s">
        <v>295</v>
      </c>
      <c r="D1368" s="1">
        <v>45286</v>
      </c>
      <c r="E1368" s="6" t="s">
        <v>16</v>
      </c>
      <c r="F1368" t="s">
        <v>50</v>
      </c>
      <c r="G1368" s="3" t="s">
        <v>51</v>
      </c>
      <c r="H1368">
        <v>5.3</v>
      </c>
      <c r="I1368">
        <v>77.349999999999994</v>
      </c>
      <c r="J1368">
        <v>409.94</v>
      </c>
      <c r="K1368" t="s">
        <v>96</v>
      </c>
      <c r="L1368" t="b">
        <v>0</v>
      </c>
    </row>
    <row r="1369" spans="1:12" ht="34" x14ac:dyDescent="0.2">
      <c r="A1369" t="s">
        <v>1771</v>
      </c>
      <c r="B1369" t="s">
        <v>14</v>
      </c>
      <c r="C1369" t="s">
        <v>499</v>
      </c>
      <c r="D1369" s="1">
        <v>45381</v>
      </c>
      <c r="E1369" s="6" t="s">
        <v>78</v>
      </c>
      <c r="F1369" t="s">
        <v>45</v>
      </c>
      <c r="G1369" s="3" t="s">
        <v>46</v>
      </c>
      <c r="H1369">
        <v>3.6</v>
      </c>
      <c r="I1369">
        <v>66.88</v>
      </c>
      <c r="J1369">
        <v>240.76</v>
      </c>
      <c r="K1369" t="s">
        <v>19</v>
      </c>
      <c r="L1369" t="b">
        <v>0</v>
      </c>
    </row>
    <row r="1370" spans="1:12" ht="34" x14ac:dyDescent="0.2">
      <c r="A1370" t="s">
        <v>1772</v>
      </c>
      <c r="B1370" t="s">
        <v>1638</v>
      </c>
      <c r="C1370" t="s">
        <v>116</v>
      </c>
      <c r="D1370" s="1">
        <v>45221</v>
      </c>
      <c r="E1370" s="6" t="s">
        <v>23</v>
      </c>
      <c r="F1370" t="s">
        <v>90</v>
      </c>
      <c r="G1370" s="3" t="s">
        <v>91</v>
      </c>
      <c r="H1370">
        <v>5.2</v>
      </c>
      <c r="I1370">
        <v>46.1</v>
      </c>
      <c r="J1370">
        <v>239.71</v>
      </c>
      <c r="K1370" t="s">
        <v>113</v>
      </c>
      <c r="L1370" t="b">
        <v>0</v>
      </c>
    </row>
    <row r="1371" spans="1:12" ht="34" x14ac:dyDescent="0.2">
      <c r="A1371" t="s">
        <v>1773</v>
      </c>
      <c r="B1371" t="s">
        <v>586</v>
      </c>
      <c r="C1371" t="s">
        <v>280</v>
      </c>
      <c r="D1371" s="1">
        <v>45187</v>
      </c>
      <c r="E1371" s="6" t="s">
        <v>60</v>
      </c>
      <c r="F1371" t="s">
        <v>24</v>
      </c>
      <c r="G1371" s="3" t="s">
        <v>25</v>
      </c>
      <c r="H1371">
        <v>2.8</v>
      </c>
      <c r="I1371">
        <v>41.89</v>
      </c>
      <c r="J1371">
        <v>117.28</v>
      </c>
      <c r="K1371" t="s">
        <v>19</v>
      </c>
      <c r="L1371" t="b">
        <v>0</v>
      </c>
    </row>
    <row r="1372" spans="1:12" ht="34" x14ac:dyDescent="0.2">
      <c r="A1372" t="s">
        <v>1774</v>
      </c>
      <c r="B1372" t="s">
        <v>278</v>
      </c>
      <c r="C1372" t="s">
        <v>183</v>
      </c>
      <c r="D1372" s="1">
        <v>45642</v>
      </c>
      <c r="E1372" s="6" t="s">
        <v>44</v>
      </c>
      <c r="F1372" t="s">
        <v>61</v>
      </c>
      <c r="G1372" s="3" t="s">
        <v>62</v>
      </c>
      <c r="H1372">
        <v>4</v>
      </c>
      <c r="I1372">
        <v>79.650000000000006</v>
      </c>
      <c r="J1372">
        <v>318.58999999999997</v>
      </c>
      <c r="K1372" t="s">
        <v>32</v>
      </c>
      <c r="L1372" t="b">
        <v>0</v>
      </c>
    </row>
    <row r="1373" spans="1:12" ht="17" x14ac:dyDescent="0.2">
      <c r="A1373" t="s">
        <v>1775</v>
      </c>
      <c r="B1373" t="s">
        <v>53</v>
      </c>
      <c r="C1373" t="s">
        <v>280</v>
      </c>
      <c r="D1373" s="1">
        <v>45395</v>
      </c>
      <c r="E1373" s="6" t="s">
        <v>23</v>
      </c>
      <c r="F1373" t="s">
        <v>30</v>
      </c>
      <c r="G1373" s="3" t="s">
        <v>31</v>
      </c>
      <c r="H1373">
        <v>2.9</v>
      </c>
      <c r="I1373">
        <v>38.270000000000003</v>
      </c>
      <c r="J1373">
        <v>110.97</v>
      </c>
      <c r="K1373" t="s">
        <v>56</v>
      </c>
      <c r="L1373" t="b">
        <v>0</v>
      </c>
    </row>
    <row r="1374" spans="1:12" ht="34" x14ac:dyDescent="0.2">
      <c r="A1374" t="s">
        <v>1776</v>
      </c>
      <c r="B1374" t="s">
        <v>1146</v>
      </c>
      <c r="C1374" t="s">
        <v>323</v>
      </c>
      <c r="D1374" s="1">
        <v>45443</v>
      </c>
      <c r="E1374" s="6" t="s">
        <v>44</v>
      </c>
      <c r="F1374" t="s">
        <v>90</v>
      </c>
      <c r="G1374" s="3" t="s">
        <v>91</v>
      </c>
      <c r="H1374">
        <v>4.5</v>
      </c>
      <c r="I1374">
        <v>79.959999999999994</v>
      </c>
      <c r="J1374">
        <v>359.83</v>
      </c>
      <c r="K1374" t="s">
        <v>19</v>
      </c>
      <c r="L1374" t="b">
        <v>0</v>
      </c>
    </row>
    <row r="1375" spans="1:12" ht="68" x14ac:dyDescent="0.2">
      <c r="A1375" t="s">
        <v>1777</v>
      </c>
      <c r="B1375" t="s">
        <v>674</v>
      </c>
      <c r="C1375" t="s">
        <v>194</v>
      </c>
      <c r="D1375" s="1">
        <v>45013</v>
      </c>
      <c r="E1375" s="6" t="s">
        <v>78</v>
      </c>
      <c r="F1375" t="s">
        <v>50</v>
      </c>
      <c r="G1375" s="3" t="s">
        <v>51</v>
      </c>
      <c r="H1375">
        <v>7.5</v>
      </c>
      <c r="I1375">
        <v>53.77</v>
      </c>
      <c r="J1375">
        <v>403.28</v>
      </c>
      <c r="K1375" t="s">
        <v>36</v>
      </c>
      <c r="L1375" t="b">
        <v>0</v>
      </c>
    </row>
    <row r="1376" spans="1:12" ht="34" x14ac:dyDescent="0.2">
      <c r="A1376" t="s">
        <v>1778</v>
      </c>
      <c r="B1376" t="s">
        <v>482</v>
      </c>
      <c r="C1376" t="s">
        <v>88</v>
      </c>
      <c r="D1376" s="1">
        <v>45170</v>
      </c>
      <c r="E1376" s="6" t="s">
        <v>89</v>
      </c>
      <c r="F1376" t="s">
        <v>54</v>
      </c>
      <c r="G1376" s="3" t="s">
        <v>55</v>
      </c>
      <c r="H1376">
        <v>2.8</v>
      </c>
      <c r="I1376">
        <v>51.52</v>
      </c>
      <c r="J1376">
        <v>144.25</v>
      </c>
      <c r="K1376" t="s">
        <v>92</v>
      </c>
      <c r="L1376" t="b">
        <v>0</v>
      </c>
    </row>
    <row r="1377" spans="1:13" ht="34" x14ac:dyDescent="0.2">
      <c r="A1377" t="s">
        <v>1779</v>
      </c>
      <c r="B1377" t="s">
        <v>58</v>
      </c>
      <c r="C1377" t="s">
        <v>343</v>
      </c>
      <c r="D1377" s="1">
        <v>45410</v>
      </c>
      <c r="E1377" s="6" t="s">
        <v>16</v>
      </c>
      <c r="F1377" t="s">
        <v>54</v>
      </c>
      <c r="G1377" s="3" t="s">
        <v>55</v>
      </c>
      <c r="H1377">
        <v>3</v>
      </c>
      <c r="I1377">
        <v>43.28</v>
      </c>
      <c r="J1377">
        <v>129.84</v>
      </c>
      <c r="K1377" t="s">
        <v>26</v>
      </c>
      <c r="L1377" t="b">
        <v>0</v>
      </c>
    </row>
    <row r="1378" spans="1:13" ht="34" x14ac:dyDescent="0.2">
      <c r="A1378" t="s">
        <v>1780</v>
      </c>
      <c r="B1378" t="s">
        <v>104</v>
      </c>
      <c r="C1378" t="s">
        <v>43</v>
      </c>
      <c r="D1378" s="1">
        <v>45421</v>
      </c>
      <c r="E1378" s="6" t="s">
        <v>23</v>
      </c>
      <c r="F1378" t="s">
        <v>90</v>
      </c>
      <c r="G1378" s="3" t="s">
        <v>91</v>
      </c>
      <c r="H1378">
        <v>3.3</v>
      </c>
      <c r="I1378">
        <v>76.41</v>
      </c>
      <c r="J1378">
        <v>252.15</v>
      </c>
      <c r="K1378" t="s">
        <v>105</v>
      </c>
      <c r="L1378" t="b">
        <v>0</v>
      </c>
    </row>
    <row r="1379" spans="1:13" ht="17" x14ac:dyDescent="0.2">
      <c r="A1379" t="s">
        <v>1781</v>
      </c>
      <c r="B1379" t="s">
        <v>456</v>
      </c>
      <c r="C1379" t="s">
        <v>148</v>
      </c>
      <c r="D1379" s="1">
        <v>44953</v>
      </c>
      <c r="E1379" s="6" t="s">
        <v>44</v>
      </c>
      <c r="F1379" t="s">
        <v>30</v>
      </c>
      <c r="G1379" s="3" t="s">
        <v>31</v>
      </c>
      <c r="H1379">
        <v>3.8</v>
      </c>
      <c r="I1379">
        <v>37.590000000000003</v>
      </c>
      <c r="J1379">
        <v>142.84</v>
      </c>
      <c r="K1379" t="s">
        <v>92</v>
      </c>
      <c r="L1379" t="b">
        <v>0</v>
      </c>
    </row>
    <row r="1380" spans="1:13" ht="34" x14ac:dyDescent="0.2">
      <c r="A1380" t="s">
        <v>1782</v>
      </c>
      <c r="B1380" t="s">
        <v>140</v>
      </c>
      <c r="C1380" t="s">
        <v>43</v>
      </c>
      <c r="D1380" s="1">
        <v>45230</v>
      </c>
      <c r="E1380" s="6" t="s">
        <v>44</v>
      </c>
      <c r="F1380" t="s">
        <v>61</v>
      </c>
      <c r="G1380" s="3" t="s">
        <v>62</v>
      </c>
      <c r="H1380">
        <v>6.1</v>
      </c>
      <c r="I1380">
        <v>72.040000000000006</v>
      </c>
      <c r="J1380">
        <v>439.45</v>
      </c>
      <c r="K1380" t="s">
        <v>36</v>
      </c>
      <c r="L1380" t="b">
        <v>0</v>
      </c>
    </row>
    <row r="1381" spans="1:13" ht="34" x14ac:dyDescent="0.2">
      <c r="A1381" t="s">
        <v>1783</v>
      </c>
      <c r="B1381" t="s">
        <v>233</v>
      </c>
      <c r="C1381" t="s">
        <v>122</v>
      </c>
      <c r="D1381" s="1">
        <v>45415</v>
      </c>
      <c r="E1381" s="6" t="s">
        <v>44</v>
      </c>
      <c r="F1381" t="s">
        <v>24</v>
      </c>
      <c r="G1381" s="3" t="s">
        <v>25</v>
      </c>
      <c r="H1381">
        <v>6.6</v>
      </c>
      <c r="I1381">
        <v>70.44</v>
      </c>
      <c r="J1381">
        <v>464.9</v>
      </c>
      <c r="K1381" t="s">
        <v>36</v>
      </c>
      <c r="L1381" t="b">
        <v>0</v>
      </c>
    </row>
    <row r="1382" spans="1:13" ht="17" x14ac:dyDescent="0.2">
      <c r="A1382" t="s">
        <v>1784</v>
      </c>
      <c r="B1382" t="s">
        <v>556</v>
      </c>
      <c r="C1382" t="s">
        <v>59</v>
      </c>
      <c r="D1382" s="1">
        <v>45272</v>
      </c>
      <c r="E1382" s="6" t="s">
        <v>89</v>
      </c>
      <c r="F1382" t="s">
        <v>30</v>
      </c>
      <c r="G1382" s="3" t="s">
        <v>31</v>
      </c>
      <c r="H1382">
        <v>2.6</v>
      </c>
      <c r="I1382">
        <v>72.58</v>
      </c>
      <c r="J1382">
        <v>188.72</v>
      </c>
      <c r="K1382" t="s">
        <v>56</v>
      </c>
      <c r="L1382" t="b">
        <v>0</v>
      </c>
    </row>
    <row r="1383" spans="1:13" ht="34" x14ac:dyDescent="0.2">
      <c r="A1383" t="s">
        <v>1785</v>
      </c>
      <c r="B1383" t="s">
        <v>970</v>
      </c>
      <c r="C1383" t="s">
        <v>219</v>
      </c>
      <c r="D1383" s="1">
        <v>45525</v>
      </c>
      <c r="E1383" s="6" t="s">
        <v>44</v>
      </c>
      <c r="F1383" t="s">
        <v>24</v>
      </c>
      <c r="G1383" s="3" t="s">
        <v>25</v>
      </c>
      <c r="H1383">
        <v>9.4</v>
      </c>
      <c r="I1383">
        <v>79.510000000000005</v>
      </c>
      <c r="J1383">
        <v>750</v>
      </c>
      <c r="K1383" t="s">
        <v>19</v>
      </c>
      <c r="L1383" t="b">
        <v>1</v>
      </c>
      <c r="M1383" s="3" t="s">
        <v>40</v>
      </c>
    </row>
    <row r="1384" spans="1:13" ht="34" x14ac:dyDescent="0.2">
      <c r="A1384" t="s">
        <v>1786</v>
      </c>
      <c r="B1384" t="s">
        <v>121</v>
      </c>
      <c r="C1384" t="s">
        <v>194</v>
      </c>
      <c r="D1384" s="1">
        <v>45302</v>
      </c>
      <c r="E1384" s="6" t="s">
        <v>44</v>
      </c>
      <c r="F1384" t="s">
        <v>90</v>
      </c>
      <c r="G1384" s="3" t="s">
        <v>91</v>
      </c>
      <c r="H1384">
        <v>3.8</v>
      </c>
      <c r="I1384">
        <v>25.62</v>
      </c>
      <c r="J1384">
        <v>97.34</v>
      </c>
      <c r="K1384" t="s">
        <v>92</v>
      </c>
      <c r="L1384" t="b">
        <v>0</v>
      </c>
    </row>
    <row r="1385" spans="1:13" ht="34" x14ac:dyDescent="0.2">
      <c r="A1385" t="s">
        <v>1787</v>
      </c>
      <c r="B1385" t="s">
        <v>563</v>
      </c>
      <c r="C1385" t="s">
        <v>191</v>
      </c>
      <c r="D1385" s="1">
        <v>45080</v>
      </c>
      <c r="E1385" s="6" t="s">
        <v>23</v>
      </c>
      <c r="F1385" t="s">
        <v>90</v>
      </c>
      <c r="G1385" s="3" t="s">
        <v>91</v>
      </c>
      <c r="H1385">
        <v>7.5</v>
      </c>
      <c r="I1385">
        <v>37.32</v>
      </c>
      <c r="J1385">
        <v>279.93</v>
      </c>
      <c r="K1385" t="s">
        <v>56</v>
      </c>
      <c r="L1385" t="b">
        <v>0</v>
      </c>
    </row>
    <row r="1386" spans="1:13" ht="68" x14ac:dyDescent="0.2">
      <c r="A1386" t="s">
        <v>1788</v>
      </c>
      <c r="B1386" t="s">
        <v>225</v>
      </c>
      <c r="C1386" t="s">
        <v>159</v>
      </c>
      <c r="D1386" s="1">
        <v>45200</v>
      </c>
      <c r="E1386" s="6" t="s">
        <v>23</v>
      </c>
      <c r="F1386" t="s">
        <v>50</v>
      </c>
      <c r="G1386" s="3" t="s">
        <v>51</v>
      </c>
      <c r="H1386">
        <v>6</v>
      </c>
      <c r="I1386">
        <v>26.76</v>
      </c>
      <c r="J1386">
        <v>160.53</v>
      </c>
      <c r="K1386" t="s">
        <v>36</v>
      </c>
      <c r="L1386" t="b">
        <v>0</v>
      </c>
    </row>
    <row r="1387" spans="1:13" ht="34" x14ac:dyDescent="0.2">
      <c r="A1387" t="s">
        <v>1789</v>
      </c>
      <c r="B1387" t="s">
        <v>468</v>
      </c>
      <c r="C1387" t="s">
        <v>122</v>
      </c>
      <c r="D1387" s="1">
        <v>45286</v>
      </c>
      <c r="E1387" s="6" t="s">
        <v>23</v>
      </c>
      <c r="F1387" t="s">
        <v>45</v>
      </c>
      <c r="G1387" s="3" t="s">
        <v>46</v>
      </c>
      <c r="H1387">
        <v>7.7</v>
      </c>
      <c r="I1387">
        <v>45.87</v>
      </c>
      <c r="J1387">
        <v>353.2</v>
      </c>
      <c r="K1387" t="s">
        <v>96</v>
      </c>
      <c r="L1387" t="b">
        <v>0</v>
      </c>
    </row>
    <row r="1388" spans="1:13" ht="17" x14ac:dyDescent="0.2">
      <c r="A1388" t="s">
        <v>1790</v>
      </c>
      <c r="B1388" t="s">
        <v>709</v>
      </c>
      <c r="C1388" t="s">
        <v>124</v>
      </c>
      <c r="D1388" s="1">
        <v>44999</v>
      </c>
      <c r="E1388" s="6" t="s">
        <v>89</v>
      </c>
      <c r="F1388" t="s">
        <v>30</v>
      </c>
      <c r="G1388" s="3" t="s">
        <v>31</v>
      </c>
      <c r="H1388">
        <v>21.9</v>
      </c>
      <c r="I1388">
        <v>29.1</v>
      </c>
      <c r="J1388">
        <v>637.29</v>
      </c>
      <c r="K1388" t="s">
        <v>56</v>
      </c>
      <c r="L1388" t="b">
        <v>1</v>
      </c>
      <c r="M1388" s="3" t="s">
        <v>79</v>
      </c>
    </row>
    <row r="1389" spans="1:13" ht="34" x14ac:dyDescent="0.2">
      <c r="A1389" t="s">
        <v>1791</v>
      </c>
      <c r="B1389" t="s">
        <v>329</v>
      </c>
      <c r="C1389" t="s">
        <v>266</v>
      </c>
      <c r="D1389" s="1">
        <v>45562</v>
      </c>
      <c r="E1389" s="6" t="s">
        <v>78</v>
      </c>
      <c r="F1389" t="s">
        <v>24</v>
      </c>
      <c r="G1389" s="3" t="s">
        <v>25</v>
      </c>
      <c r="H1389">
        <v>5.2</v>
      </c>
      <c r="I1389">
        <v>67.95</v>
      </c>
      <c r="J1389">
        <v>353.33</v>
      </c>
      <c r="K1389" t="s">
        <v>26</v>
      </c>
      <c r="L1389" t="b">
        <v>0</v>
      </c>
    </row>
    <row r="1390" spans="1:13" ht="68" x14ac:dyDescent="0.2">
      <c r="A1390" t="s">
        <v>1792</v>
      </c>
      <c r="B1390" t="s">
        <v>460</v>
      </c>
      <c r="C1390" t="s">
        <v>353</v>
      </c>
      <c r="D1390" s="1">
        <v>38339</v>
      </c>
      <c r="E1390" s="6" t="s">
        <v>16</v>
      </c>
      <c r="F1390" t="s">
        <v>50</v>
      </c>
      <c r="G1390" s="3" t="s">
        <v>51</v>
      </c>
      <c r="H1390">
        <v>7.4</v>
      </c>
      <c r="I1390">
        <v>57.23</v>
      </c>
      <c r="J1390">
        <v>423.48</v>
      </c>
      <c r="K1390" t="s">
        <v>92</v>
      </c>
      <c r="L1390" t="b">
        <v>1</v>
      </c>
      <c r="M1390" s="3" t="s">
        <v>99</v>
      </c>
    </row>
    <row r="1391" spans="1:13" ht="34" x14ac:dyDescent="0.2">
      <c r="A1391" t="s">
        <v>1793</v>
      </c>
      <c r="B1391" t="s">
        <v>304</v>
      </c>
      <c r="C1391" t="s">
        <v>365</v>
      </c>
      <c r="D1391" s="1">
        <v>45603</v>
      </c>
      <c r="E1391" s="6" t="s">
        <v>16</v>
      </c>
      <c r="F1391" t="s">
        <v>90</v>
      </c>
      <c r="G1391" s="3" t="s">
        <v>91</v>
      </c>
      <c r="H1391">
        <v>7.5</v>
      </c>
      <c r="I1391">
        <v>80.23</v>
      </c>
      <c r="J1391">
        <v>601.71</v>
      </c>
      <c r="K1391" t="s">
        <v>92</v>
      </c>
      <c r="L1391" t="b">
        <v>0</v>
      </c>
    </row>
    <row r="1392" spans="1:13" ht="34" x14ac:dyDescent="0.2">
      <c r="A1392" t="s">
        <v>1794</v>
      </c>
      <c r="B1392" t="s">
        <v>814</v>
      </c>
      <c r="C1392" t="s">
        <v>194</v>
      </c>
      <c r="D1392" s="1">
        <v>45441</v>
      </c>
      <c r="E1392" s="6" t="s">
        <v>60</v>
      </c>
      <c r="F1392" t="s">
        <v>17</v>
      </c>
      <c r="G1392" s="3" t="s">
        <v>18</v>
      </c>
      <c r="H1392">
        <v>16.600000000000001</v>
      </c>
      <c r="I1392">
        <v>60.36</v>
      </c>
      <c r="J1392">
        <v>1000</v>
      </c>
      <c r="K1392" t="s">
        <v>26</v>
      </c>
      <c r="L1392" t="b">
        <v>1</v>
      </c>
      <c r="M1392" s="3" t="s">
        <v>40</v>
      </c>
    </row>
    <row r="1393" spans="1:13" ht="34" x14ac:dyDescent="0.2">
      <c r="A1393" t="s">
        <v>1795</v>
      </c>
      <c r="B1393" t="s">
        <v>630</v>
      </c>
      <c r="C1393" t="s">
        <v>189</v>
      </c>
      <c r="D1393" s="1">
        <v>45584</v>
      </c>
      <c r="E1393" s="6" t="s">
        <v>60</v>
      </c>
      <c r="F1393" t="s">
        <v>90</v>
      </c>
      <c r="G1393" s="3" t="s">
        <v>91</v>
      </c>
      <c r="H1393">
        <v>3.1</v>
      </c>
      <c r="I1393">
        <v>46.29</v>
      </c>
      <c r="J1393">
        <v>143.5</v>
      </c>
      <c r="K1393" t="s">
        <v>32</v>
      </c>
      <c r="L1393" t="b">
        <v>0</v>
      </c>
    </row>
    <row r="1394" spans="1:13" ht="34" x14ac:dyDescent="0.2">
      <c r="A1394" t="s">
        <v>1796</v>
      </c>
      <c r="B1394" t="s">
        <v>664</v>
      </c>
      <c r="C1394" t="s">
        <v>450</v>
      </c>
      <c r="D1394" s="1">
        <v>45293</v>
      </c>
      <c r="E1394" s="6" t="s">
        <v>44</v>
      </c>
      <c r="F1394" t="s">
        <v>61</v>
      </c>
      <c r="G1394" s="3" t="s">
        <v>62</v>
      </c>
      <c r="H1394">
        <v>3.3</v>
      </c>
      <c r="I1394">
        <v>38.65</v>
      </c>
      <c r="J1394">
        <v>127.56</v>
      </c>
      <c r="K1394" t="s">
        <v>19</v>
      </c>
      <c r="L1394" t="b">
        <v>0</v>
      </c>
    </row>
    <row r="1395" spans="1:13" ht="34" x14ac:dyDescent="0.2">
      <c r="A1395" t="s">
        <v>1797</v>
      </c>
      <c r="B1395" t="s">
        <v>1210</v>
      </c>
      <c r="C1395" t="s">
        <v>219</v>
      </c>
      <c r="D1395" s="1">
        <v>45580</v>
      </c>
      <c r="E1395" s="6" t="s">
        <v>23</v>
      </c>
      <c r="F1395" t="s">
        <v>54</v>
      </c>
      <c r="G1395" s="3" t="s">
        <v>55</v>
      </c>
      <c r="H1395">
        <v>2.7</v>
      </c>
      <c r="I1395">
        <v>31.62</v>
      </c>
      <c r="J1395">
        <v>85.37</v>
      </c>
      <c r="K1395" t="s">
        <v>19</v>
      </c>
      <c r="L1395" t="b">
        <v>0</v>
      </c>
    </row>
    <row r="1396" spans="1:13" ht="17" x14ac:dyDescent="0.2">
      <c r="A1396" t="s">
        <v>1798</v>
      </c>
      <c r="B1396" t="s">
        <v>1111</v>
      </c>
      <c r="C1396" t="s">
        <v>365</v>
      </c>
      <c r="D1396" s="1">
        <v>45327</v>
      </c>
      <c r="E1396" s="6" t="s">
        <v>89</v>
      </c>
      <c r="F1396" t="s">
        <v>17</v>
      </c>
      <c r="G1396" s="3" t="s">
        <v>18</v>
      </c>
      <c r="H1396">
        <v>6.6</v>
      </c>
      <c r="I1396">
        <v>67.28</v>
      </c>
      <c r="J1396">
        <v>444.07</v>
      </c>
      <c r="K1396" t="s">
        <v>36</v>
      </c>
      <c r="L1396" t="b">
        <v>0</v>
      </c>
    </row>
    <row r="1397" spans="1:13" ht="34" x14ac:dyDescent="0.2">
      <c r="A1397" t="s">
        <v>1799</v>
      </c>
      <c r="B1397" t="s">
        <v>115</v>
      </c>
      <c r="C1397" t="s">
        <v>499</v>
      </c>
      <c r="D1397" s="1">
        <v>45199</v>
      </c>
      <c r="E1397" s="6" t="s">
        <v>60</v>
      </c>
      <c r="F1397" t="s">
        <v>24</v>
      </c>
      <c r="G1397" s="3" t="s">
        <v>25</v>
      </c>
      <c r="H1397">
        <v>2.5</v>
      </c>
      <c r="I1397">
        <v>54.62</v>
      </c>
      <c r="J1397">
        <v>136.56</v>
      </c>
      <c r="K1397" t="s">
        <v>26</v>
      </c>
      <c r="L1397" t="b">
        <v>0</v>
      </c>
    </row>
    <row r="1398" spans="1:13" ht="34" x14ac:dyDescent="0.2">
      <c r="A1398" t="s">
        <v>1800</v>
      </c>
      <c r="B1398" t="s">
        <v>1111</v>
      </c>
      <c r="C1398" t="s">
        <v>450</v>
      </c>
      <c r="D1398" s="1">
        <v>45361</v>
      </c>
      <c r="E1398" s="6" t="s">
        <v>16</v>
      </c>
      <c r="F1398" t="s">
        <v>45</v>
      </c>
      <c r="G1398" s="3" t="s">
        <v>46</v>
      </c>
      <c r="H1398">
        <v>4.7</v>
      </c>
      <c r="I1398">
        <v>69.17</v>
      </c>
      <c r="J1398">
        <v>325.10000000000002</v>
      </c>
      <c r="K1398" t="s">
        <v>36</v>
      </c>
      <c r="L1398" t="b">
        <v>0</v>
      </c>
    </row>
    <row r="1399" spans="1:13" ht="17" x14ac:dyDescent="0.2">
      <c r="A1399" t="s">
        <v>1801</v>
      </c>
      <c r="B1399" t="s">
        <v>1413</v>
      </c>
      <c r="C1399" t="s">
        <v>159</v>
      </c>
      <c r="D1399" s="1">
        <v>45378</v>
      </c>
      <c r="E1399" s="6" t="s">
        <v>60</v>
      </c>
      <c r="F1399" t="s">
        <v>17</v>
      </c>
      <c r="G1399" s="3" t="s">
        <v>18</v>
      </c>
      <c r="H1399">
        <v>3.4</v>
      </c>
      <c r="I1399">
        <v>49.44</v>
      </c>
      <c r="J1399">
        <v>168.09</v>
      </c>
      <c r="K1399" t="s">
        <v>32</v>
      </c>
      <c r="L1399" t="b">
        <v>0</v>
      </c>
    </row>
    <row r="1400" spans="1:13" ht="17" x14ac:dyDescent="0.2">
      <c r="A1400" t="s">
        <v>1802</v>
      </c>
      <c r="B1400" t="s">
        <v>476</v>
      </c>
      <c r="C1400" t="s">
        <v>332</v>
      </c>
      <c r="D1400" s="1">
        <v>45493</v>
      </c>
      <c r="E1400" s="6" t="s">
        <v>60</v>
      </c>
      <c r="F1400" t="s">
        <v>30</v>
      </c>
      <c r="G1400" s="3" t="s">
        <v>31</v>
      </c>
      <c r="H1400">
        <v>7.1</v>
      </c>
      <c r="I1400">
        <v>78.69</v>
      </c>
      <c r="J1400">
        <v>558.66999999999996</v>
      </c>
      <c r="K1400" t="s">
        <v>105</v>
      </c>
      <c r="L1400" t="b">
        <v>0</v>
      </c>
    </row>
    <row r="1401" spans="1:13" ht="34" x14ac:dyDescent="0.2">
      <c r="A1401" t="s">
        <v>1803</v>
      </c>
      <c r="B1401" t="s">
        <v>394</v>
      </c>
      <c r="C1401" t="s">
        <v>88</v>
      </c>
      <c r="D1401" s="1">
        <v>45490</v>
      </c>
      <c r="E1401" s="6" t="s">
        <v>60</v>
      </c>
      <c r="F1401" t="s">
        <v>54</v>
      </c>
      <c r="G1401" s="3" t="s">
        <v>55</v>
      </c>
      <c r="H1401">
        <v>3.1</v>
      </c>
      <c r="I1401">
        <v>84.92</v>
      </c>
      <c r="J1401">
        <v>263.26</v>
      </c>
      <c r="K1401" t="s">
        <v>32</v>
      </c>
      <c r="L1401" t="b">
        <v>0</v>
      </c>
    </row>
    <row r="1402" spans="1:13" ht="34" x14ac:dyDescent="0.2">
      <c r="A1402" t="s">
        <v>1804</v>
      </c>
      <c r="B1402" t="s">
        <v>728</v>
      </c>
      <c r="C1402" t="s">
        <v>186</v>
      </c>
      <c r="D1402" s="1">
        <v>45350</v>
      </c>
      <c r="E1402" s="6" t="s">
        <v>16</v>
      </c>
      <c r="F1402" t="s">
        <v>90</v>
      </c>
      <c r="G1402" s="3" t="s">
        <v>91</v>
      </c>
      <c r="H1402">
        <v>4.4000000000000004</v>
      </c>
      <c r="I1402">
        <v>56.36</v>
      </c>
      <c r="J1402">
        <v>247.98</v>
      </c>
      <c r="K1402" t="s">
        <v>32</v>
      </c>
      <c r="L1402" t="b">
        <v>1</v>
      </c>
      <c r="M1402" s="3" t="s">
        <v>102</v>
      </c>
    </row>
    <row r="1403" spans="1:13" ht="34" x14ac:dyDescent="0.2">
      <c r="A1403" t="s">
        <v>1805</v>
      </c>
      <c r="B1403" t="s">
        <v>1198</v>
      </c>
      <c r="C1403" t="s">
        <v>191</v>
      </c>
      <c r="D1403" s="1">
        <v>45373</v>
      </c>
      <c r="E1403" s="6" t="s">
        <v>16</v>
      </c>
      <c r="F1403" t="s">
        <v>90</v>
      </c>
      <c r="G1403" s="3" t="s">
        <v>91</v>
      </c>
      <c r="H1403">
        <v>2.7</v>
      </c>
      <c r="I1403">
        <v>48.69</v>
      </c>
      <c r="J1403">
        <v>131.46</v>
      </c>
      <c r="K1403" t="s">
        <v>113</v>
      </c>
      <c r="L1403" t="b">
        <v>0</v>
      </c>
    </row>
    <row r="1404" spans="1:13" ht="34" x14ac:dyDescent="0.2">
      <c r="A1404" t="s">
        <v>1806</v>
      </c>
      <c r="B1404" t="s">
        <v>245</v>
      </c>
      <c r="C1404" t="s">
        <v>29</v>
      </c>
      <c r="D1404" s="1">
        <v>45584</v>
      </c>
      <c r="E1404" s="6" t="s">
        <v>23</v>
      </c>
      <c r="F1404" t="s">
        <v>90</v>
      </c>
      <c r="G1404" s="3" t="s">
        <v>91</v>
      </c>
      <c r="H1404">
        <v>6.4</v>
      </c>
      <c r="I1404">
        <v>78.55</v>
      </c>
      <c r="J1404">
        <v>502.69</v>
      </c>
      <c r="K1404" t="s">
        <v>32</v>
      </c>
      <c r="L1404" t="b">
        <v>0</v>
      </c>
    </row>
    <row r="1405" spans="1:13" ht="34" x14ac:dyDescent="0.2">
      <c r="A1405" t="s">
        <v>1807</v>
      </c>
      <c r="B1405" t="s">
        <v>987</v>
      </c>
      <c r="C1405" t="s">
        <v>380</v>
      </c>
      <c r="D1405" s="1">
        <v>45603</v>
      </c>
      <c r="E1405" s="6" t="s">
        <v>23</v>
      </c>
      <c r="F1405" t="s">
        <v>90</v>
      </c>
      <c r="G1405" s="3" t="s">
        <v>91</v>
      </c>
      <c r="H1405">
        <v>19.7</v>
      </c>
      <c r="I1405">
        <v>36.950000000000003</v>
      </c>
      <c r="J1405">
        <v>727.92</v>
      </c>
      <c r="K1405" t="s">
        <v>92</v>
      </c>
      <c r="L1405" t="b">
        <v>1</v>
      </c>
      <c r="M1405" s="3" t="s">
        <v>79</v>
      </c>
    </row>
    <row r="1406" spans="1:13" ht="34" x14ac:dyDescent="0.2">
      <c r="A1406" t="s">
        <v>1808</v>
      </c>
      <c r="B1406" t="s">
        <v>970</v>
      </c>
      <c r="C1406" t="s">
        <v>332</v>
      </c>
      <c r="D1406" s="1">
        <v>45144</v>
      </c>
      <c r="E1406" s="6" t="s">
        <v>16</v>
      </c>
      <c r="F1406" t="s">
        <v>61</v>
      </c>
      <c r="G1406" s="3" t="s">
        <v>62</v>
      </c>
      <c r="H1406">
        <v>2.7</v>
      </c>
      <c r="I1406">
        <v>75.290000000000006</v>
      </c>
      <c r="J1406">
        <v>203.27</v>
      </c>
      <c r="K1406" t="s">
        <v>19</v>
      </c>
      <c r="L1406" t="b">
        <v>0</v>
      </c>
    </row>
    <row r="1407" spans="1:13" ht="17" x14ac:dyDescent="0.2">
      <c r="A1407" t="s">
        <v>1809</v>
      </c>
      <c r="B1407" t="s">
        <v>349</v>
      </c>
      <c r="C1407" t="s">
        <v>166</v>
      </c>
      <c r="D1407" s="1">
        <v>45440</v>
      </c>
      <c r="E1407" s="6" t="s">
        <v>89</v>
      </c>
      <c r="F1407" t="s">
        <v>17</v>
      </c>
      <c r="G1407" s="3" t="s">
        <v>18</v>
      </c>
      <c r="H1407">
        <v>3.7</v>
      </c>
      <c r="I1407">
        <v>67.81</v>
      </c>
      <c r="J1407">
        <v>250.9</v>
      </c>
      <c r="K1407" t="s">
        <v>32</v>
      </c>
      <c r="L1407" t="b">
        <v>0</v>
      </c>
    </row>
    <row r="1408" spans="1:13" ht="34" x14ac:dyDescent="0.2">
      <c r="A1408" t="s">
        <v>1810</v>
      </c>
      <c r="B1408" t="s">
        <v>460</v>
      </c>
      <c r="C1408" t="s">
        <v>380</v>
      </c>
      <c r="D1408" s="1">
        <v>38318</v>
      </c>
      <c r="E1408" s="6" t="s">
        <v>60</v>
      </c>
      <c r="F1408" t="s">
        <v>45</v>
      </c>
      <c r="G1408" s="3" t="s">
        <v>46</v>
      </c>
      <c r="H1408">
        <v>6.5</v>
      </c>
      <c r="I1408">
        <v>73.06</v>
      </c>
      <c r="J1408">
        <v>474.88</v>
      </c>
      <c r="K1408" t="s">
        <v>105</v>
      </c>
      <c r="L1408" t="b">
        <v>1</v>
      </c>
      <c r="M1408" s="3" t="s">
        <v>99</v>
      </c>
    </row>
    <row r="1409" spans="1:12" ht="34" x14ac:dyDescent="0.2">
      <c r="A1409" t="s">
        <v>1811</v>
      </c>
      <c r="B1409" t="s">
        <v>482</v>
      </c>
      <c r="C1409" t="s">
        <v>156</v>
      </c>
      <c r="D1409" s="1">
        <v>45206</v>
      </c>
      <c r="E1409" s="6" t="s">
        <v>60</v>
      </c>
      <c r="F1409" t="s">
        <v>54</v>
      </c>
      <c r="G1409" s="3" t="s">
        <v>55</v>
      </c>
      <c r="H1409">
        <v>4.9000000000000004</v>
      </c>
      <c r="I1409">
        <v>61.19</v>
      </c>
      <c r="J1409">
        <v>299.83</v>
      </c>
      <c r="K1409" t="s">
        <v>92</v>
      </c>
      <c r="L1409" t="b">
        <v>0</v>
      </c>
    </row>
    <row r="1410" spans="1:12" ht="17" x14ac:dyDescent="0.2">
      <c r="A1410" t="s">
        <v>1812</v>
      </c>
      <c r="B1410" t="s">
        <v>247</v>
      </c>
      <c r="C1410" t="s">
        <v>59</v>
      </c>
      <c r="D1410" s="1">
        <v>45187</v>
      </c>
      <c r="E1410" s="6" t="s">
        <v>60</v>
      </c>
      <c r="F1410" t="s">
        <v>17</v>
      </c>
      <c r="G1410" s="3" t="s">
        <v>18</v>
      </c>
      <c r="H1410">
        <v>5.0999999999999996</v>
      </c>
      <c r="I1410">
        <v>33.840000000000003</v>
      </c>
      <c r="J1410">
        <v>172.6</v>
      </c>
      <c r="K1410" t="s">
        <v>105</v>
      </c>
      <c r="L1410" t="b">
        <v>0</v>
      </c>
    </row>
    <row r="1411" spans="1:12" ht="34" x14ac:dyDescent="0.2">
      <c r="A1411" t="s">
        <v>1813</v>
      </c>
      <c r="B1411" t="s">
        <v>1398</v>
      </c>
      <c r="C1411" t="s">
        <v>148</v>
      </c>
      <c r="D1411" s="1">
        <v>44984</v>
      </c>
      <c r="E1411" s="6" t="s">
        <v>23</v>
      </c>
      <c r="F1411" t="s">
        <v>90</v>
      </c>
      <c r="G1411" s="3" t="s">
        <v>91</v>
      </c>
      <c r="H1411">
        <v>2.7</v>
      </c>
      <c r="I1411">
        <v>54.36</v>
      </c>
      <c r="J1411">
        <v>146.77000000000001</v>
      </c>
      <c r="K1411" t="s">
        <v>26</v>
      </c>
      <c r="L1411" t="b">
        <v>0</v>
      </c>
    </row>
    <row r="1412" spans="1:12" ht="68" x14ac:dyDescent="0.2">
      <c r="A1412" t="s">
        <v>1814</v>
      </c>
      <c r="B1412" t="s">
        <v>672</v>
      </c>
      <c r="C1412" t="s">
        <v>119</v>
      </c>
      <c r="D1412" s="1">
        <v>45311</v>
      </c>
      <c r="E1412" s="6" t="s">
        <v>44</v>
      </c>
      <c r="F1412" t="s">
        <v>50</v>
      </c>
      <c r="G1412" s="3" t="s">
        <v>51</v>
      </c>
      <c r="H1412">
        <v>2.2000000000000002</v>
      </c>
      <c r="I1412">
        <v>69.27</v>
      </c>
      <c r="J1412">
        <v>152.38999999999999</v>
      </c>
      <c r="K1412" t="s">
        <v>92</v>
      </c>
      <c r="L1412" t="b">
        <v>0</v>
      </c>
    </row>
    <row r="1413" spans="1:12" ht="17" x14ac:dyDescent="0.2">
      <c r="A1413" t="s">
        <v>1815</v>
      </c>
      <c r="B1413" t="s">
        <v>325</v>
      </c>
      <c r="C1413" t="s">
        <v>295</v>
      </c>
      <c r="D1413" s="1">
        <v>45092</v>
      </c>
      <c r="E1413" s="6" t="s">
        <v>60</v>
      </c>
      <c r="F1413" t="s">
        <v>17</v>
      </c>
      <c r="G1413" s="3" t="s">
        <v>18</v>
      </c>
      <c r="H1413">
        <v>6.1</v>
      </c>
      <c r="I1413">
        <v>83.32</v>
      </c>
      <c r="J1413">
        <v>508.28</v>
      </c>
      <c r="K1413" t="s">
        <v>36</v>
      </c>
      <c r="L1413" t="b">
        <v>0</v>
      </c>
    </row>
    <row r="1414" spans="1:12" ht="34" x14ac:dyDescent="0.2">
      <c r="A1414" t="s">
        <v>1816</v>
      </c>
      <c r="B1414" t="s">
        <v>185</v>
      </c>
      <c r="C1414" t="s">
        <v>293</v>
      </c>
      <c r="D1414" s="1">
        <v>45493</v>
      </c>
      <c r="E1414" s="6" t="s">
        <v>44</v>
      </c>
      <c r="F1414" t="s">
        <v>54</v>
      </c>
      <c r="G1414" s="3" t="s">
        <v>55</v>
      </c>
      <c r="H1414">
        <v>2.9</v>
      </c>
      <c r="I1414">
        <v>62.32</v>
      </c>
      <c r="J1414">
        <v>180.72</v>
      </c>
      <c r="K1414" t="s">
        <v>113</v>
      </c>
      <c r="L1414" t="b">
        <v>0</v>
      </c>
    </row>
    <row r="1415" spans="1:12" ht="34" x14ac:dyDescent="0.2">
      <c r="A1415" t="s">
        <v>1817</v>
      </c>
      <c r="B1415" t="s">
        <v>556</v>
      </c>
      <c r="C1415" t="s">
        <v>172</v>
      </c>
      <c r="D1415" s="1">
        <v>45213</v>
      </c>
      <c r="E1415" s="6" t="s">
        <v>60</v>
      </c>
      <c r="F1415" t="s">
        <v>90</v>
      </c>
      <c r="G1415" s="3" t="s">
        <v>91</v>
      </c>
      <c r="H1415">
        <v>6</v>
      </c>
      <c r="I1415">
        <v>56.2</v>
      </c>
      <c r="J1415">
        <v>337.18</v>
      </c>
      <c r="K1415" t="s">
        <v>56</v>
      </c>
      <c r="L1415" t="b">
        <v>0</v>
      </c>
    </row>
    <row r="1416" spans="1:12" ht="17" x14ac:dyDescent="0.2">
      <c r="A1416" t="s">
        <v>1818</v>
      </c>
      <c r="B1416" t="s">
        <v>931</v>
      </c>
      <c r="C1416" t="s">
        <v>133</v>
      </c>
      <c r="D1416" s="1">
        <v>45624</v>
      </c>
      <c r="E1416" s="6" t="s">
        <v>60</v>
      </c>
      <c r="F1416" t="s">
        <v>17</v>
      </c>
      <c r="G1416" s="3" t="s">
        <v>18</v>
      </c>
      <c r="H1416">
        <v>3.2</v>
      </c>
      <c r="I1416">
        <v>64.73</v>
      </c>
      <c r="J1416">
        <v>207.12</v>
      </c>
      <c r="K1416" t="s">
        <v>92</v>
      </c>
      <c r="L1416" t="b">
        <v>0</v>
      </c>
    </row>
    <row r="1417" spans="1:12" ht="34" x14ac:dyDescent="0.2">
      <c r="A1417" t="s">
        <v>1819</v>
      </c>
      <c r="B1417" t="s">
        <v>912</v>
      </c>
      <c r="C1417" t="s">
        <v>274</v>
      </c>
      <c r="D1417" s="1">
        <v>45422</v>
      </c>
      <c r="E1417" s="6" t="s">
        <v>89</v>
      </c>
      <c r="F1417" t="s">
        <v>45</v>
      </c>
      <c r="G1417" s="3" t="s">
        <v>46</v>
      </c>
      <c r="H1417">
        <v>5.3</v>
      </c>
      <c r="I1417">
        <v>73.569999999999993</v>
      </c>
      <c r="J1417">
        <v>389.92</v>
      </c>
      <c r="K1417" t="s">
        <v>82</v>
      </c>
      <c r="L1417" t="b">
        <v>0</v>
      </c>
    </row>
    <row r="1418" spans="1:12" ht="34" x14ac:dyDescent="0.2">
      <c r="A1418" t="s">
        <v>1820</v>
      </c>
      <c r="B1418" t="s">
        <v>482</v>
      </c>
      <c r="C1418" t="s">
        <v>183</v>
      </c>
      <c r="D1418" s="1">
        <v>45205</v>
      </c>
      <c r="E1418" s="6" t="s">
        <v>60</v>
      </c>
      <c r="F1418" t="s">
        <v>24</v>
      </c>
      <c r="G1418" s="3" t="s">
        <v>25</v>
      </c>
      <c r="H1418">
        <v>7.7</v>
      </c>
      <c r="I1418">
        <v>26.9</v>
      </c>
      <c r="J1418">
        <v>207.1</v>
      </c>
      <c r="K1418" t="s">
        <v>92</v>
      </c>
      <c r="L1418" t="b">
        <v>0</v>
      </c>
    </row>
    <row r="1419" spans="1:12" ht="34" x14ac:dyDescent="0.2">
      <c r="A1419" t="s">
        <v>1821</v>
      </c>
      <c r="B1419" t="s">
        <v>429</v>
      </c>
      <c r="C1419" t="s">
        <v>122</v>
      </c>
      <c r="D1419" s="1">
        <v>45243</v>
      </c>
      <c r="E1419" s="6" t="s">
        <v>60</v>
      </c>
      <c r="F1419" t="s">
        <v>90</v>
      </c>
      <c r="G1419" s="3" t="s">
        <v>91</v>
      </c>
      <c r="H1419">
        <v>4.3</v>
      </c>
      <c r="I1419">
        <v>43.87</v>
      </c>
      <c r="J1419">
        <v>188.66</v>
      </c>
      <c r="K1419" t="s">
        <v>92</v>
      </c>
      <c r="L1419" t="b">
        <v>0</v>
      </c>
    </row>
    <row r="1420" spans="1:12" ht="17" x14ac:dyDescent="0.2">
      <c r="A1420" t="s">
        <v>1822</v>
      </c>
      <c r="B1420" t="s">
        <v>800</v>
      </c>
      <c r="C1420" t="s">
        <v>450</v>
      </c>
      <c r="D1420" s="1">
        <v>45039</v>
      </c>
      <c r="E1420" s="6" t="s">
        <v>89</v>
      </c>
      <c r="F1420" t="s">
        <v>17</v>
      </c>
      <c r="G1420" s="3" t="s">
        <v>18</v>
      </c>
      <c r="H1420">
        <v>4.8</v>
      </c>
      <c r="I1420">
        <v>26.97</v>
      </c>
      <c r="J1420">
        <v>129.46</v>
      </c>
      <c r="K1420" t="s">
        <v>96</v>
      </c>
      <c r="L1420" t="b">
        <v>0</v>
      </c>
    </row>
    <row r="1421" spans="1:12" ht="34" x14ac:dyDescent="0.2">
      <c r="A1421" t="s">
        <v>1823</v>
      </c>
      <c r="B1421" t="s">
        <v>325</v>
      </c>
      <c r="C1421" t="s">
        <v>450</v>
      </c>
      <c r="D1421" s="1">
        <v>45344</v>
      </c>
      <c r="E1421" s="6" t="s">
        <v>60</v>
      </c>
      <c r="F1421" t="s">
        <v>45</v>
      </c>
      <c r="G1421" s="3" t="s">
        <v>46</v>
      </c>
      <c r="H1421">
        <v>7.3</v>
      </c>
      <c r="I1421">
        <v>34.85</v>
      </c>
      <c r="J1421">
        <v>254.4</v>
      </c>
      <c r="K1421" t="s">
        <v>36</v>
      </c>
      <c r="L1421" t="b">
        <v>0</v>
      </c>
    </row>
    <row r="1422" spans="1:12" ht="68" x14ac:dyDescent="0.2">
      <c r="A1422" t="s">
        <v>1824</v>
      </c>
      <c r="B1422" t="s">
        <v>233</v>
      </c>
      <c r="C1422" t="s">
        <v>122</v>
      </c>
      <c r="D1422" s="1">
        <v>45545</v>
      </c>
      <c r="E1422" s="6" t="s">
        <v>44</v>
      </c>
      <c r="F1422" t="s">
        <v>50</v>
      </c>
      <c r="G1422" s="3" t="s">
        <v>51</v>
      </c>
      <c r="H1422">
        <v>3.9</v>
      </c>
      <c r="I1422">
        <v>48.34</v>
      </c>
      <c r="J1422">
        <v>188.54</v>
      </c>
      <c r="K1422" t="s">
        <v>36</v>
      </c>
      <c r="L1422" t="b">
        <v>0</v>
      </c>
    </row>
    <row r="1423" spans="1:12" ht="17" x14ac:dyDescent="0.2">
      <c r="A1423" t="s">
        <v>1825</v>
      </c>
      <c r="B1423" t="s">
        <v>442</v>
      </c>
      <c r="C1423" t="s">
        <v>148</v>
      </c>
      <c r="D1423" s="1">
        <v>45178</v>
      </c>
      <c r="E1423" s="6" t="s">
        <v>89</v>
      </c>
      <c r="F1423" t="s">
        <v>17</v>
      </c>
      <c r="G1423" s="3" t="s">
        <v>18</v>
      </c>
      <c r="H1423">
        <v>6</v>
      </c>
      <c r="I1423">
        <v>66.12</v>
      </c>
      <c r="J1423">
        <v>396.73</v>
      </c>
      <c r="K1423" t="s">
        <v>56</v>
      </c>
      <c r="L1423" t="b">
        <v>0</v>
      </c>
    </row>
    <row r="1424" spans="1:12" ht="17" x14ac:dyDescent="0.2">
      <c r="A1424" t="s">
        <v>1826</v>
      </c>
      <c r="B1424" t="s">
        <v>168</v>
      </c>
      <c r="C1424" t="s">
        <v>85</v>
      </c>
      <c r="D1424" s="1">
        <v>45035</v>
      </c>
      <c r="E1424" s="6" t="s">
        <v>89</v>
      </c>
      <c r="F1424" t="s">
        <v>17</v>
      </c>
      <c r="G1424" s="3" t="s">
        <v>18</v>
      </c>
      <c r="H1424">
        <v>4.9000000000000004</v>
      </c>
      <c r="I1424">
        <v>76.260000000000005</v>
      </c>
      <c r="J1424">
        <v>373.68</v>
      </c>
      <c r="K1424" t="s">
        <v>113</v>
      </c>
      <c r="L1424" t="b">
        <v>0</v>
      </c>
    </row>
    <row r="1425" spans="1:13" ht="34" x14ac:dyDescent="0.2">
      <c r="A1425" t="s">
        <v>1827</v>
      </c>
      <c r="B1425" t="s">
        <v>320</v>
      </c>
      <c r="C1425" t="s">
        <v>365</v>
      </c>
      <c r="D1425" s="1">
        <v>45567</v>
      </c>
      <c r="E1425" s="6" t="s">
        <v>60</v>
      </c>
      <c r="F1425" t="s">
        <v>24</v>
      </c>
      <c r="G1425" s="3" t="s">
        <v>25</v>
      </c>
      <c r="H1425">
        <v>4.3</v>
      </c>
      <c r="I1425">
        <v>54.68</v>
      </c>
      <c r="J1425">
        <v>235.13</v>
      </c>
      <c r="K1425" t="s">
        <v>82</v>
      </c>
      <c r="L1425" t="b">
        <v>0</v>
      </c>
    </row>
    <row r="1426" spans="1:13" ht="34" x14ac:dyDescent="0.2">
      <c r="A1426" t="s">
        <v>1828</v>
      </c>
      <c r="B1426" t="s">
        <v>358</v>
      </c>
      <c r="C1426" t="s">
        <v>391</v>
      </c>
      <c r="D1426" s="1">
        <v>45409</v>
      </c>
      <c r="E1426" s="6" t="s">
        <v>44</v>
      </c>
      <c r="F1426" t="s">
        <v>54</v>
      </c>
      <c r="G1426" s="3" t="s">
        <v>55</v>
      </c>
      <c r="H1426">
        <v>6.6</v>
      </c>
      <c r="I1426">
        <v>42.07</v>
      </c>
      <c r="J1426">
        <v>277.64</v>
      </c>
      <c r="K1426" t="s">
        <v>36</v>
      </c>
      <c r="L1426" t="b">
        <v>0</v>
      </c>
    </row>
    <row r="1427" spans="1:13" ht="34" x14ac:dyDescent="0.2">
      <c r="A1427" t="s">
        <v>1829</v>
      </c>
      <c r="B1427" t="s">
        <v>1008</v>
      </c>
      <c r="C1427" t="s">
        <v>130</v>
      </c>
      <c r="D1427" s="1">
        <v>45301</v>
      </c>
      <c r="E1427" s="6" t="s">
        <v>78</v>
      </c>
      <c r="F1427" t="s">
        <v>24</v>
      </c>
      <c r="G1427" s="3" t="s">
        <v>25</v>
      </c>
      <c r="H1427">
        <v>5.5</v>
      </c>
      <c r="I1427">
        <v>32.69</v>
      </c>
      <c r="J1427">
        <v>179.81</v>
      </c>
      <c r="K1427" t="s">
        <v>82</v>
      </c>
      <c r="L1427" t="b">
        <v>0</v>
      </c>
    </row>
    <row r="1428" spans="1:13" ht="34" x14ac:dyDescent="0.2">
      <c r="A1428" t="s">
        <v>1830</v>
      </c>
      <c r="B1428" t="s">
        <v>198</v>
      </c>
      <c r="C1428" t="s">
        <v>256</v>
      </c>
      <c r="D1428" s="1">
        <v>45546</v>
      </c>
      <c r="E1428" s="6" t="s">
        <v>16</v>
      </c>
      <c r="F1428" t="s">
        <v>54</v>
      </c>
      <c r="G1428" s="3" t="s">
        <v>55</v>
      </c>
      <c r="H1428">
        <v>6.9</v>
      </c>
      <c r="I1428">
        <v>60.04</v>
      </c>
      <c r="J1428">
        <v>414.26</v>
      </c>
      <c r="K1428" t="s">
        <v>82</v>
      </c>
      <c r="L1428" t="b">
        <v>0</v>
      </c>
    </row>
    <row r="1429" spans="1:13" ht="34" x14ac:dyDescent="0.2">
      <c r="A1429" t="s">
        <v>1831</v>
      </c>
      <c r="B1429" t="s">
        <v>1058</v>
      </c>
      <c r="C1429" t="s">
        <v>65</v>
      </c>
      <c r="D1429" s="1">
        <v>45096</v>
      </c>
      <c r="E1429" s="6" t="s">
        <v>78</v>
      </c>
      <c r="F1429" t="s">
        <v>54</v>
      </c>
      <c r="G1429" s="3" t="s">
        <v>55</v>
      </c>
      <c r="H1429">
        <v>4.3</v>
      </c>
      <c r="I1429">
        <v>50.69</v>
      </c>
      <c r="J1429">
        <v>217.96</v>
      </c>
      <c r="K1429" t="s">
        <v>113</v>
      </c>
      <c r="L1429" t="b">
        <v>1</v>
      </c>
      <c r="M1429" s="3" t="s">
        <v>102</v>
      </c>
    </row>
    <row r="1430" spans="1:13" ht="34" x14ac:dyDescent="0.2">
      <c r="A1430" t="s">
        <v>1832</v>
      </c>
      <c r="B1430" t="s">
        <v>336</v>
      </c>
      <c r="C1430" t="s">
        <v>110</v>
      </c>
      <c r="D1430" s="1">
        <v>44977</v>
      </c>
      <c r="E1430" s="6" t="s">
        <v>23</v>
      </c>
      <c r="F1430" t="s">
        <v>61</v>
      </c>
      <c r="G1430" s="3" t="s">
        <v>62</v>
      </c>
      <c r="H1430">
        <v>4.0999999999999996</v>
      </c>
      <c r="I1430">
        <v>64.67</v>
      </c>
      <c r="J1430">
        <v>265.17</v>
      </c>
      <c r="K1430" t="s">
        <v>56</v>
      </c>
      <c r="L1430" t="b">
        <v>0</v>
      </c>
    </row>
    <row r="1431" spans="1:13" ht="17" x14ac:dyDescent="0.2">
      <c r="A1431" t="s">
        <v>1833</v>
      </c>
      <c r="B1431" t="s">
        <v>14</v>
      </c>
      <c r="C1431" t="s">
        <v>148</v>
      </c>
      <c r="D1431" s="1">
        <v>45458</v>
      </c>
      <c r="E1431" s="6" t="s">
        <v>16</v>
      </c>
      <c r="F1431" t="s">
        <v>30</v>
      </c>
      <c r="G1431" s="3" t="s">
        <v>31</v>
      </c>
      <c r="H1431">
        <v>18.899999999999999</v>
      </c>
      <c r="I1431">
        <v>60.55</v>
      </c>
      <c r="J1431">
        <v>1144.3900000000001</v>
      </c>
      <c r="K1431" t="s">
        <v>19</v>
      </c>
      <c r="L1431" t="b">
        <v>1</v>
      </c>
      <c r="M1431" s="3" t="s">
        <v>79</v>
      </c>
    </row>
    <row r="1432" spans="1:13" ht="34" x14ac:dyDescent="0.2">
      <c r="A1432" t="s">
        <v>1834</v>
      </c>
      <c r="B1432" t="s">
        <v>753</v>
      </c>
      <c r="C1432" t="s">
        <v>380</v>
      </c>
      <c r="D1432" s="1">
        <v>45056</v>
      </c>
      <c r="E1432" s="6" t="s">
        <v>23</v>
      </c>
      <c r="F1432" t="s">
        <v>90</v>
      </c>
      <c r="G1432" s="3" t="s">
        <v>91</v>
      </c>
      <c r="H1432">
        <v>7.2</v>
      </c>
      <c r="I1432">
        <v>31.87</v>
      </c>
      <c r="J1432">
        <v>229.45</v>
      </c>
      <c r="K1432" t="s">
        <v>32</v>
      </c>
      <c r="L1432" t="b">
        <v>0</v>
      </c>
    </row>
    <row r="1433" spans="1:13" ht="34" x14ac:dyDescent="0.2">
      <c r="A1433" t="s">
        <v>1835</v>
      </c>
      <c r="B1433" t="s">
        <v>586</v>
      </c>
      <c r="C1433" t="s">
        <v>332</v>
      </c>
      <c r="D1433" s="1">
        <v>45468</v>
      </c>
      <c r="E1433" s="6" t="s">
        <v>16</v>
      </c>
      <c r="F1433" t="s">
        <v>24</v>
      </c>
      <c r="G1433" s="3" t="s">
        <v>25</v>
      </c>
      <c r="H1433">
        <v>5.2</v>
      </c>
      <c r="I1433">
        <v>27.24</v>
      </c>
      <c r="J1433">
        <v>141.66</v>
      </c>
      <c r="K1433" t="s">
        <v>19</v>
      </c>
      <c r="L1433" t="b">
        <v>0</v>
      </c>
    </row>
    <row r="1434" spans="1:13" ht="34" x14ac:dyDescent="0.2">
      <c r="A1434" t="s">
        <v>1836</v>
      </c>
      <c r="B1434" t="s">
        <v>1398</v>
      </c>
      <c r="C1434" t="s">
        <v>29</v>
      </c>
      <c r="D1434" s="1">
        <v>45648</v>
      </c>
      <c r="E1434" s="6" t="s">
        <v>78</v>
      </c>
      <c r="F1434" t="s">
        <v>61</v>
      </c>
      <c r="G1434" s="3" t="s">
        <v>62</v>
      </c>
      <c r="H1434">
        <v>5.4</v>
      </c>
      <c r="I1434">
        <v>79.08</v>
      </c>
      <c r="J1434">
        <v>427.06</v>
      </c>
      <c r="K1434" t="s">
        <v>26</v>
      </c>
      <c r="L1434" t="b">
        <v>0</v>
      </c>
    </row>
    <row r="1435" spans="1:13" ht="34" x14ac:dyDescent="0.2">
      <c r="A1435" t="s">
        <v>1837</v>
      </c>
      <c r="B1435" t="s">
        <v>223</v>
      </c>
      <c r="C1435" t="s">
        <v>29</v>
      </c>
      <c r="D1435" s="1">
        <v>45178</v>
      </c>
      <c r="E1435" s="6" t="s">
        <v>78</v>
      </c>
      <c r="F1435" t="s">
        <v>24</v>
      </c>
      <c r="G1435" s="3" t="s">
        <v>25</v>
      </c>
      <c r="H1435">
        <v>6.2</v>
      </c>
      <c r="I1435">
        <v>60.28</v>
      </c>
      <c r="J1435">
        <v>373.73</v>
      </c>
      <c r="K1435" t="s">
        <v>36</v>
      </c>
      <c r="L1435" t="b">
        <v>0</v>
      </c>
    </row>
    <row r="1436" spans="1:13" ht="34" x14ac:dyDescent="0.2">
      <c r="A1436" t="s">
        <v>1838</v>
      </c>
      <c r="B1436" t="s">
        <v>695</v>
      </c>
      <c r="C1436" t="s">
        <v>49</v>
      </c>
      <c r="D1436" s="1">
        <v>45368</v>
      </c>
      <c r="E1436" s="6" t="s">
        <v>44</v>
      </c>
      <c r="F1436" t="s">
        <v>61</v>
      </c>
      <c r="G1436" s="3" t="s">
        <v>62</v>
      </c>
      <c r="H1436">
        <v>5.4</v>
      </c>
      <c r="I1436">
        <v>44.35</v>
      </c>
      <c r="J1436">
        <v>239.46</v>
      </c>
      <c r="K1436" t="s">
        <v>26</v>
      </c>
      <c r="L1436" t="b">
        <v>1</v>
      </c>
      <c r="M1436" s="3" t="s">
        <v>102</v>
      </c>
    </row>
    <row r="1437" spans="1:13" ht="17" x14ac:dyDescent="0.2">
      <c r="A1437" t="s">
        <v>1839</v>
      </c>
      <c r="B1437" t="s">
        <v>163</v>
      </c>
      <c r="C1437" t="s">
        <v>391</v>
      </c>
      <c r="D1437" s="1">
        <v>44958</v>
      </c>
      <c r="E1437" s="6" t="s">
        <v>78</v>
      </c>
      <c r="F1437" t="s">
        <v>17</v>
      </c>
      <c r="G1437" s="3" t="s">
        <v>18</v>
      </c>
      <c r="H1437">
        <v>2.6</v>
      </c>
      <c r="I1437">
        <v>65.510000000000005</v>
      </c>
      <c r="J1437">
        <v>170.32</v>
      </c>
      <c r="K1437" t="s">
        <v>113</v>
      </c>
      <c r="L1437" t="b">
        <v>0</v>
      </c>
    </row>
    <row r="1438" spans="1:13" ht="17" x14ac:dyDescent="0.2">
      <c r="A1438" t="s">
        <v>1840</v>
      </c>
      <c r="B1438" t="s">
        <v>724</v>
      </c>
      <c r="C1438" t="s">
        <v>22</v>
      </c>
      <c r="D1438" s="1">
        <v>44948</v>
      </c>
      <c r="E1438" s="6" t="s">
        <v>78</v>
      </c>
      <c r="F1438" t="s">
        <v>17</v>
      </c>
      <c r="G1438" s="3" t="s">
        <v>18</v>
      </c>
      <c r="H1438">
        <v>5</v>
      </c>
      <c r="I1438">
        <v>70.89</v>
      </c>
      <c r="J1438">
        <v>354.47</v>
      </c>
      <c r="K1438" t="s">
        <v>92</v>
      </c>
      <c r="L1438" t="b">
        <v>0</v>
      </c>
    </row>
    <row r="1439" spans="1:13" ht="68" x14ac:dyDescent="0.2">
      <c r="A1439" t="s">
        <v>1841</v>
      </c>
      <c r="B1439" t="s">
        <v>617</v>
      </c>
      <c r="C1439" t="s">
        <v>88</v>
      </c>
      <c r="D1439" s="1">
        <v>45391</v>
      </c>
      <c r="E1439" s="6" t="s">
        <v>60</v>
      </c>
      <c r="F1439" t="s">
        <v>50</v>
      </c>
      <c r="G1439" s="3" t="s">
        <v>51</v>
      </c>
      <c r="H1439">
        <v>5.7</v>
      </c>
      <c r="I1439">
        <v>46.8</v>
      </c>
      <c r="J1439">
        <v>266.76</v>
      </c>
      <c r="K1439" t="s">
        <v>82</v>
      </c>
      <c r="L1439" t="b">
        <v>0</v>
      </c>
    </row>
    <row r="1440" spans="1:13" ht="34" x14ac:dyDescent="0.2">
      <c r="A1440" t="s">
        <v>1842</v>
      </c>
      <c r="B1440" t="s">
        <v>229</v>
      </c>
      <c r="C1440" t="s">
        <v>88</v>
      </c>
      <c r="D1440" s="1">
        <v>44948</v>
      </c>
      <c r="E1440" s="6" t="s">
        <v>44</v>
      </c>
      <c r="F1440" t="s">
        <v>30</v>
      </c>
      <c r="G1440" s="3" t="s">
        <v>31</v>
      </c>
      <c r="H1440">
        <v>33</v>
      </c>
      <c r="I1440">
        <v>75.84</v>
      </c>
      <c r="J1440">
        <v>2500</v>
      </c>
      <c r="K1440" t="s">
        <v>96</v>
      </c>
      <c r="L1440" t="b">
        <v>1</v>
      </c>
      <c r="M1440" s="3" t="s">
        <v>40</v>
      </c>
    </row>
    <row r="1441" spans="1:13" ht="17" x14ac:dyDescent="0.2">
      <c r="A1441" t="s">
        <v>1843</v>
      </c>
      <c r="B1441" t="s">
        <v>410</v>
      </c>
      <c r="C1441" t="s">
        <v>380</v>
      </c>
      <c r="D1441" s="1">
        <v>45413</v>
      </c>
      <c r="E1441" s="6" t="s">
        <v>89</v>
      </c>
      <c r="F1441" t="s">
        <v>30</v>
      </c>
      <c r="G1441" s="3" t="s">
        <v>31</v>
      </c>
      <c r="H1441">
        <v>3.7</v>
      </c>
      <c r="I1441">
        <v>27.85</v>
      </c>
      <c r="J1441">
        <v>103.05</v>
      </c>
      <c r="K1441" t="s">
        <v>96</v>
      </c>
      <c r="L1441" t="b">
        <v>0</v>
      </c>
    </row>
    <row r="1442" spans="1:13" ht="34" x14ac:dyDescent="0.2">
      <c r="A1442" t="s">
        <v>1844</v>
      </c>
      <c r="B1442" t="s">
        <v>750</v>
      </c>
      <c r="C1442" t="s">
        <v>353</v>
      </c>
      <c r="D1442" s="1">
        <v>45391</v>
      </c>
      <c r="E1442" s="6" t="s">
        <v>44</v>
      </c>
      <c r="F1442" t="s">
        <v>61</v>
      </c>
      <c r="G1442" s="3" t="s">
        <v>62</v>
      </c>
      <c r="H1442">
        <v>6.8</v>
      </c>
      <c r="I1442">
        <v>62.47</v>
      </c>
      <c r="J1442">
        <v>424.83</v>
      </c>
      <c r="K1442" t="s">
        <v>92</v>
      </c>
      <c r="L1442" t="b">
        <v>0</v>
      </c>
    </row>
    <row r="1443" spans="1:13" ht="34" x14ac:dyDescent="0.2">
      <c r="A1443" t="s">
        <v>1845</v>
      </c>
      <c r="B1443" t="s">
        <v>193</v>
      </c>
      <c r="C1443" t="s">
        <v>39</v>
      </c>
      <c r="D1443" s="1">
        <v>45316</v>
      </c>
      <c r="E1443" s="6" t="s">
        <v>89</v>
      </c>
      <c r="F1443" t="s">
        <v>90</v>
      </c>
      <c r="G1443" s="3" t="s">
        <v>91</v>
      </c>
      <c r="H1443">
        <v>5.6</v>
      </c>
      <c r="I1443">
        <v>41.4</v>
      </c>
      <c r="J1443">
        <v>231.85</v>
      </c>
      <c r="K1443" t="s">
        <v>113</v>
      </c>
      <c r="L1443" t="b">
        <v>0</v>
      </c>
    </row>
    <row r="1444" spans="1:13" ht="17" x14ac:dyDescent="0.2">
      <c r="A1444" t="s">
        <v>1846</v>
      </c>
      <c r="B1444" t="s">
        <v>659</v>
      </c>
      <c r="C1444" t="s">
        <v>350</v>
      </c>
      <c r="D1444" s="1">
        <v>45458</v>
      </c>
      <c r="E1444" s="6" t="s">
        <v>44</v>
      </c>
      <c r="F1444" t="s">
        <v>17</v>
      </c>
      <c r="G1444" s="3" t="s">
        <v>18</v>
      </c>
      <c r="H1444">
        <v>4.5999999999999996</v>
      </c>
      <c r="I1444">
        <v>45.84</v>
      </c>
      <c r="J1444">
        <v>210.86</v>
      </c>
      <c r="K1444" t="s">
        <v>92</v>
      </c>
      <c r="L1444" t="b">
        <v>0</v>
      </c>
    </row>
    <row r="1445" spans="1:13" ht="34" x14ac:dyDescent="0.2">
      <c r="A1445" t="s">
        <v>1847</v>
      </c>
      <c r="B1445" t="s">
        <v>390</v>
      </c>
      <c r="C1445" t="s">
        <v>119</v>
      </c>
      <c r="D1445" s="1">
        <v>45101</v>
      </c>
      <c r="E1445" s="6" t="s">
        <v>16</v>
      </c>
      <c r="F1445" t="s">
        <v>45</v>
      </c>
      <c r="G1445" s="3" t="s">
        <v>46</v>
      </c>
      <c r="H1445">
        <v>5</v>
      </c>
      <c r="I1445">
        <v>42.99</v>
      </c>
      <c r="J1445">
        <v>214.97</v>
      </c>
      <c r="K1445" t="s">
        <v>96</v>
      </c>
      <c r="L1445" t="b">
        <v>0</v>
      </c>
    </row>
    <row r="1446" spans="1:13" ht="34" x14ac:dyDescent="0.2">
      <c r="A1446" t="s">
        <v>1848</v>
      </c>
      <c r="B1446" t="s">
        <v>168</v>
      </c>
      <c r="C1446" t="s">
        <v>88</v>
      </c>
      <c r="D1446" s="1">
        <v>45579</v>
      </c>
      <c r="E1446" s="6" t="s">
        <v>89</v>
      </c>
      <c r="F1446" t="s">
        <v>54</v>
      </c>
      <c r="G1446" s="3" t="s">
        <v>55</v>
      </c>
      <c r="H1446">
        <v>3.2</v>
      </c>
      <c r="I1446">
        <v>49.14</v>
      </c>
      <c r="J1446">
        <v>157.24</v>
      </c>
      <c r="K1446" t="s">
        <v>113</v>
      </c>
      <c r="L1446" t="b">
        <v>0</v>
      </c>
    </row>
    <row r="1447" spans="1:13" ht="17" x14ac:dyDescent="0.2">
      <c r="A1447" t="s">
        <v>1849</v>
      </c>
      <c r="B1447" t="s">
        <v>329</v>
      </c>
      <c r="C1447" t="s">
        <v>15</v>
      </c>
      <c r="D1447" s="1">
        <v>45048</v>
      </c>
      <c r="E1447" s="6" t="s">
        <v>44</v>
      </c>
      <c r="F1447" t="s">
        <v>17</v>
      </c>
      <c r="G1447" s="3" t="s">
        <v>18</v>
      </c>
      <c r="H1447">
        <v>6</v>
      </c>
      <c r="I1447">
        <v>57.85</v>
      </c>
      <c r="J1447">
        <v>347.12</v>
      </c>
      <c r="K1447" t="s">
        <v>26</v>
      </c>
      <c r="L1447" t="b">
        <v>0</v>
      </c>
    </row>
    <row r="1448" spans="1:13" ht="68" x14ac:dyDescent="0.2">
      <c r="A1448" t="s">
        <v>1850</v>
      </c>
      <c r="B1448" t="s">
        <v>624</v>
      </c>
      <c r="C1448" t="s">
        <v>370</v>
      </c>
      <c r="D1448" s="1">
        <v>45168</v>
      </c>
      <c r="E1448" s="6" t="s">
        <v>16</v>
      </c>
      <c r="F1448" t="s">
        <v>50</v>
      </c>
      <c r="G1448" s="3" t="s">
        <v>51</v>
      </c>
      <c r="H1448">
        <v>5.5</v>
      </c>
      <c r="I1448">
        <v>37.78</v>
      </c>
      <c r="J1448">
        <v>207.77</v>
      </c>
      <c r="K1448" t="s">
        <v>19</v>
      </c>
      <c r="L1448" t="b">
        <v>0</v>
      </c>
    </row>
    <row r="1449" spans="1:13" ht="17" x14ac:dyDescent="0.2">
      <c r="A1449" t="s">
        <v>1851</v>
      </c>
      <c r="B1449" t="s">
        <v>73</v>
      </c>
      <c r="C1449" t="s">
        <v>323</v>
      </c>
      <c r="D1449" s="1">
        <v>45059</v>
      </c>
      <c r="E1449" s="6" t="s">
        <v>89</v>
      </c>
      <c r="F1449" t="s">
        <v>17</v>
      </c>
      <c r="G1449" s="3" t="s">
        <v>18</v>
      </c>
      <c r="H1449">
        <v>20.9</v>
      </c>
      <c r="I1449">
        <v>63.28</v>
      </c>
      <c r="J1449">
        <v>1322.55</v>
      </c>
      <c r="K1449" t="s">
        <v>19</v>
      </c>
      <c r="L1449" t="b">
        <v>1</v>
      </c>
      <c r="M1449" s="3" t="s">
        <v>79</v>
      </c>
    </row>
    <row r="1450" spans="1:13" ht="34" x14ac:dyDescent="0.2">
      <c r="A1450" t="s">
        <v>1852</v>
      </c>
      <c r="B1450" t="s">
        <v>605</v>
      </c>
      <c r="C1450" t="s">
        <v>323</v>
      </c>
      <c r="D1450" s="1">
        <v>45254</v>
      </c>
      <c r="E1450" s="6" t="s">
        <v>44</v>
      </c>
      <c r="F1450" t="s">
        <v>61</v>
      </c>
      <c r="G1450" s="3" t="s">
        <v>62</v>
      </c>
      <c r="H1450">
        <v>23.6</v>
      </c>
      <c r="I1450">
        <v>68.599999999999994</v>
      </c>
      <c r="J1450">
        <v>1618.96</v>
      </c>
      <c r="K1450" t="s">
        <v>36</v>
      </c>
      <c r="L1450" t="b">
        <v>1</v>
      </c>
      <c r="M1450" s="3" t="s">
        <v>79</v>
      </c>
    </row>
    <row r="1451" spans="1:13" ht="17" x14ac:dyDescent="0.2">
      <c r="A1451" t="s">
        <v>1853</v>
      </c>
      <c r="B1451" t="s">
        <v>685</v>
      </c>
      <c r="C1451" t="s">
        <v>207</v>
      </c>
      <c r="D1451" s="1">
        <v>45481</v>
      </c>
      <c r="E1451" s="6" t="s">
        <v>23</v>
      </c>
      <c r="F1451" t="s">
        <v>30</v>
      </c>
      <c r="G1451" s="3" t="s">
        <v>31</v>
      </c>
      <c r="H1451">
        <v>4.2</v>
      </c>
      <c r="I1451">
        <v>33.86</v>
      </c>
      <c r="J1451">
        <v>142.22999999999999</v>
      </c>
      <c r="K1451" t="s">
        <v>92</v>
      </c>
      <c r="L1451" t="b">
        <v>0</v>
      </c>
    </row>
    <row r="1452" spans="1:13" ht="34" x14ac:dyDescent="0.2">
      <c r="A1452" t="s">
        <v>1854</v>
      </c>
      <c r="B1452" t="s">
        <v>1855</v>
      </c>
      <c r="C1452" t="s">
        <v>295</v>
      </c>
      <c r="D1452" s="1">
        <v>44999</v>
      </c>
      <c r="E1452" s="6" t="s">
        <v>44</v>
      </c>
      <c r="F1452" t="s">
        <v>45</v>
      </c>
      <c r="G1452" s="3" t="s">
        <v>46</v>
      </c>
      <c r="H1452">
        <v>7.1</v>
      </c>
      <c r="I1452">
        <v>49.62</v>
      </c>
      <c r="J1452">
        <v>352.27</v>
      </c>
      <c r="K1452" t="s">
        <v>96</v>
      </c>
      <c r="L1452" t="b">
        <v>0</v>
      </c>
    </row>
    <row r="1453" spans="1:13" ht="17" x14ac:dyDescent="0.2">
      <c r="A1453" t="s">
        <v>1856</v>
      </c>
      <c r="B1453" t="s">
        <v>1111</v>
      </c>
      <c r="C1453" t="s">
        <v>127</v>
      </c>
      <c r="D1453" s="1">
        <v>45540</v>
      </c>
      <c r="E1453" s="6" t="s">
        <v>78</v>
      </c>
      <c r="F1453" t="s">
        <v>30</v>
      </c>
      <c r="G1453" s="3" t="s">
        <v>31</v>
      </c>
      <c r="H1453">
        <v>7.1</v>
      </c>
      <c r="I1453">
        <v>41.02</v>
      </c>
      <c r="J1453">
        <v>291.20999999999998</v>
      </c>
      <c r="K1453" t="s">
        <v>36</v>
      </c>
      <c r="L1453" t="b">
        <v>0</v>
      </c>
    </row>
    <row r="1454" spans="1:13" ht="68" x14ac:dyDescent="0.2">
      <c r="A1454" t="s">
        <v>1857</v>
      </c>
      <c r="B1454" t="s">
        <v>549</v>
      </c>
      <c r="C1454" t="s">
        <v>186</v>
      </c>
      <c r="D1454" s="1">
        <v>45308</v>
      </c>
      <c r="E1454" s="6" t="s">
        <v>60</v>
      </c>
      <c r="F1454" t="s">
        <v>50</v>
      </c>
      <c r="G1454" s="3" t="s">
        <v>51</v>
      </c>
      <c r="H1454">
        <v>3.5</v>
      </c>
      <c r="I1454">
        <v>61.07</v>
      </c>
      <c r="J1454">
        <v>213.76</v>
      </c>
      <c r="K1454" t="s">
        <v>36</v>
      </c>
      <c r="L1454" t="b">
        <v>0</v>
      </c>
    </row>
    <row r="1455" spans="1:13" ht="17" x14ac:dyDescent="0.2">
      <c r="A1455" t="s">
        <v>1858</v>
      </c>
      <c r="B1455" t="s">
        <v>410</v>
      </c>
      <c r="C1455" t="s">
        <v>211</v>
      </c>
      <c r="D1455" s="1">
        <v>45521</v>
      </c>
      <c r="E1455" s="6" t="s">
        <v>23</v>
      </c>
      <c r="F1455" t="s">
        <v>30</v>
      </c>
      <c r="G1455" s="3" t="s">
        <v>31</v>
      </c>
      <c r="H1455">
        <v>2.7</v>
      </c>
      <c r="I1455">
        <v>36.51</v>
      </c>
      <c r="J1455">
        <v>98.59</v>
      </c>
      <c r="K1455" t="s">
        <v>96</v>
      </c>
      <c r="L1455" t="b">
        <v>0</v>
      </c>
    </row>
    <row r="1456" spans="1:13" ht="34" x14ac:dyDescent="0.2">
      <c r="A1456" t="s">
        <v>1859</v>
      </c>
      <c r="B1456" t="s">
        <v>177</v>
      </c>
      <c r="C1456" t="s">
        <v>450</v>
      </c>
      <c r="D1456" s="1">
        <v>45105</v>
      </c>
      <c r="E1456" s="6" t="s">
        <v>60</v>
      </c>
      <c r="F1456" t="s">
        <v>45</v>
      </c>
      <c r="G1456" s="3" t="s">
        <v>46</v>
      </c>
      <c r="H1456">
        <v>4.8</v>
      </c>
      <c r="I1456">
        <v>58.59</v>
      </c>
      <c r="J1456">
        <v>281.23</v>
      </c>
      <c r="K1456" t="s">
        <v>19</v>
      </c>
      <c r="L1456" t="b">
        <v>0</v>
      </c>
    </row>
    <row r="1457" spans="1:13" ht="34" x14ac:dyDescent="0.2">
      <c r="A1457" t="s">
        <v>1860</v>
      </c>
      <c r="B1457" t="s">
        <v>225</v>
      </c>
      <c r="C1457" t="s">
        <v>127</v>
      </c>
      <c r="D1457" s="1">
        <v>45620</v>
      </c>
      <c r="E1457" s="6" t="s">
        <v>23</v>
      </c>
      <c r="F1457" t="s">
        <v>61</v>
      </c>
      <c r="G1457" s="3" t="s">
        <v>62</v>
      </c>
      <c r="H1457">
        <v>5.9</v>
      </c>
      <c r="I1457">
        <v>27.22</v>
      </c>
      <c r="J1457">
        <v>160.6</v>
      </c>
      <c r="K1457" t="s">
        <v>36</v>
      </c>
      <c r="L1457" t="b">
        <v>0</v>
      </c>
    </row>
    <row r="1458" spans="1:13" ht="34" x14ac:dyDescent="0.2">
      <c r="A1458" t="s">
        <v>1861</v>
      </c>
      <c r="B1458" t="s">
        <v>28</v>
      </c>
      <c r="C1458" t="s">
        <v>88</v>
      </c>
      <c r="D1458" s="1">
        <v>45366</v>
      </c>
      <c r="E1458" s="6" t="s">
        <v>78</v>
      </c>
      <c r="F1458" t="s">
        <v>45</v>
      </c>
      <c r="G1458" s="3" t="s">
        <v>46</v>
      </c>
      <c r="H1458">
        <v>2.8</v>
      </c>
      <c r="I1458">
        <v>40.5</v>
      </c>
      <c r="J1458">
        <v>113.41</v>
      </c>
      <c r="K1458" t="s">
        <v>32</v>
      </c>
      <c r="L1458" t="b">
        <v>0</v>
      </c>
    </row>
    <row r="1459" spans="1:13" ht="68" x14ac:dyDescent="0.2">
      <c r="A1459" t="s">
        <v>1862</v>
      </c>
      <c r="B1459" t="s">
        <v>652</v>
      </c>
      <c r="C1459" t="s">
        <v>380</v>
      </c>
      <c r="D1459" s="1">
        <v>45441</v>
      </c>
      <c r="E1459" s="6" t="s">
        <v>16</v>
      </c>
      <c r="F1459" t="s">
        <v>50</v>
      </c>
      <c r="G1459" s="3" t="s">
        <v>51</v>
      </c>
      <c r="H1459">
        <v>5.9</v>
      </c>
      <c r="I1459">
        <v>27.53</v>
      </c>
      <c r="J1459">
        <v>162.44999999999999</v>
      </c>
      <c r="K1459" t="s">
        <v>82</v>
      </c>
      <c r="L1459" t="b">
        <v>0</v>
      </c>
    </row>
    <row r="1460" spans="1:13" ht="17" x14ac:dyDescent="0.2">
      <c r="A1460" t="s">
        <v>1863</v>
      </c>
      <c r="B1460" t="s">
        <v>802</v>
      </c>
      <c r="C1460" t="s">
        <v>365</v>
      </c>
      <c r="D1460" s="1">
        <v>45470</v>
      </c>
      <c r="E1460" s="6" t="s">
        <v>44</v>
      </c>
      <c r="F1460" t="s">
        <v>17</v>
      </c>
      <c r="G1460" s="3" t="s">
        <v>18</v>
      </c>
      <c r="H1460">
        <v>6.7</v>
      </c>
      <c r="I1460">
        <v>28.32</v>
      </c>
      <c r="J1460">
        <v>189.74</v>
      </c>
      <c r="K1460" t="s">
        <v>26</v>
      </c>
      <c r="L1460" t="b">
        <v>0</v>
      </c>
    </row>
    <row r="1461" spans="1:13" ht="34" x14ac:dyDescent="0.2">
      <c r="A1461" t="s">
        <v>1864</v>
      </c>
      <c r="B1461" t="s">
        <v>306</v>
      </c>
      <c r="C1461" t="s">
        <v>186</v>
      </c>
      <c r="D1461" s="1">
        <v>45370</v>
      </c>
      <c r="E1461" s="6" t="s">
        <v>60</v>
      </c>
      <c r="F1461" t="s">
        <v>54</v>
      </c>
      <c r="G1461" s="3" t="s">
        <v>55</v>
      </c>
      <c r="H1461">
        <v>5.6</v>
      </c>
      <c r="I1461">
        <v>77.03</v>
      </c>
      <c r="J1461">
        <v>431.37</v>
      </c>
      <c r="K1461" t="s">
        <v>82</v>
      </c>
      <c r="L1461" t="b">
        <v>0</v>
      </c>
    </row>
    <row r="1462" spans="1:13" ht="34" x14ac:dyDescent="0.2">
      <c r="A1462" t="s">
        <v>1865</v>
      </c>
      <c r="B1462" t="s">
        <v>406</v>
      </c>
      <c r="C1462" t="s">
        <v>196</v>
      </c>
      <c r="D1462" s="1">
        <v>45604</v>
      </c>
      <c r="E1462" s="6" t="s">
        <v>60</v>
      </c>
      <c r="F1462" t="s">
        <v>54</v>
      </c>
      <c r="G1462" s="3" t="s">
        <v>55</v>
      </c>
      <c r="H1462">
        <v>19</v>
      </c>
      <c r="I1462">
        <v>78.14</v>
      </c>
      <c r="J1462">
        <v>1484.66</v>
      </c>
      <c r="K1462" t="s">
        <v>82</v>
      </c>
      <c r="L1462" t="b">
        <v>1</v>
      </c>
      <c r="M1462" s="3" t="s">
        <v>79</v>
      </c>
    </row>
    <row r="1463" spans="1:13" ht="68" x14ac:dyDescent="0.2">
      <c r="A1463" t="s">
        <v>1866</v>
      </c>
      <c r="B1463" t="s">
        <v>304</v>
      </c>
      <c r="C1463" t="s">
        <v>68</v>
      </c>
      <c r="D1463" s="1">
        <v>45505</v>
      </c>
      <c r="E1463" s="6" t="s">
        <v>89</v>
      </c>
      <c r="F1463" t="s">
        <v>50</v>
      </c>
      <c r="G1463" s="3" t="s">
        <v>51</v>
      </c>
      <c r="H1463">
        <v>3.4</v>
      </c>
      <c r="I1463">
        <v>59.26</v>
      </c>
      <c r="J1463">
        <v>201.48</v>
      </c>
      <c r="K1463" t="s">
        <v>92</v>
      </c>
      <c r="L1463" t="b">
        <v>0</v>
      </c>
    </row>
    <row r="1464" spans="1:13" ht="34" x14ac:dyDescent="0.2">
      <c r="A1464" t="s">
        <v>1867</v>
      </c>
      <c r="B1464" t="s">
        <v>236</v>
      </c>
      <c r="C1464" t="s">
        <v>499</v>
      </c>
      <c r="D1464" s="1">
        <v>45339</v>
      </c>
      <c r="E1464" s="6" t="s">
        <v>89</v>
      </c>
      <c r="F1464" t="s">
        <v>90</v>
      </c>
      <c r="G1464" s="3" t="s">
        <v>91</v>
      </c>
      <c r="H1464">
        <v>20.7</v>
      </c>
      <c r="I1464">
        <v>74.739999999999995</v>
      </c>
      <c r="J1464">
        <v>1547.12</v>
      </c>
      <c r="K1464" t="s">
        <v>19</v>
      </c>
      <c r="L1464" t="b">
        <v>1</v>
      </c>
      <c r="M1464" s="3" t="s">
        <v>79</v>
      </c>
    </row>
    <row r="1465" spans="1:13" ht="34" x14ac:dyDescent="0.2">
      <c r="A1465" t="s">
        <v>1868</v>
      </c>
      <c r="B1465" t="s">
        <v>1869</v>
      </c>
      <c r="C1465" t="s">
        <v>268</v>
      </c>
      <c r="D1465" s="1">
        <v>45550</v>
      </c>
      <c r="E1465" s="6" t="s">
        <v>89</v>
      </c>
      <c r="F1465" t="s">
        <v>45</v>
      </c>
      <c r="G1465" s="3" t="s">
        <v>46</v>
      </c>
      <c r="H1465">
        <v>5</v>
      </c>
      <c r="I1465">
        <v>30.41</v>
      </c>
      <c r="J1465">
        <v>152.07</v>
      </c>
      <c r="K1465" t="s">
        <v>56</v>
      </c>
      <c r="L1465" t="b">
        <v>1</v>
      </c>
      <c r="M1465" s="3" t="s">
        <v>102</v>
      </c>
    </row>
    <row r="1466" spans="1:13" ht="34" x14ac:dyDescent="0.2">
      <c r="A1466" t="s">
        <v>1870</v>
      </c>
      <c r="B1466" t="s">
        <v>298</v>
      </c>
      <c r="C1466" t="s">
        <v>35</v>
      </c>
      <c r="D1466" s="1">
        <v>44930</v>
      </c>
      <c r="E1466" s="6" t="s">
        <v>89</v>
      </c>
      <c r="F1466" t="s">
        <v>90</v>
      </c>
      <c r="G1466" s="3" t="s">
        <v>91</v>
      </c>
      <c r="H1466">
        <v>6.6</v>
      </c>
      <c r="I1466">
        <v>43.8</v>
      </c>
      <c r="J1466">
        <v>289.11</v>
      </c>
      <c r="K1466" t="s">
        <v>92</v>
      </c>
      <c r="L1466" t="b">
        <v>0</v>
      </c>
    </row>
    <row r="1467" spans="1:13" ht="34" x14ac:dyDescent="0.2">
      <c r="A1467" t="s">
        <v>1871</v>
      </c>
      <c r="B1467" t="s">
        <v>155</v>
      </c>
      <c r="C1467" t="s">
        <v>39</v>
      </c>
      <c r="D1467" s="1">
        <v>45314</v>
      </c>
      <c r="E1467" s="6" t="s">
        <v>60</v>
      </c>
      <c r="F1467" t="s">
        <v>61</v>
      </c>
      <c r="G1467" s="3" t="s">
        <v>62</v>
      </c>
      <c r="H1467">
        <v>6.8</v>
      </c>
      <c r="I1467">
        <v>69.64</v>
      </c>
      <c r="J1467">
        <v>473.54</v>
      </c>
      <c r="K1467" t="s">
        <v>113</v>
      </c>
      <c r="L1467" t="b">
        <v>0</v>
      </c>
    </row>
    <row r="1468" spans="1:13" ht="17" x14ac:dyDescent="0.2">
      <c r="A1468" t="s">
        <v>1872</v>
      </c>
      <c r="B1468" t="s">
        <v>472</v>
      </c>
      <c r="C1468" t="s">
        <v>110</v>
      </c>
      <c r="D1468" s="1">
        <v>45553</v>
      </c>
      <c r="E1468" s="6" t="s">
        <v>78</v>
      </c>
      <c r="F1468" t="s">
        <v>30</v>
      </c>
      <c r="G1468" s="3" t="s">
        <v>31</v>
      </c>
      <c r="H1468">
        <v>2.9</v>
      </c>
      <c r="I1468">
        <v>35.51</v>
      </c>
      <c r="J1468">
        <v>102.98</v>
      </c>
      <c r="K1468" t="s">
        <v>92</v>
      </c>
      <c r="L1468" t="b">
        <v>0</v>
      </c>
    </row>
    <row r="1469" spans="1:13" ht="17" x14ac:dyDescent="0.2">
      <c r="A1469" t="s">
        <v>1873</v>
      </c>
      <c r="B1469" t="s">
        <v>669</v>
      </c>
      <c r="C1469" t="s">
        <v>148</v>
      </c>
      <c r="D1469" s="1">
        <v>45565</v>
      </c>
      <c r="E1469" s="6" t="s">
        <v>44</v>
      </c>
      <c r="F1469" t="s">
        <v>17</v>
      </c>
      <c r="G1469" s="3" t="s">
        <v>18</v>
      </c>
      <c r="H1469">
        <v>4.5</v>
      </c>
      <c r="I1469">
        <v>76.77</v>
      </c>
      <c r="J1469">
        <v>345.48</v>
      </c>
      <c r="K1469" t="s">
        <v>36</v>
      </c>
      <c r="L1469" t="b">
        <v>0</v>
      </c>
    </row>
    <row r="1470" spans="1:13" ht="17" x14ac:dyDescent="0.2">
      <c r="A1470" t="s">
        <v>1874</v>
      </c>
      <c r="B1470" t="s">
        <v>598</v>
      </c>
      <c r="C1470" t="s">
        <v>178</v>
      </c>
      <c r="D1470" s="1">
        <v>45505</v>
      </c>
      <c r="E1470" s="6" t="s">
        <v>44</v>
      </c>
      <c r="F1470" t="s">
        <v>17</v>
      </c>
      <c r="G1470" s="3" t="s">
        <v>18</v>
      </c>
      <c r="H1470">
        <v>5.2</v>
      </c>
      <c r="I1470">
        <v>66.98</v>
      </c>
      <c r="J1470">
        <v>348.28</v>
      </c>
      <c r="K1470" t="s">
        <v>19</v>
      </c>
      <c r="L1470" t="b">
        <v>0</v>
      </c>
    </row>
    <row r="1471" spans="1:13" ht="34" x14ac:dyDescent="0.2">
      <c r="A1471" t="s">
        <v>1875</v>
      </c>
      <c r="B1471" t="s">
        <v>931</v>
      </c>
      <c r="C1471" t="s">
        <v>95</v>
      </c>
      <c r="D1471" s="1">
        <v>44976</v>
      </c>
      <c r="E1471" s="6" t="s">
        <v>23</v>
      </c>
      <c r="F1471" t="s">
        <v>54</v>
      </c>
      <c r="G1471" s="3" t="s">
        <v>55</v>
      </c>
      <c r="H1471">
        <v>5.3</v>
      </c>
      <c r="I1471">
        <v>53.49</v>
      </c>
      <c r="J1471">
        <v>283.5</v>
      </c>
      <c r="K1471" t="s">
        <v>92</v>
      </c>
      <c r="L1471" t="b">
        <v>0</v>
      </c>
    </row>
    <row r="1472" spans="1:13" ht="34" x14ac:dyDescent="0.2">
      <c r="A1472" t="s">
        <v>1876</v>
      </c>
      <c r="B1472" t="s">
        <v>539</v>
      </c>
      <c r="C1472" t="s">
        <v>119</v>
      </c>
      <c r="D1472" s="1">
        <v>45157</v>
      </c>
      <c r="E1472" s="6" t="s">
        <v>78</v>
      </c>
      <c r="F1472" t="s">
        <v>45</v>
      </c>
      <c r="G1472" s="3" t="s">
        <v>46</v>
      </c>
      <c r="H1472">
        <v>7.3</v>
      </c>
      <c r="I1472">
        <v>81.22</v>
      </c>
      <c r="J1472">
        <v>592.89</v>
      </c>
      <c r="K1472" t="s">
        <v>82</v>
      </c>
      <c r="L1472" t="b">
        <v>0</v>
      </c>
    </row>
    <row r="1473" spans="1:13" ht="17" x14ac:dyDescent="0.2">
      <c r="A1473" t="s">
        <v>1877</v>
      </c>
      <c r="B1473" t="s">
        <v>582</v>
      </c>
      <c r="C1473" t="s">
        <v>159</v>
      </c>
      <c r="D1473" s="1">
        <v>45538</v>
      </c>
      <c r="E1473" s="6" t="s">
        <v>44</v>
      </c>
      <c r="F1473" t="s">
        <v>17</v>
      </c>
      <c r="G1473" s="3" t="s">
        <v>18</v>
      </c>
      <c r="H1473">
        <v>17.8</v>
      </c>
      <c r="I1473">
        <v>74.28</v>
      </c>
      <c r="J1473">
        <v>1322.18</v>
      </c>
      <c r="K1473" t="s">
        <v>36</v>
      </c>
      <c r="L1473" t="b">
        <v>1</v>
      </c>
      <c r="M1473" s="3" t="s">
        <v>79</v>
      </c>
    </row>
    <row r="1474" spans="1:13" ht="34" x14ac:dyDescent="0.2">
      <c r="A1474" t="s">
        <v>1878</v>
      </c>
      <c r="B1474" t="s">
        <v>736</v>
      </c>
      <c r="C1474" t="s">
        <v>293</v>
      </c>
      <c r="D1474" s="1">
        <v>45516</v>
      </c>
      <c r="E1474" s="6" t="s">
        <v>44</v>
      </c>
      <c r="F1474" t="s">
        <v>24</v>
      </c>
      <c r="G1474" s="3" t="s">
        <v>25</v>
      </c>
      <c r="H1474">
        <v>7</v>
      </c>
      <c r="I1474">
        <v>64.73</v>
      </c>
      <c r="J1474">
        <v>453.13</v>
      </c>
      <c r="K1474" t="s">
        <v>96</v>
      </c>
      <c r="L1474" t="b">
        <v>0</v>
      </c>
    </row>
    <row r="1475" spans="1:13" ht="17" x14ac:dyDescent="0.2">
      <c r="A1475" t="s">
        <v>1879</v>
      </c>
      <c r="B1475" t="s">
        <v>216</v>
      </c>
      <c r="C1475" t="s">
        <v>274</v>
      </c>
      <c r="D1475" s="1">
        <v>45546</v>
      </c>
      <c r="E1475" s="6" t="s">
        <v>16</v>
      </c>
      <c r="F1475" t="s">
        <v>30</v>
      </c>
      <c r="G1475" s="3" t="s">
        <v>31</v>
      </c>
      <c r="H1475">
        <v>3.5</v>
      </c>
      <c r="I1475">
        <v>48.08</v>
      </c>
      <c r="J1475">
        <v>168.28</v>
      </c>
      <c r="K1475" t="s">
        <v>92</v>
      </c>
      <c r="L1475" t="b">
        <v>0</v>
      </c>
    </row>
    <row r="1476" spans="1:13" ht="34" x14ac:dyDescent="0.2">
      <c r="A1476" t="s">
        <v>1880</v>
      </c>
      <c r="B1476" t="s">
        <v>991</v>
      </c>
      <c r="C1476" t="s">
        <v>266</v>
      </c>
      <c r="D1476" s="1">
        <v>45470</v>
      </c>
      <c r="E1476" s="6" t="s">
        <v>89</v>
      </c>
      <c r="F1476" t="s">
        <v>54</v>
      </c>
      <c r="G1476" s="3" t="s">
        <v>55</v>
      </c>
      <c r="H1476">
        <v>7.4</v>
      </c>
      <c r="I1476">
        <v>66.11</v>
      </c>
      <c r="J1476">
        <v>489.25</v>
      </c>
      <c r="K1476" t="s">
        <v>82</v>
      </c>
      <c r="L1476" t="b">
        <v>0</v>
      </c>
    </row>
    <row r="1477" spans="1:13" ht="17" x14ac:dyDescent="0.2">
      <c r="A1477" t="s">
        <v>1881</v>
      </c>
      <c r="B1477" t="s">
        <v>229</v>
      </c>
      <c r="C1477" t="s">
        <v>119</v>
      </c>
      <c r="D1477" s="1">
        <v>45120</v>
      </c>
      <c r="E1477" s="6" t="s">
        <v>60</v>
      </c>
      <c r="F1477" t="s">
        <v>30</v>
      </c>
      <c r="G1477" s="3" t="s">
        <v>31</v>
      </c>
      <c r="H1477">
        <v>7.1</v>
      </c>
      <c r="I1477">
        <v>48.31</v>
      </c>
      <c r="J1477">
        <v>342.99</v>
      </c>
      <c r="K1477" t="s">
        <v>96</v>
      </c>
      <c r="L1477" t="b">
        <v>0</v>
      </c>
    </row>
    <row r="1478" spans="1:13" ht="34" x14ac:dyDescent="0.2">
      <c r="A1478" t="s">
        <v>1882</v>
      </c>
      <c r="B1478" t="s">
        <v>255</v>
      </c>
      <c r="C1478" t="s">
        <v>124</v>
      </c>
      <c r="D1478" s="1">
        <v>45089</v>
      </c>
      <c r="E1478" s="6" t="s">
        <v>23</v>
      </c>
      <c r="F1478" t="s">
        <v>45</v>
      </c>
      <c r="G1478" s="3" t="s">
        <v>46</v>
      </c>
      <c r="H1478">
        <v>3.8</v>
      </c>
      <c r="I1478">
        <v>81.180000000000007</v>
      </c>
      <c r="J1478">
        <v>308.48</v>
      </c>
      <c r="K1478" t="s">
        <v>92</v>
      </c>
      <c r="L1478" t="b">
        <v>0</v>
      </c>
    </row>
    <row r="1479" spans="1:13" ht="34" x14ac:dyDescent="0.2">
      <c r="A1479" t="s">
        <v>1883</v>
      </c>
      <c r="B1479" t="s">
        <v>1075</v>
      </c>
      <c r="C1479" t="s">
        <v>189</v>
      </c>
      <c r="D1479" s="1">
        <v>45369</v>
      </c>
      <c r="E1479" s="6" t="s">
        <v>60</v>
      </c>
      <c r="F1479" t="s">
        <v>45</v>
      </c>
      <c r="G1479" s="3" t="s">
        <v>46</v>
      </c>
      <c r="H1479">
        <v>3.3</v>
      </c>
      <c r="I1479">
        <v>78.41</v>
      </c>
      <c r="J1479">
        <v>258.77</v>
      </c>
      <c r="K1479" t="s">
        <v>92</v>
      </c>
      <c r="L1479" t="b">
        <v>0</v>
      </c>
    </row>
    <row r="1480" spans="1:13" ht="34" x14ac:dyDescent="0.2">
      <c r="A1480" t="s">
        <v>1884</v>
      </c>
      <c r="B1480" t="s">
        <v>842</v>
      </c>
      <c r="C1480" t="s">
        <v>59</v>
      </c>
      <c r="D1480" s="1">
        <v>45086</v>
      </c>
      <c r="E1480" s="6" t="s">
        <v>60</v>
      </c>
      <c r="F1480" t="s">
        <v>54</v>
      </c>
      <c r="G1480" s="3" t="s">
        <v>55</v>
      </c>
      <c r="H1480">
        <v>7.3</v>
      </c>
      <c r="I1480">
        <v>71</v>
      </c>
      <c r="J1480">
        <v>518.33000000000004</v>
      </c>
      <c r="K1480" t="s">
        <v>92</v>
      </c>
      <c r="L1480" t="b">
        <v>0</v>
      </c>
    </row>
    <row r="1481" spans="1:13" ht="34" x14ac:dyDescent="0.2">
      <c r="A1481" t="s">
        <v>1885</v>
      </c>
      <c r="B1481" t="s">
        <v>701</v>
      </c>
      <c r="C1481" t="s">
        <v>183</v>
      </c>
      <c r="D1481" s="1">
        <v>45232</v>
      </c>
      <c r="E1481" s="6" t="s">
        <v>60</v>
      </c>
      <c r="F1481" t="s">
        <v>24</v>
      </c>
      <c r="G1481" s="3" t="s">
        <v>25</v>
      </c>
      <c r="H1481">
        <v>83.9</v>
      </c>
      <c r="I1481">
        <v>29.81</v>
      </c>
      <c r="J1481">
        <v>2500</v>
      </c>
      <c r="K1481" t="s">
        <v>26</v>
      </c>
      <c r="L1481" t="b">
        <v>1</v>
      </c>
      <c r="M1481" s="3" t="s">
        <v>40</v>
      </c>
    </row>
    <row r="1482" spans="1:13" ht="17" x14ac:dyDescent="0.2">
      <c r="A1482" t="s">
        <v>1886</v>
      </c>
      <c r="B1482" t="s">
        <v>1008</v>
      </c>
      <c r="C1482" t="s">
        <v>353</v>
      </c>
      <c r="D1482" s="1">
        <v>45175</v>
      </c>
      <c r="E1482" s="6" t="s">
        <v>78</v>
      </c>
      <c r="F1482" t="s">
        <v>17</v>
      </c>
      <c r="G1482" s="3" t="s">
        <v>18</v>
      </c>
      <c r="H1482">
        <v>6.4</v>
      </c>
      <c r="I1482">
        <v>80.59</v>
      </c>
      <c r="J1482">
        <v>515.77</v>
      </c>
      <c r="K1482" t="s">
        <v>82</v>
      </c>
      <c r="L1482" t="b">
        <v>0</v>
      </c>
    </row>
    <row r="1483" spans="1:13" ht="34" x14ac:dyDescent="0.2">
      <c r="A1483" t="s">
        <v>1887</v>
      </c>
      <c r="B1483" t="s">
        <v>434</v>
      </c>
      <c r="C1483" t="s">
        <v>95</v>
      </c>
      <c r="D1483" s="1">
        <v>45395</v>
      </c>
      <c r="E1483" s="6" t="s">
        <v>23</v>
      </c>
      <c r="F1483" t="s">
        <v>61</v>
      </c>
      <c r="G1483" s="3" t="s">
        <v>62</v>
      </c>
      <c r="H1483">
        <v>7.3</v>
      </c>
      <c r="I1483">
        <v>74.209999999999994</v>
      </c>
      <c r="J1483">
        <v>541.77</v>
      </c>
      <c r="K1483" t="s">
        <v>32</v>
      </c>
      <c r="L1483" t="b">
        <v>0</v>
      </c>
    </row>
    <row r="1484" spans="1:13" ht="34" x14ac:dyDescent="0.2">
      <c r="A1484" t="s">
        <v>1888</v>
      </c>
      <c r="B1484" t="s">
        <v>325</v>
      </c>
      <c r="C1484" t="s">
        <v>274</v>
      </c>
      <c r="D1484" s="1">
        <v>45043</v>
      </c>
      <c r="E1484" s="6" t="s">
        <v>89</v>
      </c>
      <c r="F1484" t="s">
        <v>45</v>
      </c>
      <c r="G1484" s="3" t="s">
        <v>46</v>
      </c>
      <c r="H1484">
        <v>5</v>
      </c>
      <c r="I1484">
        <v>46.11</v>
      </c>
      <c r="J1484">
        <v>230.56</v>
      </c>
      <c r="K1484" t="s">
        <v>36</v>
      </c>
      <c r="L1484" t="b">
        <v>0</v>
      </c>
    </row>
    <row r="1485" spans="1:13" ht="34" x14ac:dyDescent="0.2">
      <c r="A1485" t="s">
        <v>1889</v>
      </c>
      <c r="B1485" t="s">
        <v>107</v>
      </c>
      <c r="C1485" t="s">
        <v>370</v>
      </c>
      <c r="D1485" s="1">
        <v>45605</v>
      </c>
      <c r="E1485" s="6" t="s">
        <v>44</v>
      </c>
      <c r="F1485" t="s">
        <v>54</v>
      </c>
      <c r="G1485" s="3" t="s">
        <v>55</v>
      </c>
      <c r="H1485">
        <v>4.7</v>
      </c>
      <c r="I1485">
        <v>26.64</v>
      </c>
      <c r="J1485">
        <v>125.21</v>
      </c>
      <c r="K1485" t="s">
        <v>92</v>
      </c>
      <c r="L1485" t="b">
        <v>0</v>
      </c>
    </row>
    <row r="1486" spans="1:13" ht="68" x14ac:dyDescent="0.2">
      <c r="A1486" t="s">
        <v>1890</v>
      </c>
      <c r="B1486" t="s">
        <v>1181</v>
      </c>
      <c r="C1486" t="s">
        <v>95</v>
      </c>
      <c r="D1486" s="1">
        <v>45222</v>
      </c>
      <c r="E1486" s="6" t="s">
        <v>23</v>
      </c>
      <c r="F1486" t="s">
        <v>50</v>
      </c>
      <c r="G1486" s="3" t="s">
        <v>51</v>
      </c>
      <c r="H1486">
        <v>5.8</v>
      </c>
      <c r="I1486">
        <v>72.459999999999994</v>
      </c>
      <c r="J1486">
        <v>420.27</v>
      </c>
      <c r="K1486" t="s">
        <v>19</v>
      </c>
      <c r="L1486" t="b">
        <v>0</v>
      </c>
    </row>
    <row r="1487" spans="1:13" ht="34" x14ac:dyDescent="0.2">
      <c r="A1487" t="s">
        <v>1891</v>
      </c>
      <c r="B1487" t="s">
        <v>338</v>
      </c>
      <c r="C1487" t="s">
        <v>88</v>
      </c>
      <c r="D1487" s="1">
        <v>45096</v>
      </c>
      <c r="E1487" s="6" t="s">
        <v>78</v>
      </c>
      <c r="F1487" t="s">
        <v>24</v>
      </c>
      <c r="G1487" s="3" t="s">
        <v>25</v>
      </c>
      <c r="H1487">
        <v>20.3</v>
      </c>
      <c r="I1487">
        <v>62.7</v>
      </c>
      <c r="J1487">
        <v>1272.81</v>
      </c>
      <c r="K1487" t="s">
        <v>92</v>
      </c>
      <c r="L1487" t="b">
        <v>1</v>
      </c>
      <c r="M1487" s="3" t="s">
        <v>79</v>
      </c>
    </row>
    <row r="1488" spans="1:13" ht="34" x14ac:dyDescent="0.2">
      <c r="A1488" t="s">
        <v>1892</v>
      </c>
      <c r="B1488" t="s">
        <v>384</v>
      </c>
      <c r="C1488" t="s">
        <v>189</v>
      </c>
      <c r="D1488" s="1">
        <v>45482</v>
      </c>
      <c r="E1488" s="6" t="s">
        <v>16</v>
      </c>
      <c r="F1488" t="s">
        <v>90</v>
      </c>
      <c r="G1488" s="3" t="s">
        <v>91</v>
      </c>
      <c r="H1488">
        <v>2.7</v>
      </c>
      <c r="I1488">
        <v>39.979999999999997</v>
      </c>
      <c r="J1488">
        <v>107.94</v>
      </c>
      <c r="K1488" t="s">
        <v>92</v>
      </c>
      <c r="L1488" t="b">
        <v>0</v>
      </c>
    </row>
    <row r="1489" spans="1:13" ht="68" x14ac:dyDescent="0.2">
      <c r="A1489" t="s">
        <v>1893</v>
      </c>
      <c r="B1489" t="s">
        <v>384</v>
      </c>
      <c r="C1489" t="s">
        <v>211</v>
      </c>
      <c r="D1489" s="1">
        <v>45260</v>
      </c>
      <c r="E1489" s="6" t="s">
        <v>78</v>
      </c>
      <c r="F1489" t="s">
        <v>50</v>
      </c>
      <c r="G1489" s="3" t="s">
        <v>51</v>
      </c>
      <c r="H1489">
        <v>7.1</v>
      </c>
      <c r="I1489">
        <v>66.150000000000006</v>
      </c>
      <c r="J1489">
        <v>469.63</v>
      </c>
      <c r="K1489" t="s">
        <v>92</v>
      </c>
      <c r="L1489" t="b">
        <v>0</v>
      </c>
    </row>
    <row r="1490" spans="1:13" ht="17" x14ac:dyDescent="0.2">
      <c r="A1490" t="s">
        <v>1894</v>
      </c>
      <c r="B1490" t="s">
        <v>361</v>
      </c>
      <c r="C1490" t="s">
        <v>172</v>
      </c>
      <c r="D1490" s="1">
        <v>45566</v>
      </c>
      <c r="E1490" s="6" t="s">
        <v>78</v>
      </c>
      <c r="F1490" t="s">
        <v>17</v>
      </c>
      <c r="G1490" s="3" t="s">
        <v>18</v>
      </c>
      <c r="H1490">
        <v>4.9000000000000004</v>
      </c>
      <c r="I1490">
        <v>69.11</v>
      </c>
      <c r="J1490">
        <v>338.64</v>
      </c>
      <c r="K1490" t="s">
        <v>113</v>
      </c>
      <c r="L1490" t="b">
        <v>0</v>
      </c>
    </row>
    <row r="1491" spans="1:13" ht="68" x14ac:dyDescent="0.2">
      <c r="A1491" t="s">
        <v>1895</v>
      </c>
      <c r="B1491" t="s">
        <v>664</v>
      </c>
      <c r="C1491" t="s">
        <v>196</v>
      </c>
      <c r="D1491" s="1">
        <v>45604</v>
      </c>
      <c r="E1491" s="6" t="s">
        <v>78</v>
      </c>
      <c r="F1491" t="s">
        <v>50</v>
      </c>
      <c r="G1491" s="3" t="s">
        <v>51</v>
      </c>
      <c r="H1491">
        <v>6.1</v>
      </c>
      <c r="I1491">
        <v>74.61</v>
      </c>
      <c r="J1491">
        <v>455.1</v>
      </c>
      <c r="K1491" t="s">
        <v>19</v>
      </c>
      <c r="L1491" t="b">
        <v>0</v>
      </c>
    </row>
    <row r="1492" spans="1:13" ht="17" x14ac:dyDescent="0.2">
      <c r="A1492" t="s">
        <v>1896</v>
      </c>
      <c r="B1492" t="s">
        <v>1105</v>
      </c>
      <c r="C1492" t="s">
        <v>172</v>
      </c>
      <c r="D1492" s="1">
        <v>45120</v>
      </c>
      <c r="E1492" s="6" t="s">
        <v>60</v>
      </c>
      <c r="F1492" t="s">
        <v>30</v>
      </c>
      <c r="G1492" s="3" t="s">
        <v>31</v>
      </c>
      <c r="H1492">
        <v>2.5</v>
      </c>
      <c r="I1492">
        <v>47.06</v>
      </c>
      <c r="J1492">
        <v>117.64</v>
      </c>
      <c r="K1492" t="s">
        <v>92</v>
      </c>
      <c r="L1492" t="b">
        <v>0</v>
      </c>
    </row>
    <row r="1493" spans="1:13" ht="34" x14ac:dyDescent="0.2">
      <c r="A1493" t="s">
        <v>1897</v>
      </c>
      <c r="B1493" t="s">
        <v>358</v>
      </c>
      <c r="C1493" t="s">
        <v>130</v>
      </c>
      <c r="D1493" s="1">
        <v>45021</v>
      </c>
      <c r="E1493" s="6" t="s">
        <v>23</v>
      </c>
      <c r="F1493" t="s">
        <v>61</v>
      </c>
      <c r="G1493" s="3" t="s">
        <v>62</v>
      </c>
      <c r="H1493">
        <v>7.7</v>
      </c>
      <c r="I1493">
        <v>78.06</v>
      </c>
      <c r="J1493">
        <v>601.07000000000005</v>
      </c>
      <c r="K1493" t="s">
        <v>36</v>
      </c>
      <c r="L1493" t="b">
        <v>1</v>
      </c>
      <c r="M1493" s="3" t="s">
        <v>102</v>
      </c>
    </row>
    <row r="1494" spans="1:13" ht="34" x14ac:dyDescent="0.2">
      <c r="A1494" t="s">
        <v>1898</v>
      </c>
      <c r="B1494" t="s">
        <v>152</v>
      </c>
      <c r="C1494" t="s">
        <v>119</v>
      </c>
      <c r="D1494" s="1">
        <v>45402</v>
      </c>
      <c r="E1494" s="6" t="s">
        <v>16</v>
      </c>
      <c r="F1494" t="s">
        <v>24</v>
      </c>
      <c r="G1494" s="3" t="s">
        <v>25</v>
      </c>
      <c r="H1494">
        <v>7.7</v>
      </c>
      <c r="I1494">
        <v>80.39</v>
      </c>
      <c r="J1494">
        <v>618.98</v>
      </c>
      <c r="K1494" t="s">
        <v>96</v>
      </c>
      <c r="L1494" t="b">
        <v>0</v>
      </c>
    </row>
    <row r="1495" spans="1:13" ht="17" x14ac:dyDescent="0.2">
      <c r="A1495" t="s">
        <v>1899</v>
      </c>
      <c r="B1495" t="s">
        <v>158</v>
      </c>
      <c r="C1495" t="s">
        <v>15</v>
      </c>
      <c r="D1495" s="1">
        <v>44939</v>
      </c>
      <c r="E1495" s="6" t="s">
        <v>23</v>
      </c>
      <c r="F1495" t="s">
        <v>30</v>
      </c>
      <c r="G1495" s="3" t="s">
        <v>31</v>
      </c>
      <c r="H1495">
        <v>7.4</v>
      </c>
      <c r="I1495">
        <v>83.45</v>
      </c>
      <c r="J1495">
        <v>617.51</v>
      </c>
      <c r="K1495" t="s">
        <v>82</v>
      </c>
      <c r="L1495" t="b">
        <v>0</v>
      </c>
    </row>
    <row r="1496" spans="1:13" ht="34" x14ac:dyDescent="0.2">
      <c r="A1496" t="s">
        <v>1900</v>
      </c>
      <c r="B1496" t="s">
        <v>1144</v>
      </c>
      <c r="C1496" t="s">
        <v>145</v>
      </c>
      <c r="D1496" s="1">
        <v>45136</v>
      </c>
      <c r="E1496" s="6" t="s">
        <v>60</v>
      </c>
      <c r="F1496" t="s">
        <v>45</v>
      </c>
      <c r="G1496" s="3" t="s">
        <v>46</v>
      </c>
      <c r="H1496">
        <v>23.1</v>
      </c>
      <c r="I1496">
        <v>35.130000000000003</v>
      </c>
      <c r="J1496">
        <v>811.5</v>
      </c>
      <c r="K1496" t="s">
        <v>96</v>
      </c>
      <c r="L1496" t="b">
        <v>1</v>
      </c>
      <c r="M1496" s="3" t="s">
        <v>79</v>
      </c>
    </row>
    <row r="1497" spans="1:13" ht="34" x14ac:dyDescent="0.2">
      <c r="A1497" t="s">
        <v>1901</v>
      </c>
      <c r="B1497" t="s">
        <v>75</v>
      </c>
      <c r="C1497" t="s">
        <v>159</v>
      </c>
      <c r="D1497" s="1">
        <v>45393</v>
      </c>
      <c r="E1497" s="6" t="s">
        <v>78</v>
      </c>
      <c r="F1497" t="s">
        <v>61</v>
      </c>
      <c r="G1497" s="3" t="s">
        <v>62</v>
      </c>
      <c r="H1497">
        <v>5.6</v>
      </c>
      <c r="I1497">
        <v>33.96</v>
      </c>
      <c r="J1497">
        <v>190.15</v>
      </c>
      <c r="K1497" t="s">
        <v>36</v>
      </c>
      <c r="L1497" t="b">
        <v>0</v>
      </c>
    </row>
    <row r="1498" spans="1:13" ht="68" x14ac:dyDescent="0.2">
      <c r="A1498" t="s">
        <v>1902</v>
      </c>
      <c r="B1498" t="s">
        <v>137</v>
      </c>
      <c r="C1498" t="s">
        <v>194</v>
      </c>
      <c r="D1498" s="1">
        <v>45104</v>
      </c>
      <c r="E1498" s="6" t="s">
        <v>16</v>
      </c>
      <c r="F1498" t="s">
        <v>50</v>
      </c>
      <c r="G1498" s="3" t="s">
        <v>51</v>
      </c>
      <c r="H1498">
        <v>21.8</v>
      </c>
      <c r="I1498">
        <v>32.04</v>
      </c>
      <c r="J1498">
        <v>698.47</v>
      </c>
      <c r="K1498" t="s">
        <v>105</v>
      </c>
      <c r="L1498" t="b">
        <v>1</v>
      </c>
      <c r="M1498" s="3" t="s">
        <v>79</v>
      </c>
    </row>
    <row r="1499" spans="1:13" ht="34" x14ac:dyDescent="0.2">
      <c r="A1499" t="s">
        <v>1903</v>
      </c>
      <c r="B1499" t="s">
        <v>462</v>
      </c>
      <c r="C1499" t="s">
        <v>153</v>
      </c>
      <c r="D1499" s="1">
        <v>45007</v>
      </c>
      <c r="E1499" s="6" t="s">
        <v>16</v>
      </c>
      <c r="F1499" t="s">
        <v>61</v>
      </c>
      <c r="G1499" s="3" t="s">
        <v>62</v>
      </c>
      <c r="H1499">
        <v>6.6</v>
      </c>
      <c r="I1499">
        <v>80.7</v>
      </c>
      <c r="J1499">
        <v>532.6</v>
      </c>
      <c r="K1499" t="s">
        <v>92</v>
      </c>
      <c r="L1499" t="b">
        <v>0</v>
      </c>
    </row>
    <row r="1500" spans="1:13" ht="17" x14ac:dyDescent="0.2">
      <c r="A1500" t="s">
        <v>1904</v>
      </c>
      <c r="B1500" t="s">
        <v>1075</v>
      </c>
      <c r="C1500" t="s">
        <v>122</v>
      </c>
      <c r="D1500" s="1">
        <v>45571</v>
      </c>
      <c r="E1500" s="6" t="s">
        <v>23</v>
      </c>
      <c r="F1500" t="s">
        <v>17</v>
      </c>
      <c r="G1500" s="3" t="s">
        <v>18</v>
      </c>
      <c r="H1500">
        <v>2.7</v>
      </c>
      <c r="I1500">
        <v>67.81</v>
      </c>
      <c r="J1500">
        <v>183.1</v>
      </c>
      <c r="K1500" t="s">
        <v>92</v>
      </c>
      <c r="L1500" t="b">
        <v>0</v>
      </c>
    </row>
    <row r="1501" spans="1:13" ht="34" x14ac:dyDescent="0.2">
      <c r="A1501" t="s">
        <v>1905</v>
      </c>
      <c r="B1501" t="s">
        <v>349</v>
      </c>
      <c r="C1501" t="s">
        <v>159</v>
      </c>
      <c r="D1501" s="1">
        <v>44978</v>
      </c>
      <c r="E1501" s="6" t="s">
        <v>23</v>
      </c>
      <c r="F1501" t="s">
        <v>45</v>
      </c>
      <c r="G1501" s="3" t="s">
        <v>46</v>
      </c>
      <c r="H1501">
        <v>3.7</v>
      </c>
      <c r="I1501">
        <v>54.65</v>
      </c>
      <c r="J1501">
        <v>202.21</v>
      </c>
      <c r="K1501" t="s">
        <v>32</v>
      </c>
      <c r="L1501" t="b">
        <v>0</v>
      </c>
    </row>
    <row r="1502" spans="1:13" ht="34" x14ac:dyDescent="0.2">
      <c r="A1502" t="s">
        <v>1906</v>
      </c>
      <c r="B1502" t="s">
        <v>437</v>
      </c>
      <c r="C1502" t="s">
        <v>153</v>
      </c>
      <c r="D1502" s="1">
        <v>45023</v>
      </c>
      <c r="E1502" s="6" t="s">
        <v>78</v>
      </c>
      <c r="F1502" t="s">
        <v>61</v>
      </c>
      <c r="G1502" s="3" t="s">
        <v>62</v>
      </c>
      <c r="H1502">
        <v>7.1</v>
      </c>
      <c r="I1502">
        <v>61</v>
      </c>
      <c r="J1502">
        <v>433.14</v>
      </c>
      <c r="K1502" t="s">
        <v>113</v>
      </c>
      <c r="L1502" t="b">
        <v>1</v>
      </c>
      <c r="M1502" s="3" t="s">
        <v>102</v>
      </c>
    </row>
    <row r="1503" spans="1:13" ht="17" x14ac:dyDescent="0.2">
      <c r="A1503" t="s">
        <v>1907</v>
      </c>
      <c r="B1503" t="s">
        <v>42</v>
      </c>
      <c r="C1503" t="s">
        <v>380</v>
      </c>
      <c r="D1503" s="1">
        <v>45312</v>
      </c>
      <c r="E1503" s="6" t="s">
        <v>23</v>
      </c>
      <c r="F1503" t="s">
        <v>30</v>
      </c>
      <c r="G1503" s="3" t="s">
        <v>31</v>
      </c>
      <c r="H1503">
        <v>4.5</v>
      </c>
      <c r="I1503">
        <v>49.51</v>
      </c>
      <c r="J1503">
        <v>222.8</v>
      </c>
      <c r="K1503" t="s">
        <v>19</v>
      </c>
      <c r="L1503" t="b">
        <v>0</v>
      </c>
    </row>
    <row r="1504" spans="1:13" ht="34" x14ac:dyDescent="0.2">
      <c r="A1504" t="s">
        <v>1908</v>
      </c>
      <c r="B1504" t="s">
        <v>221</v>
      </c>
      <c r="C1504" t="s">
        <v>127</v>
      </c>
      <c r="D1504" s="1">
        <v>44931</v>
      </c>
      <c r="E1504" s="6" t="s">
        <v>89</v>
      </c>
      <c r="F1504" t="s">
        <v>24</v>
      </c>
      <c r="G1504" s="3" t="s">
        <v>25</v>
      </c>
      <c r="H1504">
        <v>3.7</v>
      </c>
      <c r="I1504">
        <v>40.71</v>
      </c>
      <c r="J1504">
        <v>150.62</v>
      </c>
      <c r="K1504" t="s">
        <v>36</v>
      </c>
      <c r="L1504" t="b">
        <v>0</v>
      </c>
    </row>
    <row r="1505" spans="1:13" ht="17" x14ac:dyDescent="0.2">
      <c r="A1505" t="s">
        <v>1909</v>
      </c>
      <c r="B1505" t="s">
        <v>177</v>
      </c>
      <c r="C1505" t="s">
        <v>153</v>
      </c>
      <c r="D1505" s="1">
        <v>44989</v>
      </c>
      <c r="E1505" s="6" t="s">
        <v>16</v>
      </c>
      <c r="F1505" t="s">
        <v>17</v>
      </c>
      <c r="G1505" s="3" t="s">
        <v>18</v>
      </c>
      <c r="H1505">
        <v>7.4</v>
      </c>
      <c r="I1505">
        <v>47.18</v>
      </c>
      <c r="J1505">
        <v>349.12</v>
      </c>
      <c r="K1505" t="s">
        <v>19</v>
      </c>
      <c r="L1505" t="b">
        <v>0</v>
      </c>
    </row>
    <row r="1506" spans="1:13" ht="17" x14ac:dyDescent="0.2">
      <c r="A1506" t="s">
        <v>1910</v>
      </c>
      <c r="B1506" t="s">
        <v>713</v>
      </c>
      <c r="C1506" t="s">
        <v>499</v>
      </c>
      <c r="D1506" s="1">
        <v>44929</v>
      </c>
      <c r="E1506" s="6" t="s">
        <v>78</v>
      </c>
      <c r="F1506" t="s">
        <v>17</v>
      </c>
      <c r="G1506" s="3" t="s">
        <v>18</v>
      </c>
      <c r="H1506">
        <v>2.5</v>
      </c>
      <c r="I1506">
        <v>53.13</v>
      </c>
      <c r="J1506">
        <v>132.83000000000001</v>
      </c>
      <c r="K1506" t="s">
        <v>96</v>
      </c>
      <c r="L1506" t="b">
        <v>0</v>
      </c>
    </row>
    <row r="1507" spans="1:13" ht="34" x14ac:dyDescent="0.2">
      <c r="A1507" t="s">
        <v>1911</v>
      </c>
      <c r="B1507" t="s">
        <v>630</v>
      </c>
      <c r="C1507" t="s">
        <v>189</v>
      </c>
      <c r="D1507" s="1">
        <v>45075</v>
      </c>
      <c r="E1507" s="6" t="s">
        <v>16</v>
      </c>
      <c r="F1507" t="s">
        <v>61</v>
      </c>
      <c r="G1507" s="3" t="s">
        <v>62</v>
      </c>
      <c r="H1507">
        <v>6.1</v>
      </c>
      <c r="I1507">
        <v>67.8</v>
      </c>
      <c r="J1507">
        <v>413.58</v>
      </c>
      <c r="K1507" t="s">
        <v>32</v>
      </c>
      <c r="L1507" t="b">
        <v>0</v>
      </c>
    </row>
    <row r="1508" spans="1:13" ht="34" x14ac:dyDescent="0.2">
      <c r="A1508" t="s">
        <v>1912</v>
      </c>
      <c r="B1508" t="s">
        <v>669</v>
      </c>
      <c r="C1508" t="s">
        <v>280</v>
      </c>
      <c r="D1508" s="1">
        <v>45188</v>
      </c>
      <c r="E1508" s="6" t="s">
        <v>44</v>
      </c>
      <c r="F1508" t="s">
        <v>61</v>
      </c>
      <c r="G1508" s="3" t="s">
        <v>62</v>
      </c>
      <c r="H1508">
        <v>17.3</v>
      </c>
      <c r="I1508">
        <v>40.369999999999997</v>
      </c>
      <c r="J1508">
        <v>698.4</v>
      </c>
      <c r="K1508" t="s">
        <v>36</v>
      </c>
      <c r="L1508" t="b">
        <v>1</v>
      </c>
      <c r="M1508" s="3" t="s">
        <v>79</v>
      </c>
    </row>
    <row r="1509" spans="1:13" ht="34" x14ac:dyDescent="0.2">
      <c r="A1509" t="s">
        <v>1913</v>
      </c>
      <c r="B1509" t="s">
        <v>168</v>
      </c>
      <c r="C1509" t="s">
        <v>499</v>
      </c>
      <c r="D1509" s="1">
        <v>45553</v>
      </c>
      <c r="E1509" s="6" t="s">
        <v>60</v>
      </c>
      <c r="F1509" t="s">
        <v>24</v>
      </c>
      <c r="G1509" s="3" t="s">
        <v>25</v>
      </c>
      <c r="H1509">
        <v>2.2999999999999998</v>
      </c>
      <c r="I1509">
        <v>80.86</v>
      </c>
      <c r="J1509">
        <v>185.99</v>
      </c>
      <c r="K1509" t="s">
        <v>113</v>
      </c>
      <c r="L1509" t="b">
        <v>0</v>
      </c>
    </row>
    <row r="1510" spans="1:13" ht="34" x14ac:dyDescent="0.2">
      <c r="A1510" t="s">
        <v>1914</v>
      </c>
      <c r="B1510" t="s">
        <v>819</v>
      </c>
      <c r="C1510" t="s">
        <v>186</v>
      </c>
      <c r="D1510" s="1">
        <v>45489</v>
      </c>
      <c r="E1510" s="6" t="s">
        <v>89</v>
      </c>
      <c r="F1510" t="s">
        <v>54</v>
      </c>
      <c r="G1510" s="3" t="s">
        <v>55</v>
      </c>
      <c r="H1510">
        <v>8</v>
      </c>
      <c r="I1510">
        <v>81.36</v>
      </c>
      <c r="J1510">
        <v>650.87</v>
      </c>
      <c r="K1510" t="s">
        <v>105</v>
      </c>
      <c r="L1510" t="b">
        <v>0</v>
      </c>
    </row>
    <row r="1511" spans="1:13" ht="34" x14ac:dyDescent="0.2">
      <c r="A1511" t="s">
        <v>1915</v>
      </c>
      <c r="B1511" t="s">
        <v>534</v>
      </c>
      <c r="C1511" t="s">
        <v>127</v>
      </c>
      <c r="D1511" s="1">
        <v>45122</v>
      </c>
      <c r="E1511" s="6" t="s">
        <v>60</v>
      </c>
      <c r="F1511" t="s">
        <v>24</v>
      </c>
      <c r="G1511" s="3" t="s">
        <v>25</v>
      </c>
      <c r="H1511">
        <v>2</v>
      </c>
      <c r="I1511">
        <v>55.27</v>
      </c>
      <c r="J1511">
        <v>110.55</v>
      </c>
      <c r="K1511" t="s">
        <v>32</v>
      </c>
      <c r="L1511" t="b">
        <v>0</v>
      </c>
    </row>
    <row r="1512" spans="1:13" ht="34" x14ac:dyDescent="0.2">
      <c r="A1512" t="s">
        <v>1916</v>
      </c>
      <c r="B1512" t="s">
        <v>523</v>
      </c>
      <c r="C1512" t="s">
        <v>29</v>
      </c>
      <c r="D1512" s="1">
        <v>45264</v>
      </c>
      <c r="E1512" s="6" t="s">
        <v>23</v>
      </c>
      <c r="F1512" t="s">
        <v>45</v>
      </c>
      <c r="G1512" s="3" t="s">
        <v>46</v>
      </c>
      <c r="H1512">
        <v>7.9</v>
      </c>
      <c r="I1512">
        <v>65.28</v>
      </c>
      <c r="J1512">
        <v>515.67999999999995</v>
      </c>
      <c r="K1512" t="s">
        <v>92</v>
      </c>
      <c r="L1512" t="b">
        <v>0</v>
      </c>
    </row>
    <row r="1513" spans="1:13" ht="34" x14ac:dyDescent="0.2">
      <c r="A1513" t="s">
        <v>1917</v>
      </c>
      <c r="B1513" t="s">
        <v>408</v>
      </c>
      <c r="C1513" t="s">
        <v>22</v>
      </c>
      <c r="D1513" s="1">
        <v>45463</v>
      </c>
      <c r="E1513" s="6" t="s">
        <v>89</v>
      </c>
      <c r="F1513" t="s">
        <v>24</v>
      </c>
      <c r="G1513" s="3" t="s">
        <v>25</v>
      </c>
      <c r="H1513">
        <v>24.6</v>
      </c>
      <c r="I1513">
        <v>40.619999999999997</v>
      </c>
      <c r="J1513">
        <v>1000</v>
      </c>
      <c r="K1513" t="s">
        <v>26</v>
      </c>
      <c r="L1513" t="b">
        <v>1</v>
      </c>
      <c r="M1513" s="3" t="s">
        <v>40</v>
      </c>
    </row>
    <row r="1514" spans="1:13" ht="17" x14ac:dyDescent="0.2">
      <c r="A1514" t="s">
        <v>1918</v>
      </c>
      <c r="B1514" t="s">
        <v>258</v>
      </c>
      <c r="C1514" t="s">
        <v>280</v>
      </c>
      <c r="D1514" s="1">
        <v>45215</v>
      </c>
      <c r="E1514" s="6" t="s">
        <v>23</v>
      </c>
      <c r="F1514" t="s">
        <v>17</v>
      </c>
      <c r="G1514" s="3" t="s">
        <v>18</v>
      </c>
      <c r="H1514">
        <v>7.6</v>
      </c>
      <c r="I1514">
        <v>77.67</v>
      </c>
      <c r="J1514">
        <v>590.32000000000005</v>
      </c>
      <c r="K1514" t="s">
        <v>56</v>
      </c>
      <c r="L1514" t="b">
        <v>0</v>
      </c>
    </row>
    <row r="1515" spans="1:13" ht="34" x14ac:dyDescent="0.2">
      <c r="A1515" t="s">
        <v>1919</v>
      </c>
      <c r="B1515" t="s">
        <v>536</v>
      </c>
      <c r="C1515" t="s">
        <v>207</v>
      </c>
      <c r="D1515" s="1">
        <v>45226</v>
      </c>
      <c r="E1515" s="6" t="s">
        <v>23</v>
      </c>
      <c r="F1515" t="s">
        <v>90</v>
      </c>
      <c r="G1515" s="3" t="s">
        <v>91</v>
      </c>
      <c r="H1515">
        <v>17.600000000000001</v>
      </c>
      <c r="I1515">
        <v>56.83</v>
      </c>
      <c r="J1515">
        <v>1000</v>
      </c>
      <c r="K1515" t="s">
        <v>113</v>
      </c>
      <c r="L1515" t="b">
        <v>1</v>
      </c>
      <c r="M1515" s="3" t="s">
        <v>40</v>
      </c>
    </row>
    <row r="1516" spans="1:13" ht="34" x14ac:dyDescent="0.2">
      <c r="A1516" t="s">
        <v>1920</v>
      </c>
      <c r="B1516" t="s">
        <v>895</v>
      </c>
      <c r="C1516" t="s">
        <v>194</v>
      </c>
      <c r="D1516" s="1">
        <v>45423</v>
      </c>
      <c r="E1516" s="6" t="s">
        <v>23</v>
      </c>
      <c r="F1516" t="s">
        <v>45</v>
      </c>
      <c r="G1516" s="3" t="s">
        <v>46</v>
      </c>
      <c r="H1516">
        <v>2.7</v>
      </c>
      <c r="I1516">
        <v>27.65</v>
      </c>
      <c r="J1516">
        <v>74.650000000000006</v>
      </c>
      <c r="K1516" t="s">
        <v>92</v>
      </c>
      <c r="L1516" t="b">
        <v>0</v>
      </c>
    </row>
    <row r="1517" spans="1:13" ht="17" x14ac:dyDescent="0.2">
      <c r="A1517" t="s">
        <v>1921</v>
      </c>
      <c r="B1517" t="s">
        <v>171</v>
      </c>
      <c r="C1517" t="s">
        <v>133</v>
      </c>
      <c r="D1517" s="1">
        <v>45212</v>
      </c>
      <c r="E1517" s="6" t="s">
        <v>16</v>
      </c>
      <c r="F1517" t="s">
        <v>17</v>
      </c>
      <c r="G1517" s="3" t="s">
        <v>18</v>
      </c>
      <c r="H1517">
        <v>7.2</v>
      </c>
      <c r="I1517">
        <v>75.09</v>
      </c>
      <c r="J1517">
        <v>540.64</v>
      </c>
      <c r="K1517" t="s">
        <v>113</v>
      </c>
      <c r="L1517" t="b">
        <v>0</v>
      </c>
    </row>
    <row r="1518" spans="1:13" ht="34" x14ac:dyDescent="0.2">
      <c r="A1518" t="s">
        <v>1922</v>
      </c>
      <c r="B1518" t="s">
        <v>633</v>
      </c>
      <c r="C1518" t="s">
        <v>196</v>
      </c>
      <c r="D1518" s="1">
        <v>45368</v>
      </c>
      <c r="E1518" s="6" t="s">
        <v>78</v>
      </c>
      <c r="F1518" t="s">
        <v>54</v>
      </c>
      <c r="G1518" s="3" t="s">
        <v>55</v>
      </c>
      <c r="H1518">
        <v>7.6</v>
      </c>
      <c r="I1518">
        <v>41.98</v>
      </c>
      <c r="J1518">
        <v>319.01</v>
      </c>
      <c r="K1518" t="s">
        <v>19</v>
      </c>
      <c r="L1518" t="b">
        <v>0</v>
      </c>
    </row>
    <row r="1519" spans="1:13" ht="34" x14ac:dyDescent="0.2">
      <c r="A1519" t="s">
        <v>1923</v>
      </c>
      <c r="B1519" t="s">
        <v>753</v>
      </c>
      <c r="C1519" t="s">
        <v>65</v>
      </c>
      <c r="D1519" s="1">
        <v>45351</v>
      </c>
      <c r="E1519" s="6" t="s">
        <v>23</v>
      </c>
      <c r="F1519" t="s">
        <v>45</v>
      </c>
      <c r="G1519" s="3" t="s">
        <v>46</v>
      </c>
      <c r="H1519">
        <v>5.0999999999999996</v>
      </c>
      <c r="I1519">
        <v>51.15</v>
      </c>
      <c r="J1519">
        <v>260.85000000000002</v>
      </c>
      <c r="K1519" t="s">
        <v>32</v>
      </c>
      <c r="L1519" t="b">
        <v>0</v>
      </c>
    </row>
    <row r="1520" spans="1:13" ht="34" x14ac:dyDescent="0.2">
      <c r="A1520" t="s">
        <v>1924</v>
      </c>
      <c r="B1520" t="s">
        <v>586</v>
      </c>
      <c r="C1520" t="s">
        <v>343</v>
      </c>
      <c r="D1520" s="1">
        <v>48295</v>
      </c>
      <c r="E1520" s="6" t="s">
        <v>23</v>
      </c>
      <c r="F1520" t="s">
        <v>54</v>
      </c>
      <c r="G1520" s="3" t="s">
        <v>55</v>
      </c>
      <c r="H1520">
        <v>6.4</v>
      </c>
      <c r="I1520">
        <v>54.48</v>
      </c>
      <c r="J1520">
        <v>348.65</v>
      </c>
      <c r="K1520" t="s">
        <v>56</v>
      </c>
      <c r="L1520" t="b">
        <v>1</v>
      </c>
      <c r="M1520" s="3" t="s">
        <v>99</v>
      </c>
    </row>
    <row r="1521" spans="1:13" ht="17" x14ac:dyDescent="0.2">
      <c r="A1521" t="s">
        <v>1925</v>
      </c>
      <c r="B1521" t="s">
        <v>227</v>
      </c>
      <c r="C1521" t="s">
        <v>148</v>
      </c>
      <c r="D1521" s="1">
        <v>45480</v>
      </c>
      <c r="E1521" s="6" t="s">
        <v>23</v>
      </c>
      <c r="F1521" t="s">
        <v>17</v>
      </c>
      <c r="G1521" s="3" t="s">
        <v>18</v>
      </c>
      <c r="H1521">
        <v>2.2999999999999998</v>
      </c>
      <c r="I1521">
        <v>33.92</v>
      </c>
      <c r="J1521">
        <v>78.010000000000005</v>
      </c>
      <c r="K1521" t="s">
        <v>19</v>
      </c>
      <c r="L1521" t="b">
        <v>0</v>
      </c>
    </row>
    <row r="1522" spans="1:13" ht="68" x14ac:dyDescent="0.2">
      <c r="A1522" t="s">
        <v>1926</v>
      </c>
      <c r="B1522" t="s">
        <v>1028</v>
      </c>
      <c r="C1522" t="s">
        <v>119</v>
      </c>
      <c r="D1522" s="1">
        <v>45242</v>
      </c>
      <c r="E1522" s="6" t="s">
        <v>16</v>
      </c>
      <c r="F1522" t="s">
        <v>50</v>
      </c>
      <c r="G1522" s="3" t="s">
        <v>51</v>
      </c>
      <c r="H1522">
        <v>2.2000000000000002</v>
      </c>
      <c r="I1522">
        <v>40.61</v>
      </c>
      <c r="J1522">
        <v>89.35</v>
      </c>
      <c r="K1522" t="s">
        <v>36</v>
      </c>
      <c r="L1522" t="b">
        <v>0</v>
      </c>
    </row>
    <row r="1523" spans="1:13" ht="17" x14ac:dyDescent="0.2">
      <c r="A1523" t="s">
        <v>1927</v>
      </c>
      <c r="B1523" t="s">
        <v>493</v>
      </c>
      <c r="C1523" t="s">
        <v>29</v>
      </c>
      <c r="D1523" s="1">
        <v>45274</v>
      </c>
      <c r="E1523" s="6" t="s">
        <v>60</v>
      </c>
      <c r="F1523" t="s">
        <v>17</v>
      </c>
      <c r="G1523" s="3" t="s">
        <v>18</v>
      </c>
      <c r="H1523">
        <v>4.5999999999999996</v>
      </c>
      <c r="I1523">
        <v>84.71</v>
      </c>
      <c r="J1523">
        <v>389.68</v>
      </c>
      <c r="K1523" t="s">
        <v>19</v>
      </c>
      <c r="L1523" t="b">
        <v>0</v>
      </c>
    </row>
    <row r="1524" spans="1:13" ht="34" x14ac:dyDescent="0.2">
      <c r="A1524" t="s">
        <v>1928</v>
      </c>
      <c r="B1524" t="s">
        <v>384</v>
      </c>
      <c r="C1524" t="s">
        <v>186</v>
      </c>
      <c r="D1524" s="1">
        <v>45613</v>
      </c>
      <c r="E1524" s="6" t="s">
        <v>89</v>
      </c>
      <c r="F1524" t="s">
        <v>24</v>
      </c>
      <c r="G1524" s="3" t="s">
        <v>25</v>
      </c>
      <c r="H1524">
        <v>17.5</v>
      </c>
      <c r="I1524">
        <v>84.33</v>
      </c>
      <c r="J1524">
        <v>1475.78</v>
      </c>
      <c r="K1524" t="s">
        <v>92</v>
      </c>
      <c r="L1524" t="b">
        <v>1</v>
      </c>
      <c r="M1524" s="3" t="s">
        <v>79</v>
      </c>
    </row>
    <row r="1525" spans="1:13" ht="17" x14ac:dyDescent="0.2">
      <c r="A1525" t="s">
        <v>1929</v>
      </c>
      <c r="B1525" t="s">
        <v>356</v>
      </c>
      <c r="C1525" t="s">
        <v>219</v>
      </c>
      <c r="D1525" s="1">
        <v>45218</v>
      </c>
      <c r="E1525" s="6" t="s">
        <v>16</v>
      </c>
      <c r="F1525" t="s">
        <v>17</v>
      </c>
      <c r="G1525" s="3" t="s">
        <v>18</v>
      </c>
      <c r="H1525">
        <v>4.7</v>
      </c>
      <c r="I1525">
        <v>31.75</v>
      </c>
      <c r="J1525">
        <v>149.22</v>
      </c>
      <c r="K1525" t="s">
        <v>82</v>
      </c>
      <c r="L1525" t="b">
        <v>0</v>
      </c>
    </row>
    <row r="1526" spans="1:13" ht="68" x14ac:dyDescent="0.2">
      <c r="A1526" t="s">
        <v>1930</v>
      </c>
      <c r="B1526" t="s">
        <v>895</v>
      </c>
      <c r="C1526" t="s">
        <v>127</v>
      </c>
      <c r="D1526" s="1">
        <v>45581</v>
      </c>
      <c r="E1526" s="6" t="s">
        <v>78</v>
      </c>
      <c r="F1526" t="s">
        <v>50</v>
      </c>
      <c r="G1526" s="3" t="s">
        <v>51</v>
      </c>
      <c r="H1526">
        <v>2.7</v>
      </c>
      <c r="I1526">
        <v>30.61</v>
      </c>
      <c r="J1526">
        <v>82.66</v>
      </c>
      <c r="K1526" t="s">
        <v>92</v>
      </c>
      <c r="L1526" t="b">
        <v>0</v>
      </c>
    </row>
    <row r="1527" spans="1:13" ht="68" x14ac:dyDescent="0.2">
      <c r="A1527" t="s">
        <v>1931</v>
      </c>
      <c r="B1527" t="s">
        <v>613</v>
      </c>
      <c r="C1527" t="s">
        <v>194</v>
      </c>
      <c r="D1527" s="1">
        <v>45412</v>
      </c>
      <c r="E1527" s="6" t="s">
        <v>78</v>
      </c>
      <c r="F1527" t="s">
        <v>50</v>
      </c>
      <c r="G1527" s="3" t="s">
        <v>51</v>
      </c>
      <c r="H1527">
        <v>7</v>
      </c>
      <c r="I1527">
        <v>70</v>
      </c>
      <c r="J1527">
        <v>489.97</v>
      </c>
      <c r="K1527" t="s">
        <v>26</v>
      </c>
      <c r="L1527" t="b">
        <v>0</v>
      </c>
    </row>
    <row r="1528" spans="1:13" ht="17" x14ac:dyDescent="0.2">
      <c r="A1528" t="s">
        <v>1932</v>
      </c>
      <c r="B1528" t="s">
        <v>70</v>
      </c>
      <c r="C1528" t="s">
        <v>365</v>
      </c>
      <c r="D1528" s="1">
        <v>44955</v>
      </c>
      <c r="E1528" s="6" t="s">
        <v>89</v>
      </c>
      <c r="F1528" t="s">
        <v>30</v>
      </c>
      <c r="G1528" s="3" t="s">
        <v>31</v>
      </c>
      <c r="H1528">
        <v>5.5</v>
      </c>
      <c r="I1528">
        <v>83.3</v>
      </c>
      <c r="J1528">
        <v>458.14</v>
      </c>
      <c r="K1528" t="s">
        <v>26</v>
      </c>
      <c r="L1528" t="b">
        <v>0</v>
      </c>
    </row>
    <row r="1529" spans="1:13" ht="68" x14ac:dyDescent="0.2">
      <c r="A1529" t="s">
        <v>1933</v>
      </c>
      <c r="B1529" t="s">
        <v>468</v>
      </c>
      <c r="C1529" t="s">
        <v>138</v>
      </c>
      <c r="D1529" s="1">
        <v>45461</v>
      </c>
      <c r="E1529" s="6" t="s">
        <v>60</v>
      </c>
      <c r="F1529" t="s">
        <v>50</v>
      </c>
      <c r="G1529" s="3" t="s">
        <v>51</v>
      </c>
      <c r="H1529">
        <v>20.2</v>
      </c>
      <c r="I1529">
        <v>29.61</v>
      </c>
      <c r="J1529">
        <v>598.12</v>
      </c>
      <c r="K1529" t="s">
        <v>96</v>
      </c>
      <c r="L1529" t="b">
        <v>1</v>
      </c>
      <c r="M1529" s="3" t="s">
        <v>79</v>
      </c>
    </row>
    <row r="1530" spans="1:13" ht="34" x14ac:dyDescent="0.2">
      <c r="A1530" t="s">
        <v>1934</v>
      </c>
      <c r="B1530" t="s">
        <v>931</v>
      </c>
      <c r="C1530" t="s">
        <v>380</v>
      </c>
      <c r="D1530" s="1">
        <v>45176</v>
      </c>
      <c r="E1530" s="6" t="s">
        <v>16</v>
      </c>
      <c r="F1530" t="s">
        <v>90</v>
      </c>
      <c r="G1530" s="3" t="s">
        <v>91</v>
      </c>
      <c r="H1530">
        <v>7.3</v>
      </c>
      <c r="I1530">
        <v>26.56</v>
      </c>
      <c r="J1530">
        <v>193.87</v>
      </c>
      <c r="K1530" t="s">
        <v>92</v>
      </c>
      <c r="L1530" t="b">
        <v>0</v>
      </c>
    </row>
    <row r="1531" spans="1:13" ht="34" x14ac:dyDescent="0.2">
      <c r="A1531" t="s">
        <v>1935</v>
      </c>
      <c r="B1531" t="s">
        <v>683</v>
      </c>
      <c r="C1531" t="s">
        <v>207</v>
      </c>
      <c r="D1531" s="1">
        <v>45254</v>
      </c>
      <c r="E1531" s="6" t="s">
        <v>44</v>
      </c>
      <c r="F1531" t="s">
        <v>90</v>
      </c>
      <c r="G1531" s="3" t="s">
        <v>91</v>
      </c>
      <c r="H1531">
        <v>4.4000000000000004</v>
      </c>
      <c r="I1531">
        <v>60.42</v>
      </c>
      <c r="J1531">
        <v>265.85000000000002</v>
      </c>
      <c r="K1531" t="s">
        <v>96</v>
      </c>
      <c r="L1531" t="b">
        <v>0</v>
      </c>
    </row>
    <row r="1532" spans="1:13" ht="34" x14ac:dyDescent="0.2">
      <c r="A1532" t="s">
        <v>1936</v>
      </c>
      <c r="B1532" t="s">
        <v>800</v>
      </c>
      <c r="C1532" t="s">
        <v>145</v>
      </c>
      <c r="D1532" s="1">
        <v>45376</v>
      </c>
      <c r="E1532" s="6" t="s">
        <v>16</v>
      </c>
      <c r="F1532" t="s">
        <v>54</v>
      </c>
      <c r="G1532" s="3" t="s">
        <v>55</v>
      </c>
      <c r="H1532">
        <v>2.9</v>
      </c>
      <c r="I1532">
        <v>29.86</v>
      </c>
      <c r="J1532">
        <v>86.61</v>
      </c>
      <c r="K1532" t="s">
        <v>96</v>
      </c>
      <c r="L1532" t="b">
        <v>0</v>
      </c>
    </row>
    <row r="1533" spans="1:13" ht="17" x14ac:dyDescent="0.2">
      <c r="A1533" t="s">
        <v>1937</v>
      </c>
      <c r="B1533" t="s">
        <v>452</v>
      </c>
      <c r="C1533" t="s">
        <v>68</v>
      </c>
      <c r="D1533" s="1">
        <v>45048</v>
      </c>
      <c r="E1533" s="6" t="s">
        <v>89</v>
      </c>
      <c r="F1533" t="s">
        <v>17</v>
      </c>
      <c r="G1533" s="3" t="s">
        <v>18</v>
      </c>
      <c r="H1533">
        <v>4.7</v>
      </c>
      <c r="I1533">
        <v>82.31</v>
      </c>
      <c r="J1533">
        <v>386.87</v>
      </c>
      <c r="K1533" t="s">
        <v>82</v>
      </c>
      <c r="L1533" t="b">
        <v>0</v>
      </c>
    </row>
    <row r="1534" spans="1:13" ht="34" x14ac:dyDescent="0.2">
      <c r="A1534" t="s">
        <v>1938</v>
      </c>
      <c r="B1534" t="s">
        <v>642</v>
      </c>
      <c r="C1534" t="s">
        <v>148</v>
      </c>
      <c r="D1534" s="1">
        <v>45430</v>
      </c>
      <c r="E1534" s="6" t="s">
        <v>89</v>
      </c>
      <c r="F1534" t="s">
        <v>24</v>
      </c>
      <c r="G1534" s="3" t="s">
        <v>25</v>
      </c>
      <c r="H1534">
        <v>4</v>
      </c>
      <c r="I1534">
        <v>27.63</v>
      </c>
      <c r="J1534">
        <v>110.52</v>
      </c>
      <c r="K1534" t="s">
        <v>96</v>
      </c>
      <c r="L1534" t="b">
        <v>0</v>
      </c>
    </row>
    <row r="1535" spans="1:13" ht="17" x14ac:dyDescent="0.2">
      <c r="A1535" t="s">
        <v>1939</v>
      </c>
      <c r="B1535" t="s">
        <v>298</v>
      </c>
      <c r="C1535" t="s">
        <v>172</v>
      </c>
      <c r="D1535" s="1">
        <v>45084</v>
      </c>
      <c r="E1535" s="6" t="s">
        <v>16</v>
      </c>
      <c r="F1535" t="s">
        <v>17</v>
      </c>
      <c r="G1535" s="3" t="s">
        <v>18</v>
      </c>
      <c r="H1535">
        <v>3.9</v>
      </c>
      <c r="I1535">
        <v>68.89</v>
      </c>
      <c r="J1535">
        <v>268.68</v>
      </c>
      <c r="K1535" t="s">
        <v>92</v>
      </c>
      <c r="L1535" t="b">
        <v>0</v>
      </c>
    </row>
    <row r="1536" spans="1:13" ht="68" x14ac:dyDescent="0.2">
      <c r="A1536" t="s">
        <v>1940</v>
      </c>
      <c r="B1536" t="s">
        <v>214</v>
      </c>
      <c r="C1536" t="s">
        <v>148</v>
      </c>
      <c r="D1536" s="1">
        <v>45377</v>
      </c>
      <c r="E1536" s="6" t="s">
        <v>16</v>
      </c>
      <c r="F1536" t="s">
        <v>50</v>
      </c>
      <c r="G1536" s="3" t="s">
        <v>51</v>
      </c>
      <c r="H1536">
        <v>3.3</v>
      </c>
      <c r="I1536">
        <v>27.92</v>
      </c>
      <c r="J1536">
        <v>92.14</v>
      </c>
      <c r="K1536" t="s">
        <v>96</v>
      </c>
      <c r="L1536" t="b">
        <v>0</v>
      </c>
    </row>
    <row r="1537" spans="1:13" ht="34" x14ac:dyDescent="0.2">
      <c r="A1537" t="s">
        <v>1941</v>
      </c>
      <c r="B1537" t="s">
        <v>713</v>
      </c>
      <c r="C1537" t="s">
        <v>156</v>
      </c>
      <c r="D1537" s="1">
        <v>45371</v>
      </c>
      <c r="E1537" s="6" t="s">
        <v>44</v>
      </c>
      <c r="F1537" t="s">
        <v>45</v>
      </c>
      <c r="G1537" s="3" t="s">
        <v>46</v>
      </c>
      <c r="H1537">
        <v>35.299999999999997</v>
      </c>
      <c r="I1537">
        <v>28.33</v>
      </c>
      <c r="J1537">
        <v>1000</v>
      </c>
      <c r="K1537" t="s">
        <v>96</v>
      </c>
      <c r="L1537" t="b">
        <v>1</v>
      </c>
      <c r="M1537" s="3" t="s">
        <v>40</v>
      </c>
    </row>
    <row r="1538" spans="1:13" ht="34" x14ac:dyDescent="0.2">
      <c r="A1538" t="s">
        <v>1942</v>
      </c>
      <c r="B1538" t="s">
        <v>231</v>
      </c>
      <c r="C1538" t="s">
        <v>189</v>
      </c>
      <c r="D1538" s="1">
        <v>45399</v>
      </c>
      <c r="E1538" s="6" t="s">
        <v>23</v>
      </c>
      <c r="F1538" t="s">
        <v>61</v>
      </c>
      <c r="G1538" s="3" t="s">
        <v>62</v>
      </c>
      <c r="H1538">
        <v>2.6</v>
      </c>
      <c r="I1538">
        <v>40.31</v>
      </c>
      <c r="J1538">
        <v>104.81</v>
      </c>
      <c r="K1538" t="s">
        <v>19</v>
      </c>
      <c r="L1538" t="b">
        <v>0</v>
      </c>
    </row>
    <row r="1539" spans="1:13" ht="34" x14ac:dyDescent="0.2">
      <c r="A1539" t="s">
        <v>1943</v>
      </c>
      <c r="B1539" t="s">
        <v>417</v>
      </c>
      <c r="C1539" t="s">
        <v>380</v>
      </c>
      <c r="D1539" s="1">
        <v>45593</v>
      </c>
      <c r="E1539" s="6" t="s">
        <v>23</v>
      </c>
      <c r="F1539" t="s">
        <v>61</v>
      </c>
      <c r="G1539" s="3" t="s">
        <v>62</v>
      </c>
      <c r="H1539">
        <v>2.5</v>
      </c>
      <c r="I1539">
        <v>76.14</v>
      </c>
      <c r="J1539">
        <v>190.35</v>
      </c>
      <c r="K1539" t="s">
        <v>56</v>
      </c>
      <c r="L1539" t="b">
        <v>0</v>
      </c>
    </row>
    <row r="1540" spans="1:13" ht="34" x14ac:dyDescent="0.2">
      <c r="A1540" t="s">
        <v>1944</v>
      </c>
      <c r="B1540" t="s">
        <v>340</v>
      </c>
      <c r="C1540" t="s">
        <v>156</v>
      </c>
      <c r="D1540" s="1">
        <v>44992</v>
      </c>
      <c r="E1540" s="6" t="s">
        <v>16</v>
      </c>
      <c r="F1540" t="s">
        <v>61</v>
      </c>
      <c r="G1540" s="3" t="s">
        <v>62</v>
      </c>
      <c r="H1540">
        <v>6.7</v>
      </c>
      <c r="I1540">
        <v>42.1</v>
      </c>
      <c r="J1540">
        <v>282.04000000000002</v>
      </c>
      <c r="K1540" t="s">
        <v>36</v>
      </c>
      <c r="L1540" t="b">
        <v>0</v>
      </c>
    </row>
    <row r="1541" spans="1:13" ht="68" x14ac:dyDescent="0.2">
      <c r="A1541" t="s">
        <v>1945</v>
      </c>
      <c r="B1541" t="s">
        <v>77</v>
      </c>
      <c r="C1541" t="s">
        <v>148</v>
      </c>
      <c r="D1541" s="1">
        <v>41590</v>
      </c>
      <c r="E1541" s="6" t="s">
        <v>60</v>
      </c>
      <c r="F1541" t="s">
        <v>50</v>
      </c>
      <c r="G1541" s="3" t="s">
        <v>51</v>
      </c>
      <c r="H1541">
        <v>2.7</v>
      </c>
      <c r="I1541">
        <v>54.45</v>
      </c>
      <c r="J1541">
        <v>147.02000000000001</v>
      </c>
      <c r="K1541" t="s">
        <v>113</v>
      </c>
      <c r="L1541" t="b">
        <v>1</v>
      </c>
      <c r="M1541" s="3" t="s">
        <v>99</v>
      </c>
    </row>
    <row r="1542" spans="1:13" ht="34" x14ac:dyDescent="0.2">
      <c r="A1542" t="s">
        <v>1946</v>
      </c>
      <c r="B1542" t="s">
        <v>649</v>
      </c>
      <c r="C1542" t="s">
        <v>172</v>
      </c>
      <c r="D1542" s="1">
        <v>45162</v>
      </c>
      <c r="E1542" s="6" t="s">
        <v>78</v>
      </c>
      <c r="F1542" t="s">
        <v>45</v>
      </c>
      <c r="G1542" s="3" t="s">
        <v>46</v>
      </c>
      <c r="H1542">
        <v>7.4</v>
      </c>
      <c r="I1542">
        <v>61.21</v>
      </c>
      <c r="J1542">
        <v>452.96</v>
      </c>
      <c r="K1542" t="s">
        <v>26</v>
      </c>
      <c r="L1542" t="b">
        <v>0</v>
      </c>
    </row>
    <row r="1543" spans="1:13" ht="34" x14ac:dyDescent="0.2">
      <c r="A1543" t="s">
        <v>1947</v>
      </c>
      <c r="B1543" t="s">
        <v>931</v>
      </c>
      <c r="C1543" t="s">
        <v>166</v>
      </c>
      <c r="D1543" s="1">
        <v>45461</v>
      </c>
      <c r="E1543" s="6" t="s">
        <v>60</v>
      </c>
      <c r="F1543" t="s">
        <v>90</v>
      </c>
      <c r="G1543" s="3" t="s">
        <v>91</v>
      </c>
      <c r="H1543">
        <v>7</v>
      </c>
      <c r="I1543">
        <v>55.76</v>
      </c>
      <c r="J1543">
        <v>390.31</v>
      </c>
      <c r="K1543" t="s">
        <v>92</v>
      </c>
      <c r="L1543" t="b">
        <v>0</v>
      </c>
    </row>
    <row r="1544" spans="1:13" ht="17" x14ac:dyDescent="0.2">
      <c r="A1544" t="s">
        <v>1948</v>
      </c>
      <c r="B1544" t="s">
        <v>466</v>
      </c>
      <c r="C1544" t="s">
        <v>95</v>
      </c>
      <c r="D1544" s="1">
        <v>44927</v>
      </c>
      <c r="E1544" s="6" t="s">
        <v>89</v>
      </c>
      <c r="F1544" t="s">
        <v>17</v>
      </c>
      <c r="G1544" s="3" t="s">
        <v>18</v>
      </c>
      <c r="H1544">
        <v>7.3</v>
      </c>
      <c r="I1544">
        <v>53.59</v>
      </c>
      <c r="J1544">
        <v>391.18</v>
      </c>
      <c r="K1544" t="s">
        <v>113</v>
      </c>
      <c r="L1544" t="b">
        <v>0</v>
      </c>
    </row>
    <row r="1545" spans="1:13" ht="34" x14ac:dyDescent="0.2">
      <c r="A1545" t="s">
        <v>1949</v>
      </c>
      <c r="B1545" t="s">
        <v>814</v>
      </c>
      <c r="C1545" t="s">
        <v>194</v>
      </c>
      <c r="D1545" s="1">
        <v>45023</v>
      </c>
      <c r="E1545" s="6" t="s">
        <v>78</v>
      </c>
      <c r="F1545" t="s">
        <v>61</v>
      </c>
      <c r="G1545" s="3" t="s">
        <v>62</v>
      </c>
      <c r="H1545">
        <v>2.5</v>
      </c>
      <c r="I1545">
        <v>50.35</v>
      </c>
      <c r="J1545">
        <v>125.88</v>
      </c>
      <c r="K1545" t="s">
        <v>26</v>
      </c>
      <c r="L1545" t="b">
        <v>0</v>
      </c>
    </row>
    <row r="1546" spans="1:13" ht="68" x14ac:dyDescent="0.2">
      <c r="A1546" t="s">
        <v>1950</v>
      </c>
      <c r="B1546" t="s">
        <v>408</v>
      </c>
      <c r="C1546" t="s">
        <v>295</v>
      </c>
      <c r="D1546" s="1">
        <v>45188</v>
      </c>
      <c r="E1546" s="6" t="s">
        <v>44</v>
      </c>
      <c r="F1546" t="s">
        <v>50</v>
      </c>
      <c r="G1546" s="3" t="s">
        <v>51</v>
      </c>
      <c r="H1546">
        <v>4.5999999999999996</v>
      </c>
      <c r="I1546">
        <v>50.56</v>
      </c>
      <c r="J1546">
        <v>232.58</v>
      </c>
      <c r="K1546" t="s">
        <v>26</v>
      </c>
      <c r="L1546" t="b">
        <v>0</v>
      </c>
    </row>
    <row r="1547" spans="1:13" ht="34" x14ac:dyDescent="0.2">
      <c r="A1547" t="s">
        <v>1951</v>
      </c>
      <c r="B1547" t="s">
        <v>171</v>
      </c>
      <c r="C1547" t="s">
        <v>65</v>
      </c>
      <c r="D1547" s="1">
        <v>44943</v>
      </c>
      <c r="E1547" s="6" t="s">
        <v>16</v>
      </c>
      <c r="F1547" t="s">
        <v>54</v>
      </c>
      <c r="G1547" s="3" t="s">
        <v>55</v>
      </c>
      <c r="H1547">
        <v>7.8</v>
      </c>
      <c r="I1547">
        <v>65.59</v>
      </c>
      <c r="J1547">
        <v>511.57</v>
      </c>
      <c r="K1547" t="s">
        <v>113</v>
      </c>
      <c r="L1547" t="b">
        <v>0</v>
      </c>
    </row>
    <row r="1548" spans="1:13" ht="68" x14ac:dyDescent="0.2">
      <c r="A1548" t="s">
        <v>1952</v>
      </c>
      <c r="B1548" t="s">
        <v>975</v>
      </c>
      <c r="C1548" t="s">
        <v>332</v>
      </c>
      <c r="D1548" s="1">
        <v>45556</v>
      </c>
      <c r="E1548" s="6" t="s">
        <v>16</v>
      </c>
      <c r="F1548" t="s">
        <v>50</v>
      </c>
      <c r="G1548" s="3" t="s">
        <v>51</v>
      </c>
      <c r="H1548">
        <v>7.6</v>
      </c>
      <c r="I1548">
        <v>56.64</v>
      </c>
      <c r="J1548">
        <v>430.44</v>
      </c>
      <c r="K1548" t="s">
        <v>19</v>
      </c>
      <c r="L1548" t="b">
        <v>0</v>
      </c>
    </row>
    <row r="1549" spans="1:13" ht="34" x14ac:dyDescent="0.2">
      <c r="A1549" t="s">
        <v>1953</v>
      </c>
      <c r="B1549" t="s">
        <v>1954</v>
      </c>
      <c r="C1549" t="s">
        <v>183</v>
      </c>
      <c r="D1549" s="1">
        <v>45546</v>
      </c>
      <c r="E1549" s="6" t="s">
        <v>60</v>
      </c>
      <c r="F1549" t="s">
        <v>90</v>
      </c>
      <c r="G1549" s="3" t="s">
        <v>91</v>
      </c>
      <c r="H1549">
        <v>3.7</v>
      </c>
      <c r="I1549">
        <v>51.24</v>
      </c>
      <c r="J1549">
        <v>189.59</v>
      </c>
      <c r="K1549" t="s">
        <v>105</v>
      </c>
      <c r="L1549" t="b">
        <v>0</v>
      </c>
    </row>
    <row r="1550" spans="1:13" ht="34" x14ac:dyDescent="0.2">
      <c r="A1550" t="s">
        <v>1955</v>
      </c>
      <c r="B1550" t="s">
        <v>152</v>
      </c>
      <c r="C1550" t="s">
        <v>450</v>
      </c>
      <c r="D1550" s="1">
        <v>45510</v>
      </c>
      <c r="E1550" s="6" t="s">
        <v>78</v>
      </c>
      <c r="F1550" t="s">
        <v>45</v>
      </c>
      <c r="G1550" s="3" t="s">
        <v>46</v>
      </c>
      <c r="H1550">
        <v>2.9</v>
      </c>
      <c r="I1550">
        <v>32.67</v>
      </c>
      <c r="J1550">
        <v>94.74</v>
      </c>
      <c r="K1550" t="s">
        <v>96</v>
      </c>
      <c r="L1550" t="b">
        <v>0</v>
      </c>
    </row>
    <row r="1551" spans="1:13" ht="17" x14ac:dyDescent="0.2">
      <c r="A1551" t="s">
        <v>1956</v>
      </c>
      <c r="B1551" t="s">
        <v>724</v>
      </c>
      <c r="C1551" t="s">
        <v>156</v>
      </c>
      <c r="D1551" s="1">
        <v>45331</v>
      </c>
      <c r="E1551" s="6" t="s">
        <v>44</v>
      </c>
      <c r="F1551" t="s">
        <v>30</v>
      </c>
      <c r="G1551" s="3" t="s">
        <v>31</v>
      </c>
      <c r="H1551">
        <v>5.0999999999999996</v>
      </c>
      <c r="I1551">
        <v>42.73</v>
      </c>
      <c r="J1551">
        <v>217.92</v>
      </c>
      <c r="K1551" t="s">
        <v>92</v>
      </c>
      <c r="L1551" t="b">
        <v>0</v>
      </c>
    </row>
    <row r="1552" spans="1:13" ht="34" x14ac:dyDescent="0.2">
      <c r="A1552" t="s">
        <v>1957</v>
      </c>
      <c r="B1552" t="s">
        <v>970</v>
      </c>
      <c r="C1552" t="s">
        <v>370</v>
      </c>
      <c r="D1552" s="1">
        <v>45396</v>
      </c>
      <c r="E1552" s="6" t="s">
        <v>89</v>
      </c>
      <c r="F1552" t="s">
        <v>90</v>
      </c>
      <c r="G1552" s="3" t="s">
        <v>91</v>
      </c>
      <c r="H1552">
        <v>7.5</v>
      </c>
      <c r="I1552">
        <v>55.8</v>
      </c>
      <c r="J1552">
        <v>418.54</v>
      </c>
      <c r="K1552" t="s">
        <v>19</v>
      </c>
      <c r="L1552" t="b">
        <v>0</v>
      </c>
    </row>
    <row r="1553" spans="1:13" ht="34" x14ac:dyDescent="0.2">
      <c r="A1553" t="s">
        <v>1958</v>
      </c>
      <c r="B1553" t="s">
        <v>925</v>
      </c>
      <c r="C1553" t="s">
        <v>256</v>
      </c>
      <c r="D1553" s="1">
        <v>45415</v>
      </c>
      <c r="E1553" s="6" t="s">
        <v>16</v>
      </c>
      <c r="F1553" t="s">
        <v>61</v>
      </c>
      <c r="G1553" s="3" t="s">
        <v>62</v>
      </c>
      <c r="H1553">
        <v>4.5</v>
      </c>
      <c r="I1553">
        <v>52.88</v>
      </c>
      <c r="J1553">
        <v>237.96</v>
      </c>
      <c r="K1553" t="s">
        <v>96</v>
      </c>
      <c r="L1553" t="b">
        <v>0</v>
      </c>
    </row>
    <row r="1554" spans="1:13" ht="34" x14ac:dyDescent="0.2">
      <c r="A1554" t="s">
        <v>1959</v>
      </c>
      <c r="B1554" t="s">
        <v>796</v>
      </c>
      <c r="C1554" t="s">
        <v>499</v>
      </c>
      <c r="D1554" s="1">
        <v>45388</v>
      </c>
      <c r="E1554" s="6" t="s">
        <v>89</v>
      </c>
      <c r="F1554" t="s">
        <v>45</v>
      </c>
      <c r="G1554" s="3" t="s">
        <v>46</v>
      </c>
      <c r="H1554">
        <v>4.0999999999999996</v>
      </c>
      <c r="I1554">
        <v>60.13</v>
      </c>
      <c r="J1554">
        <v>246.55</v>
      </c>
      <c r="K1554" t="s">
        <v>105</v>
      </c>
      <c r="L1554" t="b">
        <v>0</v>
      </c>
    </row>
    <row r="1555" spans="1:13" ht="34" x14ac:dyDescent="0.2">
      <c r="A1555" t="s">
        <v>1960</v>
      </c>
      <c r="B1555" t="s">
        <v>549</v>
      </c>
      <c r="C1555" t="s">
        <v>124</v>
      </c>
      <c r="D1555" s="1">
        <v>44964</v>
      </c>
      <c r="E1555" s="6" t="s">
        <v>23</v>
      </c>
      <c r="F1555" t="s">
        <v>24</v>
      </c>
      <c r="G1555" s="3" t="s">
        <v>25</v>
      </c>
      <c r="H1555">
        <v>2.7</v>
      </c>
      <c r="I1555">
        <v>64.69</v>
      </c>
      <c r="J1555">
        <v>174.68</v>
      </c>
      <c r="K1555" t="s">
        <v>36</v>
      </c>
      <c r="L1555" t="b">
        <v>0</v>
      </c>
    </row>
    <row r="1556" spans="1:13" ht="68" x14ac:dyDescent="0.2">
      <c r="A1556" t="s">
        <v>1961</v>
      </c>
      <c r="B1556" t="s">
        <v>1869</v>
      </c>
      <c r="C1556" t="s">
        <v>365</v>
      </c>
      <c r="D1556" s="1">
        <v>44986</v>
      </c>
      <c r="E1556" s="6" t="s">
        <v>60</v>
      </c>
      <c r="F1556" t="s">
        <v>50</v>
      </c>
      <c r="G1556" s="3" t="s">
        <v>51</v>
      </c>
      <c r="H1556">
        <v>7.1</v>
      </c>
      <c r="I1556">
        <v>27.72</v>
      </c>
      <c r="J1556">
        <v>196.78</v>
      </c>
      <c r="K1556" t="s">
        <v>56</v>
      </c>
      <c r="L1556" t="b">
        <v>0</v>
      </c>
    </row>
    <row r="1557" spans="1:13" ht="34" x14ac:dyDescent="0.2">
      <c r="A1557" t="s">
        <v>1962</v>
      </c>
      <c r="B1557" t="s">
        <v>386</v>
      </c>
      <c r="C1557" t="s">
        <v>110</v>
      </c>
      <c r="D1557" s="1">
        <v>45634</v>
      </c>
      <c r="E1557" s="6" t="s">
        <v>16</v>
      </c>
      <c r="F1557" t="s">
        <v>45</v>
      </c>
      <c r="G1557" s="3" t="s">
        <v>46</v>
      </c>
      <c r="H1557">
        <v>3.9</v>
      </c>
      <c r="I1557">
        <v>68.45</v>
      </c>
      <c r="J1557">
        <v>266.94</v>
      </c>
      <c r="K1557" t="s">
        <v>26</v>
      </c>
      <c r="L1557" t="b">
        <v>0</v>
      </c>
    </row>
    <row r="1558" spans="1:13" ht="17" x14ac:dyDescent="0.2">
      <c r="A1558" t="s">
        <v>1963</v>
      </c>
      <c r="B1558" t="s">
        <v>221</v>
      </c>
      <c r="C1558" t="s">
        <v>122</v>
      </c>
      <c r="D1558" s="1">
        <v>45261</v>
      </c>
      <c r="E1558" s="6" t="s">
        <v>23</v>
      </c>
      <c r="F1558" t="s">
        <v>17</v>
      </c>
      <c r="G1558" s="3" t="s">
        <v>18</v>
      </c>
      <c r="H1558">
        <v>5.7</v>
      </c>
      <c r="I1558">
        <v>40.9</v>
      </c>
      <c r="J1558">
        <v>233.16</v>
      </c>
      <c r="K1558" t="s">
        <v>36</v>
      </c>
      <c r="L1558" t="b">
        <v>0</v>
      </c>
    </row>
    <row r="1559" spans="1:13" ht="17" x14ac:dyDescent="0.2">
      <c r="A1559" t="s">
        <v>1964</v>
      </c>
      <c r="B1559" t="s">
        <v>449</v>
      </c>
      <c r="C1559" t="s">
        <v>175</v>
      </c>
      <c r="D1559" s="1">
        <v>45240</v>
      </c>
      <c r="E1559" s="6" t="s">
        <v>89</v>
      </c>
      <c r="F1559" t="s">
        <v>30</v>
      </c>
      <c r="G1559" s="3" t="s">
        <v>31</v>
      </c>
      <c r="H1559">
        <v>3.1</v>
      </c>
      <c r="I1559">
        <v>69.819999999999993</v>
      </c>
      <c r="J1559">
        <v>216.45</v>
      </c>
      <c r="K1559" t="s">
        <v>36</v>
      </c>
      <c r="L1559" t="b">
        <v>0</v>
      </c>
    </row>
    <row r="1560" spans="1:13" ht="34" x14ac:dyDescent="0.2">
      <c r="A1560" t="s">
        <v>1965</v>
      </c>
      <c r="B1560" t="s">
        <v>276</v>
      </c>
      <c r="C1560" t="s">
        <v>266</v>
      </c>
      <c r="D1560" s="1">
        <v>44950</v>
      </c>
      <c r="E1560" s="6" t="s">
        <v>89</v>
      </c>
      <c r="F1560" t="s">
        <v>45</v>
      </c>
      <c r="G1560" s="3" t="s">
        <v>46</v>
      </c>
      <c r="H1560">
        <v>7.2</v>
      </c>
      <c r="I1560">
        <v>31.38</v>
      </c>
      <c r="J1560">
        <v>225.93</v>
      </c>
      <c r="K1560" t="s">
        <v>105</v>
      </c>
      <c r="L1560" t="b">
        <v>0</v>
      </c>
    </row>
    <row r="1561" spans="1:13" ht="34" x14ac:dyDescent="0.2">
      <c r="A1561" t="s">
        <v>1966</v>
      </c>
      <c r="B1561" t="s">
        <v>369</v>
      </c>
      <c r="C1561" t="s">
        <v>219</v>
      </c>
      <c r="D1561" s="1">
        <v>44935</v>
      </c>
      <c r="E1561" s="6" t="s">
        <v>23</v>
      </c>
      <c r="F1561" t="s">
        <v>24</v>
      </c>
      <c r="G1561" s="3" t="s">
        <v>25</v>
      </c>
      <c r="H1561">
        <v>2</v>
      </c>
      <c r="I1561">
        <v>32</v>
      </c>
      <c r="J1561">
        <v>64</v>
      </c>
      <c r="K1561" t="s">
        <v>82</v>
      </c>
      <c r="L1561" t="b">
        <v>0</v>
      </c>
    </row>
    <row r="1562" spans="1:13" ht="17" x14ac:dyDescent="0.2">
      <c r="A1562" t="s">
        <v>1967</v>
      </c>
      <c r="B1562" t="s">
        <v>313</v>
      </c>
      <c r="C1562" t="s">
        <v>166</v>
      </c>
      <c r="D1562" s="1">
        <v>45303</v>
      </c>
      <c r="E1562" s="6" t="s">
        <v>16</v>
      </c>
      <c r="F1562" t="s">
        <v>17</v>
      </c>
      <c r="G1562" s="3" t="s">
        <v>18</v>
      </c>
      <c r="H1562">
        <v>4.8</v>
      </c>
      <c r="I1562">
        <v>49.31</v>
      </c>
      <c r="J1562">
        <v>236.67</v>
      </c>
      <c r="K1562" t="s">
        <v>26</v>
      </c>
      <c r="L1562" t="b">
        <v>0</v>
      </c>
    </row>
    <row r="1563" spans="1:13" ht="17" x14ac:dyDescent="0.2">
      <c r="A1563" t="s">
        <v>1968</v>
      </c>
      <c r="B1563" t="s">
        <v>300</v>
      </c>
      <c r="C1563" t="s">
        <v>295</v>
      </c>
      <c r="D1563" s="1">
        <v>45253</v>
      </c>
      <c r="E1563" s="6" t="s">
        <v>89</v>
      </c>
      <c r="F1563" t="s">
        <v>17</v>
      </c>
      <c r="G1563" s="3" t="s">
        <v>18</v>
      </c>
      <c r="H1563">
        <v>3.8</v>
      </c>
      <c r="I1563">
        <v>73.790000000000006</v>
      </c>
      <c r="J1563">
        <v>280.39</v>
      </c>
      <c r="K1563" t="s">
        <v>32</v>
      </c>
      <c r="L1563" t="b">
        <v>0</v>
      </c>
    </row>
    <row r="1564" spans="1:13" ht="34" x14ac:dyDescent="0.2">
      <c r="A1564" t="s">
        <v>1969</v>
      </c>
      <c r="B1564" t="s">
        <v>468</v>
      </c>
      <c r="C1564" t="s">
        <v>196</v>
      </c>
      <c r="D1564" s="1">
        <v>45060</v>
      </c>
      <c r="E1564" s="6" t="s">
        <v>16</v>
      </c>
      <c r="F1564" t="s">
        <v>54</v>
      </c>
      <c r="G1564" s="3" t="s">
        <v>55</v>
      </c>
      <c r="H1564">
        <v>6.1</v>
      </c>
      <c r="I1564">
        <v>82.79</v>
      </c>
      <c r="J1564">
        <v>505.01</v>
      </c>
      <c r="K1564" t="s">
        <v>96</v>
      </c>
      <c r="L1564" t="b">
        <v>0</v>
      </c>
    </row>
    <row r="1565" spans="1:13" ht="34" x14ac:dyDescent="0.2">
      <c r="A1565" t="s">
        <v>1970</v>
      </c>
      <c r="B1565" t="s">
        <v>669</v>
      </c>
      <c r="C1565" t="s">
        <v>59</v>
      </c>
      <c r="D1565" s="1">
        <v>45113</v>
      </c>
      <c r="E1565" s="6" t="s">
        <v>23</v>
      </c>
      <c r="F1565" t="s">
        <v>61</v>
      </c>
      <c r="G1565" s="3" t="s">
        <v>62</v>
      </c>
      <c r="H1565">
        <v>6.8</v>
      </c>
      <c r="I1565">
        <v>30.26</v>
      </c>
      <c r="J1565">
        <v>205.76</v>
      </c>
      <c r="K1565" t="s">
        <v>36</v>
      </c>
      <c r="L1565" t="b">
        <v>0</v>
      </c>
    </row>
    <row r="1566" spans="1:13" ht="34" x14ac:dyDescent="0.2">
      <c r="A1566" t="s">
        <v>1971</v>
      </c>
      <c r="B1566" t="s">
        <v>356</v>
      </c>
      <c r="C1566" t="s">
        <v>85</v>
      </c>
      <c r="D1566" s="1">
        <v>45359</v>
      </c>
      <c r="E1566" s="6" t="s">
        <v>16</v>
      </c>
      <c r="F1566" t="s">
        <v>24</v>
      </c>
      <c r="G1566" s="3" t="s">
        <v>25</v>
      </c>
      <c r="H1566">
        <v>33.799999999999997</v>
      </c>
      <c r="I1566">
        <v>73.959999999999994</v>
      </c>
      <c r="J1566">
        <v>2500</v>
      </c>
      <c r="K1566" t="s">
        <v>82</v>
      </c>
      <c r="L1566" t="b">
        <v>1</v>
      </c>
      <c r="M1566" s="3" t="s">
        <v>40</v>
      </c>
    </row>
    <row r="1567" spans="1:13" ht="17" x14ac:dyDescent="0.2">
      <c r="A1567" t="s">
        <v>1972</v>
      </c>
      <c r="B1567" t="s">
        <v>713</v>
      </c>
      <c r="C1567" t="s">
        <v>196</v>
      </c>
      <c r="D1567" s="1">
        <v>45232</v>
      </c>
      <c r="E1567" s="6" t="s">
        <v>16</v>
      </c>
      <c r="F1567" t="s">
        <v>30</v>
      </c>
      <c r="G1567" s="3" t="s">
        <v>31</v>
      </c>
      <c r="H1567">
        <v>7.2</v>
      </c>
      <c r="I1567">
        <v>37.549999999999997</v>
      </c>
      <c r="J1567">
        <v>270.39</v>
      </c>
      <c r="K1567" t="s">
        <v>96</v>
      </c>
      <c r="L1567" t="b">
        <v>0</v>
      </c>
    </row>
    <row r="1568" spans="1:13" ht="68" x14ac:dyDescent="0.2">
      <c r="A1568" t="s">
        <v>1973</v>
      </c>
      <c r="B1568" t="s">
        <v>255</v>
      </c>
      <c r="C1568" t="s">
        <v>59</v>
      </c>
      <c r="D1568" s="1">
        <v>45020</v>
      </c>
      <c r="E1568" s="6" t="s">
        <v>16</v>
      </c>
      <c r="F1568" t="s">
        <v>50</v>
      </c>
      <c r="G1568" s="3" t="s">
        <v>51</v>
      </c>
      <c r="H1568">
        <v>5.9</v>
      </c>
      <c r="I1568">
        <v>51.15</v>
      </c>
      <c r="J1568">
        <v>301.77</v>
      </c>
      <c r="K1568" t="s">
        <v>92</v>
      </c>
      <c r="L1568" t="b">
        <v>0</v>
      </c>
    </row>
    <row r="1569" spans="1:13" ht="17" x14ac:dyDescent="0.2">
      <c r="A1569" t="s">
        <v>1974</v>
      </c>
      <c r="B1569" t="s">
        <v>358</v>
      </c>
      <c r="C1569" t="s">
        <v>35</v>
      </c>
      <c r="D1569" s="1">
        <v>45057</v>
      </c>
      <c r="E1569" s="6" t="s">
        <v>23</v>
      </c>
      <c r="F1569" t="s">
        <v>30</v>
      </c>
      <c r="G1569" s="3" t="s">
        <v>31</v>
      </c>
      <c r="H1569">
        <v>2.5</v>
      </c>
      <c r="I1569">
        <v>71.180000000000007</v>
      </c>
      <c r="J1569">
        <v>177.96</v>
      </c>
      <c r="K1569" t="s">
        <v>36</v>
      </c>
      <c r="L1569" t="b">
        <v>0</v>
      </c>
    </row>
    <row r="1570" spans="1:13" ht="17" x14ac:dyDescent="0.2">
      <c r="A1570" t="s">
        <v>1975</v>
      </c>
      <c r="B1570" t="s">
        <v>1261</v>
      </c>
      <c r="C1570" t="s">
        <v>49</v>
      </c>
      <c r="D1570" s="1">
        <v>45316</v>
      </c>
      <c r="E1570" s="6" t="s">
        <v>23</v>
      </c>
      <c r="F1570" t="s">
        <v>17</v>
      </c>
      <c r="G1570" s="3" t="s">
        <v>18</v>
      </c>
      <c r="H1570">
        <v>4.5</v>
      </c>
      <c r="I1570">
        <v>31.99</v>
      </c>
      <c r="J1570">
        <v>143.94</v>
      </c>
      <c r="K1570" t="s">
        <v>96</v>
      </c>
      <c r="L1570" t="b">
        <v>0</v>
      </c>
    </row>
    <row r="1571" spans="1:13" ht="34" x14ac:dyDescent="0.2">
      <c r="A1571" t="s">
        <v>1976</v>
      </c>
      <c r="B1571" t="s">
        <v>338</v>
      </c>
      <c r="C1571" t="s">
        <v>43</v>
      </c>
      <c r="D1571" s="1">
        <v>45010</v>
      </c>
      <c r="E1571" s="6" t="s">
        <v>60</v>
      </c>
      <c r="F1571" t="s">
        <v>17</v>
      </c>
      <c r="G1571" s="3" t="s">
        <v>18</v>
      </c>
      <c r="H1571">
        <v>18.8</v>
      </c>
      <c r="I1571">
        <v>53.29</v>
      </c>
      <c r="J1571">
        <v>1000</v>
      </c>
      <c r="K1571" t="s">
        <v>92</v>
      </c>
      <c r="L1571" t="b">
        <v>1</v>
      </c>
      <c r="M1571" s="3" t="s">
        <v>40</v>
      </c>
    </row>
    <row r="1572" spans="1:13" ht="17" x14ac:dyDescent="0.2">
      <c r="A1572" t="s">
        <v>1977</v>
      </c>
      <c r="B1572" t="s">
        <v>1261</v>
      </c>
      <c r="C1572" t="s">
        <v>85</v>
      </c>
      <c r="D1572" s="1">
        <v>45543</v>
      </c>
      <c r="E1572" s="6" t="s">
        <v>60</v>
      </c>
      <c r="F1572" t="s">
        <v>30</v>
      </c>
      <c r="G1572" s="3" t="s">
        <v>31</v>
      </c>
      <c r="H1572">
        <v>3.2</v>
      </c>
      <c r="I1572">
        <v>59.17</v>
      </c>
      <c r="J1572">
        <v>189.33</v>
      </c>
      <c r="K1572" t="s">
        <v>96</v>
      </c>
      <c r="L1572" t="b">
        <v>0</v>
      </c>
    </row>
    <row r="1573" spans="1:13" ht="34" x14ac:dyDescent="0.2">
      <c r="A1573" t="s">
        <v>1978</v>
      </c>
      <c r="B1573" t="s">
        <v>48</v>
      </c>
      <c r="C1573" t="s">
        <v>68</v>
      </c>
      <c r="D1573" s="1">
        <v>45203</v>
      </c>
      <c r="E1573" s="6" t="s">
        <v>16</v>
      </c>
      <c r="F1573" t="s">
        <v>24</v>
      </c>
      <c r="G1573" s="3" t="s">
        <v>25</v>
      </c>
      <c r="H1573">
        <v>4</v>
      </c>
      <c r="I1573">
        <v>31.16</v>
      </c>
      <c r="J1573">
        <v>124.64</v>
      </c>
      <c r="K1573" t="s">
        <v>32</v>
      </c>
      <c r="L1573" t="b">
        <v>0</v>
      </c>
    </row>
    <row r="1574" spans="1:13" ht="34" x14ac:dyDescent="0.2">
      <c r="A1574" t="s">
        <v>1979</v>
      </c>
      <c r="B1574" t="s">
        <v>144</v>
      </c>
      <c r="C1574" t="s">
        <v>194</v>
      </c>
      <c r="D1574" s="1">
        <v>45036</v>
      </c>
      <c r="E1574" s="6" t="s">
        <v>16</v>
      </c>
      <c r="F1574" t="s">
        <v>61</v>
      </c>
      <c r="G1574" s="3" t="s">
        <v>62</v>
      </c>
      <c r="H1574">
        <v>7.9</v>
      </c>
      <c r="I1574">
        <v>75.92</v>
      </c>
      <c r="J1574">
        <v>599.74</v>
      </c>
      <c r="K1574" t="s">
        <v>113</v>
      </c>
      <c r="L1574" t="b">
        <v>0</v>
      </c>
    </row>
    <row r="1575" spans="1:13" ht="34" x14ac:dyDescent="0.2">
      <c r="A1575" t="s">
        <v>1980</v>
      </c>
      <c r="B1575" t="s">
        <v>666</v>
      </c>
      <c r="C1575" t="s">
        <v>145</v>
      </c>
      <c r="D1575" s="1">
        <v>45415</v>
      </c>
      <c r="E1575" s="6" t="s">
        <v>89</v>
      </c>
      <c r="F1575" t="s">
        <v>45</v>
      </c>
      <c r="G1575" s="3" t="s">
        <v>46</v>
      </c>
      <c r="H1575">
        <v>2.2000000000000002</v>
      </c>
      <c r="I1575">
        <v>48.98</v>
      </c>
      <c r="J1575">
        <v>107.76</v>
      </c>
      <c r="K1575" t="s">
        <v>113</v>
      </c>
      <c r="L1575" t="b">
        <v>0</v>
      </c>
    </row>
    <row r="1576" spans="1:13" ht="17" x14ac:dyDescent="0.2">
      <c r="A1576" t="s">
        <v>1981</v>
      </c>
      <c r="B1576" t="s">
        <v>770</v>
      </c>
      <c r="C1576" t="s">
        <v>145</v>
      </c>
      <c r="D1576" s="1">
        <v>45414</v>
      </c>
      <c r="E1576" s="6" t="s">
        <v>44</v>
      </c>
      <c r="F1576" t="s">
        <v>17</v>
      </c>
      <c r="G1576" s="3" t="s">
        <v>18</v>
      </c>
      <c r="H1576">
        <v>3.4</v>
      </c>
      <c r="I1576">
        <v>28.64</v>
      </c>
      <c r="J1576">
        <v>97.38</v>
      </c>
      <c r="K1576" t="s">
        <v>96</v>
      </c>
      <c r="L1576" t="b">
        <v>0</v>
      </c>
    </row>
    <row r="1577" spans="1:13" ht="34" x14ac:dyDescent="0.2">
      <c r="A1577" t="s">
        <v>1982</v>
      </c>
      <c r="B1577" t="s">
        <v>290</v>
      </c>
      <c r="C1577" t="s">
        <v>35</v>
      </c>
      <c r="D1577" s="1">
        <v>45588</v>
      </c>
      <c r="E1577" s="6" t="s">
        <v>78</v>
      </c>
      <c r="F1577" t="s">
        <v>61</v>
      </c>
      <c r="G1577" s="3" t="s">
        <v>62</v>
      </c>
      <c r="H1577">
        <v>12.9</v>
      </c>
      <c r="I1577">
        <v>58.2</v>
      </c>
      <c r="J1577">
        <v>750</v>
      </c>
      <c r="K1577" t="s">
        <v>92</v>
      </c>
      <c r="L1577" t="b">
        <v>1</v>
      </c>
      <c r="M1577" s="3" t="s">
        <v>40</v>
      </c>
    </row>
    <row r="1578" spans="1:13" ht="34" x14ac:dyDescent="0.2">
      <c r="A1578" t="s">
        <v>1983</v>
      </c>
      <c r="B1578" t="s">
        <v>490</v>
      </c>
      <c r="C1578" t="s">
        <v>159</v>
      </c>
      <c r="D1578" s="1">
        <v>45614</v>
      </c>
      <c r="E1578" s="6" t="s">
        <v>89</v>
      </c>
      <c r="F1578" t="s">
        <v>61</v>
      </c>
      <c r="G1578" s="3" t="s">
        <v>62</v>
      </c>
      <c r="H1578">
        <v>7.3</v>
      </c>
      <c r="I1578">
        <v>32.020000000000003</v>
      </c>
      <c r="J1578">
        <v>233.72</v>
      </c>
      <c r="K1578" t="s">
        <v>92</v>
      </c>
      <c r="L1578" t="b">
        <v>0</v>
      </c>
    </row>
    <row r="1579" spans="1:13" ht="34" x14ac:dyDescent="0.2">
      <c r="A1579" t="s">
        <v>1984</v>
      </c>
      <c r="B1579" t="s">
        <v>107</v>
      </c>
      <c r="C1579" t="s">
        <v>211</v>
      </c>
      <c r="D1579" s="1">
        <v>45361</v>
      </c>
      <c r="E1579" s="6" t="s">
        <v>23</v>
      </c>
      <c r="F1579" t="s">
        <v>54</v>
      </c>
      <c r="G1579" s="3" t="s">
        <v>55</v>
      </c>
      <c r="H1579">
        <v>4.7</v>
      </c>
      <c r="I1579">
        <v>51.17</v>
      </c>
      <c r="J1579">
        <v>240.52</v>
      </c>
      <c r="K1579" t="s">
        <v>92</v>
      </c>
      <c r="L1579" t="b">
        <v>0</v>
      </c>
    </row>
    <row r="1580" spans="1:13" ht="34" x14ac:dyDescent="0.2">
      <c r="A1580" t="s">
        <v>1985</v>
      </c>
      <c r="B1580" t="s">
        <v>342</v>
      </c>
      <c r="C1580" t="s">
        <v>35</v>
      </c>
      <c r="D1580" s="1">
        <v>45136</v>
      </c>
      <c r="E1580" s="6" t="s">
        <v>60</v>
      </c>
      <c r="F1580" t="s">
        <v>45</v>
      </c>
      <c r="G1580" s="3" t="s">
        <v>46</v>
      </c>
      <c r="H1580">
        <v>23.9</v>
      </c>
      <c r="I1580">
        <v>53.15</v>
      </c>
      <c r="J1580">
        <v>1270.28</v>
      </c>
      <c r="K1580" t="s">
        <v>92</v>
      </c>
      <c r="L1580" t="b">
        <v>1</v>
      </c>
      <c r="M1580" s="3" t="s">
        <v>79</v>
      </c>
    </row>
    <row r="1581" spans="1:13" ht="17" x14ac:dyDescent="0.2">
      <c r="A1581" t="s">
        <v>1986</v>
      </c>
      <c r="B1581" t="s">
        <v>613</v>
      </c>
      <c r="C1581" t="s">
        <v>35</v>
      </c>
      <c r="D1581" s="1">
        <v>44974</v>
      </c>
      <c r="E1581" s="6" t="s">
        <v>16</v>
      </c>
      <c r="F1581" t="s">
        <v>30</v>
      </c>
      <c r="G1581" s="3" t="s">
        <v>31</v>
      </c>
      <c r="H1581">
        <v>5</v>
      </c>
      <c r="I1581">
        <v>60.26</v>
      </c>
      <c r="J1581">
        <v>301.3</v>
      </c>
      <c r="K1581" t="s">
        <v>26</v>
      </c>
      <c r="L1581" t="b">
        <v>0</v>
      </c>
    </row>
    <row r="1582" spans="1:13" ht="34" x14ac:dyDescent="0.2">
      <c r="A1582" t="s">
        <v>1987</v>
      </c>
      <c r="B1582" t="s">
        <v>104</v>
      </c>
      <c r="C1582" t="s">
        <v>370</v>
      </c>
      <c r="D1582" s="1">
        <v>45283</v>
      </c>
      <c r="E1582" s="6" t="s">
        <v>16</v>
      </c>
      <c r="F1582" t="s">
        <v>54</v>
      </c>
      <c r="G1582" s="3" t="s">
        <v>55</v>
      </c>
      <c r="H1582">
        <v>7.5</v>
      </c>
      <c r="I1582">
        <v>76.209999999999994</v>
      </c>
      <c r="J1582">
        <v>571.54999999999995</v>
      </c>
      <c r="K1582" t="s">
        <v>105</v>
      </c>
      <c r="L1582" t="b">
        <v>0</v>
      </c>
    </row>
    <row r="1583" spans="1:13" ht="17" x14ac:dyDescent="0.2">
      <c r="A1583" t="s">
        <v>1988</v>
      </c>
      <c r="B1583" t="s">
        <v>245</v>
      </c>
      <c r="C1583" t="s">
        <v>178</v>
      </c>
      <c r="D1583" s="1">
        <v>45654</v>
      </c>
      <c r="E1583" s="6" t="s">
        <v>16</v>
      </c>
      <c r="F1583" t="s">
        <v>17</v>
      </c>
      <c r="G1583" s="3" t="s">
        <v>18</v>
      </c>
      <c r="H1583">
        <v>2.8</v>
      </c>
      <c r="I1583">
        <v>42.6</v>
      </c>
      <c r="J1583">
        <v>119.29</v>
      </c>
      <c r="K1583" t="s">
        <v>32</v>
      </c>
      <c r="L1583" t="b">
        <v>0</v>
      </c>
    </row>
    <row r="1584" spans="1:13" ht="34" x14ac:dyDescent="0.2">
      <c r="A1584" t="s">
        <v>1989</v>
      </c>
      <c r="B1584" t="s">
        <v>944</v>
      </c>
      <c r="C1584" t="s">
        <v>119</v>
      </c>
      <c r="D1584" s="1">
        <v>45314</v>
      </c>
      <c r="E1584" s="6" t="s">
        <v>16</v>
      </c>
      <c r="F1584" t="s">
        <v>61</v>
      </c>
      <c r="G1584" s="3" t="s">
        <v>62</v>
      </c>
      <c r="H1584">
        <v>7.8</v>
      </c>
      <c r="I1584">
        <v>74.98</v>
      </c>
      <c r="J1584">
        <v>584.88</v>
      </c>
      <c r="K1584" t="s">
        <v>113</v>
      </c>
      <c r="L1584" t="b">
        <v>0</v>
      </c>
    </row>
    <row r="1585" spans="1:13" ht="34" x14ac:dyDescent="0.2">
      <c r="A1585" t="s">
        <v>1990</v>
      </c>
      <c r="B1585" t="s">
        <v>221</v>
      </c>
      <c r="C1585" t="s">
        <v>159</v>
      </c>
      <c r="D1585" s="1">
        <v>45200</v>
      </c>
      <c r="E1585" s="6" t="s">
        <v>23</v>
      </c>
      <c r="F1585" t="s">
        <v>54</v>
      </c>
      <c r="G1585" s="3" t="s">
        <v>55</v>
      </c>
      <c r="H1585">
        <v>6.8</v>
      </c>
      <c r="I1585">
        <v>72.989999999999995</v>
      </c>
      <c r="J1585">
        <v>496.3</v>
      </c>
      <c r="K1585" t="s">
        <v>36</v>
      </c>
      <c r="L1585" t="b">
        <v>0</v>
      </c>
    </row>
    <row r="1586" spans="1:13" ht="17" x14ac:dyDescent="0.2">
      <c r="A1586" t="s">
        <v>1991</v>
      </c>
      <c r="B1586" t="s">
        <v>1454</v>
      </c>
      <c r="C1586" t="s">
        <v>166</v>
      </c>
      <c r="D1586" s="1">
        <v>45177</v>
      </c>
      <c r="E1586" s="6" t="s">
        <v>16</v>
      </c>
      <c r="F1586" t="s">
        <v>30</v>
      </c>
      <c r="G1586" s="3" t="s">
        <v>31</v>
      </c>
      <c r="H1586">
        <v>3.7</v>
      </c>
      <c r="I1586">
        <v>69.959999999999994</v>
      </c>
      <c r="J1586">
        <v>258.83</v>
      </c>
      <c r="K1586" t="s">
        <v>26</v>
      </c>
      <c r="L1586" t="b">
        <v>0</v>
      </c>
    </row>
    <row r="1587" spans="1:13" ht="17" x14ac:dyDescent="0.2">
      <c r="A1587" t="s">
        <v>1992</v>
      </c>
      <c r="B1587" t="s">
        <v>558</v>
      </c>
      <c r="C1587" t="s">
        <v>391</v>
      </c>
      <c r="D1587" s="1">
        <v>45505</v>
      </c>
      <c r="E1587" s="6" t="s">
        <v>89</v>
      </c>
      <c r="F1587" t="s">
        <v>17</v>
      </c>
      <c r="G1587" s="3" t="s">
        <v>18</v>
      </c>
      <c r="H1587">
        <v>2.8</v>
      </c>
      <c r="I1587">
        <v>36.97</v>
      </c>
      <c r="J1587">
        <v>103.51</v>
      </c>
      <c r="K1587" t="s">
        <v>26</v>
      </c>
      <c r="L1587" t="b">
        <v>0</v>
      </c>
    </row>
    <row r="1588" spans="1:13" ht="17" x14ac:dyDescent="0.2">
      <c r="A1588" t="s">
        <v>1993</v>
      </c>
      <c r="B1588" t="s">
        <v>152</v>
      </c>
      <c r="C1588" t="s">
        <v>43</v>
      </c>
      <c r="D1588" s="1">
        <v>45294</v>
      </c>
      <c r="E1588" s="6" t="s">
        <v>60</v>
      </c>
      <c r="F1588" t="s">
        <v>17</v>
      </c>
      <c r="G1588" s="3" t="s">
        <v>18</v>
      </c>
      <c r="H1588">
        <v>2.6</v>
      </c>
      <c r="I1588">
        <v>49.96</v>
      </c>
      <c r="J1588">
        <v>129.88999999999999</v>
      </c>
      <c r="K1588" t="s">
        <v>96</v>
      </c>
      <c r="L1588" t="b">
        <v>0</v>
      </c>
    </row>
    <row r="1589" spans="1:13" ht="34" x14ac:dyDescent="0.2">
      <c r="A1589" t="s">
        <v>1994</v>
      </c>
      <c r="B1589" t="s">
        <v>490</v>
      </c>
      <c r="C1589" t="s">
        <v>156</v>
      </c>
      <c r="D1589" s="1">
        <v>44968</v>
      </c>
      <c r="E1589" s="6" t="s">
        <v>44</v>
      </c>
      <c r="F1589" t="s">
        <v>45</v>
      </c>
      <c r="G1589" s="3" t="s">
        <v>46</v>
      </c>
      <c r="H1589">
        <v>3.4</v>
      </c>
      <c r="I1589">
        <v>58.41</v>
      </c>
      <c r="J1589">
        <v>198.59</v>
      </c>
      <c r="K1589" t="s">
        <v>92</v>
      </c>
      <c r="L1589" t="b">
        <v>0</v>
      </c>
    </row>
    <row r="1590" spans="1:13" ht="34" x14ac:dyDescent="0.2">
      <c r="A1590" t="s">
        <v>1995</v>
      </c>
      <c r="B1590" t="s">
        <v>1144</v>
      </c>
      <c r="C1590" t="s">
        <v>85</v>
      </c>
      <c r="D1590" s="1">
        <v>45267</v>
      </c>
      <c r="E1590" s="6" t="s">
        <v>23</v>
      </c>
      <c r="F1590" t="s">
        <v>54</v>
      </c>
      <c r="G1590" s="3" t="s">
        <v>55</v>
      </c>
      <c r="H1590">
        <v>7.3</v>
      </c>
      <c r="I1590">
        <v>46.42</v>
      </c>
      <c r="J1590">
        <v>338.89</v>
      </c>
      <c r="K1590" t="s">
        <v>96</v>
      </c>
      <c r="L1590" t="b">
        <v>0</v>
      </c>
    </row>
    <row r="1591" spans="1:13" ht="68" x14ac:dyDescent="0.2">
      <c r="A1591" t="s">
        <v>1996</v>
      </c>
      <c r="B1591" t="s">
        <v>819</v>
      </c>
      <c r="C1591" t="s">
        <v>280</v>
      </c>
      <c r="D1591" s="1">
        <v>45184</v>
      </c>
      <c r="E1591" s="6" t="s">
        <v>44</v>
      </c>
      <c r="F1591" t="s">
        <v>50</v>
      </c>
      <c r="G1591" s="3" t="s">
        <v>51</v>
      </c>
      <c r="H1591">
        <v>7</v>
      </c>
      <c r="I1591">
        <v>78.67</v>
      </c>
      <c r="J1591">
        <v>550.66999999999996</v>
      </c>
      <c r="K1591" t="s">
        <v>105</v>
      </c>
      <c r="L1591" t="b">
        <v>0</v>
      </c>
    </row>
    <row r="1592" spans="1:13" ht="34" x14ac:dyDescent="0.2">
      <c r="A1592" t="s">
        <v>1997</v>
      </c>
      <c r="B1592" t="s">
        <v>753</v>
      </c>
      <c r="C1592" t="s">
        <v>323</v>
      </c>
      <c r="D1592" s="1">
        <v>45285</v>
      </c>
      <c r="E1592" s="6" t="s">
        <v>23</v>
      </c>
      <c r="F1592" t="s">
        <v>90</v>
      </c>
      <c r="G1592" s="3" t="s">
        <v>91</v>
      </c>
      <c r="H1592">
        <v>4</v>
      </c>
      <c r="I1592">
        <v>31.84</v>
      </c>
      <c r="J1592">
        <v>127.35</v>
      </c>
      <c r="K1592" t="s">
        <v>32</v>
      </c>
      <c r="L1592" t="b">
        <v>0</v>
      </c>
    </row>
    <row r="1593" spans="1:13" ht="34" x14ac:dyDescent="0.2">
      <c r="A1593" t="s">
        <v>1998</v>
      </c>
      <c r="B1593" t="s">
        <v>77</v>
      </c>
      <c r="C1593" t="s">
        <v>350</v>
      </c>
      <c r="D1593" s="1">
        <v>45520</v>
      </c>
      <c r="E1593" s="6" t="s">
        <v>78</v>
      </c>
      <c r="F1593" t="s">
        <v>90</v>
      </c>
      <c r="G1593" s="3" t="s">
        <v>91</v>
      </c>
      <c r="H1593">
        <v>5.4</v>
      </c>
      <c r="I1593">
        <v>54.18</v>
      </c>
      <c r="J1593">
        <v>292.58</v>
      </c>
      <c r="K1593" t="s">
        <v>26</v>
      </c>
      <c r="L1593" t="b">
        <v>0</v>
      </c>
    </row>
    <row r="1594" spans="1:13" ht="34" x14ac:dyDescent="0.2">
      <c r="A1594" t="s">
        <v>1999</v>
      </c>
      <c r="B1594" t="s">
        <v>174</v>
      </c>
      <c r="C1594" t="s">
        <v>350</v>
      </c>
      <c r="D1594" s="1">
        <v>45551</v>
      </c>
      <c r="E1594" s="6" t="s">
        <v>89</v>
      </c>
      <c r="F1594" t="s">
        <v>54</v>
      </c>
      <c r="G1594" s="3" t="s">
        <v>55</v>
      </c>
      <c r="H1594">
        <v>19.5</v>
      </c>
      <c r="I1594">
        <v>71.209999999999994</v>
      </c>
      <c r="J1594">
        <v>1388.59</v>
      </c>
      <c r="K1594" t="s">
        <v>113</v>
      </c>
      <c r="L1594" t="b">
        <v>1</v>
      </c>
      <c r="M1594" s="3" t="s">
        <v>79</v>
      </c>
    </row>
    <row r="1595" spans="1:13" ht="34" x14ac:dyDescent="0.2">
      <c r="A1595" t="s">
        <v>2000</v>
      </c>
      <c r="B1595" t="s">
        <v>147</v>
      </c>
      <c r="C1595" t="s">
        <v>127</v>
      </c>
      <c r="D1595" s="1">
        <v>45559</v>
      </c>
      <c r="E1595" s="6" t="s">
        <v>89</v>
      </c>
      <c r="F1595" t="s">
        <v>45</v>
      </c>
      <c r="G1595" s="3" t="s">
        <v>46</v>
      </c>
      <c r="H1595">
        <v>7.4</v>
      </c>
      <c r="I1595">
        <v>76.2</v>
      </c>
      <c r="J1595">
        <v>563.91</v>
      </c>
      <c r="K1595" t="s">
        <v>32</v>
      </c>
      <c r="L1595" t="b">
        <v>1</v>
      </c>
      <c r="M1595" s="3" t="s">
        <v>102</v>
      </c>
    </row>
    <row r="1596" spans="1:13" ht="34" x14ac:dyDescent="0.2">
      <c r="A1596" t="s">
        <v>2001</v>
      </c>
      <c r="B1596" t="s">
        <v>713</v>
      </c>
      <c r="C1596" t="s">
        <v>15</v>
      </c>
      <c r="D1596" s="1">
        <v>45082</v>
      </c>
      <c r="E1596" s="6" t="s">
        <v>60</v>
      </c>
      <c r="F1596" t="s">
        <v>90</v>
      </c>
      <c r="G1596" s="3" t="s">
        <v>91</v>
      </c>
      <c r="H1596">
        <v>6.2</v>
      </c>
      <c r="I1596">
        <v>80.599999999999994</v>
      </c>
      <c r="J1596">
        <v>499.71</v>
      </c>
      <c r="K1596" t="s">
        <v>96</v>
      </c>
      <c r="L1596" t="b">
        <v>0</v>
      </c>
    </row>
    <row r="1597" spans="1:13" ht="17" x14ac:dyDescent="0.2">
      <c r="A1597" t="s">
        <v>2002</v>
      </c>
      <c r="B1597" t="s">
        <v>669</v>
      </c>
      <c r="C1597" t="s">
        <v>95</v>
      </c>
      <c r="D1597" s="1">
        <v>45025</v>
      </c>
      <c r="E1597" s="6" t="s">
        <v>44</v>
      </c>
      <c r="F1597" t="s">
        <v>17</v>
      </c>
      <c r="G1597" s="3" t="s">
        <v>18</v>
      </c>
      <c r="H1597">
        <v>7.8</v>
      </c>
      <c r="I1597">
        <v>70.349999999999994</v>
      </c>
      <c r="J1597">
        <v>548.70000000000005</v>
      </c>
      <c r="K1597" t="s">
        <v>36</v>
      </c>
      <c r="L1597" t="b">
        <v>0</v>
      </c>
    </row>
    <row r="1598" spans="1:13" ht="34" x14ac:dyDescent="0.2">
      <c r="A1598" t="s">
        <v>2003</v>
      </c>
      <c r="B1598" t="s">
        <v>408</v>
      </c>
      <c r="C1598" t="s">
        <v>119</v>
      </c>
      <c r="D1598" s="1">
        <v>45095</v>
      </c>
      <c r="E1598" s="6" t="s">
        <v>44</v>
      </c>
      <c r="F1598" t="s">
        <v>90</v>
      </c>
      <c r="G1598" s="3" t="s">
        <v>91</v>
      </c>
      <c r="H1598">
        <v>6.9</v>
      </c>
      <c r="I1598">
        <v>27.52</v>
      </c>
      <c r="J1598">
        <v>189.88</v>
      </c>
      <c r="K1598" t="s">
        <v>26</v>
      </c>
      <c r="L1598" t="b">
        <v>0</v>
      </c>
    </row>
    <row r="1599" spans="1:13" ht="68" x14ac:dyDescent="0.2">
      <c r="A1599" t="s">
        <v>2004</v>
      </c>
      <c r="B1599" t="s">
        <v>1120</v>
      </c>
      <c r="C1599" t="s">
        <v>353</v>
      </c>
      <c r="D1599" s="1">
        <v>45045</v>
      </c>
      <c r="E1599" s="6" t="s">
        <v>78</v>
      </c>
      <c r="F1599" t="s">
        <v>50</v>
      </c>
      <c r="G1599" s="3" t="s">
        <v>51</v>
      </c>
      <c r="H1599">
        <v>5.8</v>
      </c>
      <c r="I1599">
        <v>77.25</v>
      </c>
      <c r="J1599">
        <v>448.06</v>
      </c>
      <c r="K1599" t="s">
        <v>96</v>
      </c>
      <c r="L1599" t="b">
        <v>0</v>
      </c>
    </row>
    <row r="1600" spans="1:13" ht="68" x14ac:dyDescent="0.2">
      <c r="A1600" t="s">
        <v>2005</v>
      </c>
      <c r="B1600" t="s">
        <v>656</v>
      </c>
      <c r="C1600" t="s">
        <v>194</v>
      </c>
      <c r="D1600" s="1">
        <v>45636</v>
      </c>
      <c r="E1600" s="6" t="s">
        <v>89</v>
      </c>
      <c r="F1600" t="s">
        <v>50</v>
      </c>
      <c r="G1600" s="3" t="s">
        <v>51</v>
      </c>
      <c r="H1600">
        <v>6.4</v>
      </c>
      <c r="I1600">
        <v>67.489999999999995</v>
      </c>
      <c r="J1600">
        <v>431.93</v>
      </c>
      <c r="K1600" t="s">
        <v>56</v>
      </c>
      <c r="L1600" t="b">
        <v>0</v>
      </c>
    </row>
    <row r="1601" spans="1:13" ht="17" x14ac:dyDescent="0.2">
      <c r="A1601" t="s">
        <v>2006</v>
      </c>
      <c r="B1601" t="s">
        <v>238</v>
      </c>
      <c r="C1601" t="s">
        <v>22</v>
      </c>
      <c r="D1601" s="1">
        <v>45405</v>
      </c>
      <c r="E1601" s="6" t="s">
        <v>16</v>
      </c>
      <c r="F1601" t="s">
        <v>17</v>
      </c>
      <c r="G1601" s="3" t="s">
        <v>18</v>
      </c>
      <c r="H1601">
        <v>6.4</v>
      </c>
      <c r="I1601">
        <v>30.96</v>
      </c>
      <c r="J1601">
        <v>198.13</v>
      </c>
      <c r="K1601" t="s">
        <v>105</v>
      </c>
      <c r="L1601" t="b">
        <v>0</v>
      </c>
    </row>
    <row r="1602" spans="1:13" ht="34" x14ac:dyDescent="0.2">
      <c r="A1602" t="s">
        <v>2007</v>
      </c>
      <c r="B1602" t="s">
        <v>322</v>
      </c>
      <c r="C1602" t="s">
        <v>161</v>
      </c>
      <c r="D1602" s="1">
        <v>45587</v>
      </c>
      <c r="E1602" s="6" t="s">
        <v>23</v>
      </c>
      <c r="F1602" t="s">
        <v>54</v>
      </c>
      <c r="G1602" s="3" t="s">
        <v>55</v>
      </c>
      <c r="H1602">
        <v>4</v>
      </c>
      <c r="I1602">
        <v>33.270000000000003</v>
      </c>
      <c r="J1602">
        <v>133.07</v>
      </c>
      <c r="K1602" t="s">
        <v>36</v>
      </c>
      <c r="L1602" t="b">
        <v>0</v>
      </c>
    </row>
    <row r="1603" spans="1:13" ht="17" x14ac:dyDescent="0.2">
      <c r="A1603" t="s">
        <v>2008</v>
      </c>
      <c r="B1603" t="s">
        <v>58</v>
      </c>
      <c r="C1603" t="s">
        <v>133</v>
      </c>
      <c r="D1603" s="1">
        <v>45268</v>
      </c>
      <c r="E1603" s="6" t="s">
        <v>44</v>
      </c>
      <c r="F1603" t="s">
        <v>17</v>
      </c>
      <c r="G1603" s="3" t="s">
        <v>18</v>
      </c>
      <c r="H1603">
        <v>7.8</v>
      </c>
      <c r="I1603">
        <v>71.150000000000006</v>
      </c>
      <c r="J1603">
        <v>554.99</v>
      </c>
      <c r="K1603" t="s">
        <v>26</v>
      </c>
      <c r="L1603" t="b">
        <v>0</v>
      </c>
    </row>
    <row r="1604" spans="1:13" ht="17" x14ac:dyDescent="0.2">
      <c r="A1604" t="s">
        <v>2009</v>
      </c>
      <c r="B1604" t="s">
        <v>73</v>
      </c>
      <c r="C1604" t="s">
        <v>256</v>
      </c>
      <c r="D1604" s="1">
        <v>45527</v>
      </c>
      <c r="E1604" s="6" t="s">
        <v>78</v>
      </c>
      <c r="F1604" t="s">
        <v>30</v>
      </c>
      <c r="G1604" s="3" t="s">
        <v>31</v>
      </c>
      <c r="H1604">
        <v>7</v>
      </c>
      <c r="I1604">
        <v>53.42</v>
      </c>
      <c r="J1604">
        <v>373.94</v>
      </c>
      <c r="K1604" t="s">
        <v>19</v>
      </c>
      <c r="L1604" t="b">
        <v>0</v>
      </c>
    </row>
    <row r="1605" spans="1:13" ht="68" x14ac:dyDescent="0.2">
      <c r="A1605" t="s">
        <v>2010</v>
      </c>
      <c r="B1605" t="s">
        <v>437</v>
      </c>
      <c r="C1605" t="s">
        <v>130</v>
      </c>
      <c r="D1605" s="1">
        <v>45300</v>
      </c>
      <c r="E1605" s="6" t="s">
        <v>60</v>
      </c>
      <c r="F1605" t="s">
        <v>50</v>
      </c>
      <c r="G1605" s="3" t="s">
        <v>51</v>
      </c>
      <c r="H1605">
        <v>2.5</v>
      </c>
      <c r="I1605">
        <v>47.35</v>
      </c>
      <c r="J1605">
        <v>118.37</v>
      </c>
      <c r="K1605" t="s">
        <v>113</v>
      </c>
      <c r="L1605" t="b">
        <v>1</v>
      </c>
      <c r="M1605" s="3" t="s">
        <v>102</v>
      </c>
    </row>
    <row r="1606" spans="1:13" ht="34" x14ac:dyDescent="0.2">
      <c r="A1606" t="s">
        <v>2011</v>
      </c>
      <c r="B1606" t="s">
        <v>456</v>
      </c>
      <c r="C1606" t="s">
        <v>59</v>
      </c>
      <c r="D1606" s="1">
        <v>45202</v>
      </c>
      <c r="E1606" s="6" t="s">
        <v>89</v>
      </c>
      <c r="F1606" t="s">
        <v>54</v>
      </c>
      <c r="G1606" s="3" t="s">
        <v>55</v>
      </c>
      <c r="H1606">
        <v>5.8</v>
      </c>
      <c r="I1606">
        <v>39.729999999999997</v>
      </c>
      <c r="J1606">
        <v>230.42</v>
      </c>
      <c r="K1606" t="s">
        <v>92</v>
      </c>
      <c r="L1606" t="b">
        <v>0</v>
      </c>
    </row>
    <row r="1607" spans="1:13" ht="34" x14ac:dyDescent="0.2">
      <c r="A1607" t="s">
        <v>2012</v>
      </c>
      <c r="B1607" t="s">
        <v>656</v>
      </c>
      <c r="C1607" t="s">
        <v>15</v>
      </c>
      <c r="D1607" s="1">
        <v>45011</v>
      </c>
      <c r="E1607" s="6" t="s">
        <v>60</v>
      </c>
      <c r="F1607" t="s">
        <v>61</v>
      </c>
      <c r="G1607" s="3" t="s">
        <v>62</v>
      </c>
      <c r="H1607">
        <v>6.7</v>
      </c>
      <c r="I1607">
        <v>33.28</v>
      </c>
      <c r="J1607">
        <v>222.97</v>
      </c>
      <c r="K1607" t="s">
        <v>56</v>
      </c>
      <c r="L1607" t="b">
        <v>0</v>
      </c>
    </row>
    <row r="1608" spans="1:13" ht="34" x14ac:dyDescent="0.2">
      <c r="A1608" t="s">
        <v>2013</v>
      </c>
      <c r="B1608" t="s">
        <v>28</v>
      </c>
      <c r="C1608" t="s">
        <v>85</v>
      </c>
      <c r="D1608" s="1">
        <v>45482</v>
      </c>
      <c r="E1608" s="6" t="s">
        <v>89</v>
      </c>
      <c r="F1608" t="s">
        <v>61</v>
      </c>
      <c r="G1608" s="3" t="s">
        <v>62</v>
      </c>
      <c r="H1608">
        <v>7.5</v>
      </c>
      <c r="I1608">
        <v>78.88</v>
      </c>
      <c r="J1608">
        <v>591.63</v>
      </c>
      <c r="K1608" t="s">
        <v>32</v>
      </c>
      <c r="L1608" t="b">
        <v>0</v>
      </c>
    </row>
    <row r="1609" spans="1:13" ht="34" x14ac:dyDescent="0.2">
      <c r="A1609" t="s">
        <v>2014</v>
      </c>
      <c r="B1609" t="s">
        <v>863</v>
      </c>
      <c r="C1609" t="s">
        <v>39</v>
      </c>
      <c r="D1609" s="1">
        <v>45210</v>
      </c>
      <c r="E1609" s="6" t="s">
        <v>44</v>
      </c>
      <c r="F1609" t="s">
        <v>54</v>
      </c>
      <c r="G1609" s="3" t="s">
        <v>55</v>
      </c>
      <c r="H1609">
        <v>7.7</v>
      </c>
      <c r="I1609">
        <v>51.55</v>
      </c>
      <c r="J1609">
        <v>396.97</v>
      </c>
      <c r="K1609" t="s">
        <v>36</v>
      </c>
      <c r="L1609" t="b">
        <v>0</v>
      </c>
    </row>
    <row r="1610" spans="1:13" ht="34" x14ac:dyDescent="0.2">
      <c r="A1610" t="s">
        <v>2015</v>
      </c>
      <c r="B1610" t="s">
        <v>302</v>
      </c>
      <c r="C1610" t="s">
        <v>116</v>
      </c>
      <c r="D1610" s="1">
        <v>45238</v>
      </c>
      <c r="E1610" s="6" t="s">
        <v>23</v>
      </c>
      <c r="F1610" t="s">
        <v>90</v>
      </c>
      <c r="G1610" s="3" t="s">
        <v>91</v>
      </c>
      <c r="H1610">
        <v>2.5</v>
      </c>
      <c r="I1610">
        <v>43.89</v>
      </c>
      <c r="J1610">
        <v>109.72</v>
      </c>
      <c r="K1610" t="s">
        <v>96</v>
      </c>
      <c r="L1610" t="b">
        <v>0</v>
      </c>
    </row>
    <row r="1611" spans="1:13" ht="34" x14ac:dyDescent="0.2">
      <c r="A1611" t="s">
        <v>2016</v>
      </c>
      <c r="B1611" t="s">
        <v>493</v>
      </c>
      <c r="C1611" t="s">
        <v>159</v>
      </c>
      <c r="D1611" s="1">
        <v>44965</v>
      </c>
      <c r="E1611" s="6" t="s">
        <v>16</v>
      </c>
      <c r="F1611" t="s">
        <v>61</v>
      </c>
      <c r="G1611" s="3" t="s">
        <v>62</v>
      </c>
      <c r="H1611">
        <v>2.4</v>
      </c>
      <c r="I1611">
        <v>70.55</v>
      </c>
      <c r="J1611">
        <v>169.32</v>
      </c>
      <c r="K1611" t="s">
        <v>19</v>
      </c>
      <c r="L1611" t="b">
        <v>0</v>
      </c>
    </row>
    <row r="1612" spans="1:13" ht="68" x14ac:dyDescent="0.2">
      <c r="A1612" t="s">
        <v>2017</v>
      </c>
      <c r="B1612" t="s">
        <v>276</v>
      </c>
      <c r="C1612" t="s">
        <v>116</v>
      </c>
      <c r="D1612" s="1">
        <v>45143</v>
      </c>
      <c r="E1612" s="6" t="s">
        <v>16</v>
      </c>
      <c r="F1612" t="s">
        <v>50</v>
      </c>
      <c r="G1612" s="3" t="s">
        <v>51</v>
      </c>
      <c r="H1612">
        <v>7.4</v>
      </c>
      <c r="I1612">
        <v>28.47</v>
      </c>
      <c r="J1612">
        <v>210.67</v>
      </c>
      <c r="K1612" t="s">
        <v>105</v>
      </c>
      <c r="L1612" t="b">
        <v>0</v>
      </c>
    </row>
    <row r="1613" spans="1:13" ht="34" x14ac:dyDescent="0.2">
      <c r="A1613" t="s">
        <v>2018</v>
      </c>
      <c r="B1613" t="s">
        <v>284</v>
      </c>
      <c r="C1613" t="s">
        <v>88</v>
      </c>
      <c r="D1613" s="1">
        <v>44956</v>
      </c>
      <c r="E1613" s="6" t="s">
        <v>16</v>
      </c>
      <c r="F1613" t="s">
        <v>45</v>
      </c>
      <c r="G1613" s="3" t="s">
        <v>46</v>
      </c>
      <c r="H1613">
        <v>4.5</v>
      </c>
      <c r="I1613">
        <v>78.150000000000006</v>
      </c>
      <c r="J1613">
        <v>351.66</v>
      </c>
      <c r="K1613" t="s">
        <v>92</v>
      </c>
      <c r="L1613" t="b">
        <v>0</v>
      </c>
    </row>
    <row r="1614" spans="1:13" ht="34" x14ac:dyDescent="0.2">
      <c r="A1614" t="s">
        <v>2019</v>
      </c>
      <c r="B1614" t="s">
        <v>258</v>
      </c>
      <c r="C1614" t="s">
        <v>380</v>
      </c>
      <c r="D1614" s="1">
        <v>45143</v>
      </c>
      <c r="E1614" s="6" t="s">
        <v>78</v>
      </c>
      <c r="F1614" t="s">
        <v>45</v>
      </c>
      <c r="G1614" s="3" t="s">
        <v>46</v>
      </c>
      <c r="H1614">
        <v>6.3</v>
      </c>
      <c r="I1614">
        <v>43.82</v>
      </c>
      <c r="J1614">
        <v>276.08</v>
      </c>
      <c r="K1614" t="s">
        <v>56</v>
      </c>
      <c r="L1614" t="b">
        <v>0</v>
      </c>
    </row>
    <row r="1615" spans="1:13" ht="34" x14ac:dyDescent="0.2">
      <c r="A1615" t="s">
        <v>2020</v>
      </c>
      <c r="B1615" t="s">
        <v>476</v>
      </c>
      <c r="C1615" t="s">
        <v>59</v>
      </c>
      <c r="D1615" s="1">
        <v>45412</v>
      </c>
      <c r="E1615" s="6" t="s">
        <v>89</v>
      </c>
      <c r="F1615" t="s">
        <v>24</v>
      </c>
      <c r="G1615" s="3" t="s">
        <v>25</v>
      </c>
      <c r="H1615">
        <v>7</v>
      </c>
      <c r="I1615">
        <v>79.010000000000005</v>
      </c>
      <c r="J1615">
        <v>553.09</v>
      </c>
      <c r="K1615" t="s">
        <v>105</v>
      </c>
      <c r="L1615" t="b">
        <v>1</v>
      </c>
      <c r="M1615" s="3" t="s">
        <v>102</v>
      </c>
    </row>
    <row r="1616" spans="1:13" ht="68" x14ac:dyDescent="0.2">
      <c r="A1616" t="s">
        <v>2021</v>
      </c>
      <c r="B1616" t="s">
        <v>434</v>
      </c>
      <c r="C1616" t="s">
        <v>138</v>
      </c>
      <c r="D1616" s="1">
        <v>45074</v>
      </c>
      <c r="E1616" s="6" t="s">
        <v>23</v>
      </c>
      <c r="F1616" t="s">
        <v>50</v>
      </c>
      <c r="G1616" s="3" t="s">
        <v>51</v>
      </c>
      <c r="H1616">
        <v>6.2</v>
      </c>
      <c r="I1616">
        <v>51.77</v>
      </c>
      <c r="J1616">
        <v>320.98</v>
      </c>
      <c r="K1616" t="s">
        <v>32</v>
      </c>
      <c r="L1616" t="b">
        <v>0</v>
      </c>
    </row>
    <row r="1617" spans="1:13" ht="34" x14ac:dyDescent="0.2">
      <c r="A1617" t="s">
        <v>2022</v>
      </c>
      <c r="B1617" t="s">
        <v>1058</v>
      </c>
      <c r="C1617" t="s">
        <v>145</v>
      </c>
      <c r="D1617" s="1">
        <v>49809</v>
      </c>
      <c r="E1617" s="6" t="s">
        <v>16</v>
      </c>
      <c r="F1617" t="s">
        <v>17</v>
      </c>
      <c r="G1617" s="3" t="s">
        <v>18</v>
      </c>
      <c r="H1617">
        <v>6.2</v>
      </c>
      <c r="I1617">
        <v>78.260000000000005</v>
      </c>
      <c r="J1617">
        <v>485.22</v>
      </c>
      <c r="K1617" t="s">
        <v>82</v>
      </c>
      <c r="L1617" t="b">
        <v>1</v>
      </c>
      <c r="M1617" s="3" t="s">
        <v>99</v>
      </c>
    </row>
    <row r="1618" spans="1:13" ht="34" x14ac:dyDescent="0.2">
      <c r="A1618" t="s">
        <v>2023</v>
      </c>
      <c r="B1618" t="s">
        <v>250</v>
      </c>
      <c r="C1618" t="s">
        <v>159</v>
      </c>
      <c r="D1618" s="1">
        <v>45630</v>
      </c>
      <c r="E1618" s="6" t="s">
        <v>44</v>
      </c>
      <c r="F1618" t="s">
        <v>61</v>
      </c>
      <c r="G1618" s="3" t="s">
        <v>62</v>
      </c>
      <c r="H1618">
        <v>6.7</v>
      </c>
      <c r="I1618">
        <v>77.86</v>
      </c>
      <c r="J1618">
        <v>521.65</v>
      </c>
      <c r="K1618" t="s">
        <v>96</v>
      </c>
      <c r="L1618" t="b">
        <v>0</v>
      </c>
    </row>
    <row r="1619" spans="1:13" ht="34" x14ac:dyDescent="0.2">
      <c r="A1619" t="s">
        <v>2024</v>
      </c>
      <c r="B1619" t="s">
        <v>229</v>
      </c>
      <c r="C1619" t="s">
        <v>65</v>
      </c>
      <c r="D1619" s="1">
        <v>45607</v>
      </c>
      <c r="E1619" s="6" t="s">
        <v>16</v>
      </c>
      <c r="F1619" t="s">
        <v>24</v>
      </c>
      <c r="G1619" s="3" t="s">
        <v>25</v>
      </c>
      <c r="H1619">
        <v>5.2</v>
      </c>
      <c r="I1619">
        <v>48.4</v>
      </c>
      <c r="J1619">
        <v>251.68</v>
      </c>
      <c r="K1619" t="s">
        <v>96</v>
      </c>
      <c r="L1619" t="b">
        <v>0</v>
      </c>
    </row>
    <row r="1620" spans="1:13" ht="68" x14ac:dyDescent="0.2">
      <c r="A1620" t="s">
        <v>2025</v>
      </c>
      <c r="B1620" t="s">
        <v>144</v>
      </c>
      <c r="C1620" t="s">
        <v>138</v>
      </c>
      <c r="D1620" s="1">
        <v>45213</v>
      </c>
      <c r="E1620" s="6" t="s">
        <v>23</v>
      </c>
      <c r="F1620" t="s">
        <v>50</v>
      </c>
      <c r="G1620" s="3" t="s">
        <v>51</v>
      </c>
      <c r="H1620">
        <v>5.0999999999999996</v>
      </c>
      <c r="I1620">
        <v>57.45</v>
      </c>
      <c r="J1620">
        <v>292.98</v>
      </c>
      <c r="K1620" t="s">
        <v>113</v>
      </c>
      <c r="L1620" t="b">
        <v>0</v>
      </c>
    </row>
    <row r="1621" spans="1:13" ht="34" x14ac:dyDescent="0.2">
      <c r="A1621" t="s">
        <v>2026</v>
      </c>
      <c r="B1621" t="s">
        <v>325</v>
      </c>
      <c r="C1621" t="s">
        <v>172</v>
      </c>
      <c r="D1621" s="1">
        <v>45099</v>
      </c>
      <c r="E1621" s="6" t="s">
        <v>78</v>
      </c>
      <c r="F1621" t="s">
        <v>90</v>
      </c>
      <c r="G1621" s="3" t="s">
        <v>91</v>
      </c>
      <c r="H1621">
        <v>5.0999999999999996</v>
      </c>
      <c r="I1621">
        <v>43.74</v>
      </c>
      <c r="J1621">
        <v>223.05</v>
      </c>
      <c r="K1621" t="s">
        <v>36</v>
      </c>
      <c r="L1621" t="b">
        <v>0</v>
      </c>
    </row>
    <row r="1622" spans="1:13" ht="68" x14ac:dyDescent="0.2">
      <c r="A1622" t="s">
        <v>2027</v>
      </c>
      <c r="B1622" t="s">
        <v>897</v>
      </c>
      <c r="C1622" t="s">
        <v>148</v>
      </c>
      <c r="D1622" s="1">
        <v>45119</v>
      </c>
      <c r="E1622" s="6" t="s">
        <v>89</v>
      </c>
      <c r="F1622" t="s">
        <v>50</v>
      </c>
      <c r="G1622" s="3" t="s">
        <v>51</v>
      </c>
      <c r="H1622">
        <v>2.1</v>
      </c>
      <c r="I1622">
        <v>78.42</v>
      </c>
      <c r="J1622">
        <v>164.68</v>
      </c>
      <c r="K1622" t="s">
        <v>36</v>
      </c>
      <c r="L1622" t="b">
        <v>0</v>
      </c>
    </row>
    <row r="1623" spans="1:13" ht="34" x14ac:dyDescent="0.2">
      <c r="A1623" t="s">
        <v>2028</v>
      </c>
      <c r="B1623" t="s">
        <v>582</v>
      </c>
      <c r="C1623" t="s">
        <v>219</v>
      </c>
      <c r="D1623" s="1">
        <v>44943</v>
      </c>
      <c r="E1623" s="6" t="s">
        <v>16</v>
      </c>
      <c r="F1623" t="s">
        <v>45</v>
      </c>
      <c r="G1623" s="3" t="s">
        <v>46</v>
      </c>
      <c r="H1623">
        <v>3.4</v>
      </c>
      <c r="I1623">
        <v>71.45</v>
      </c>
      <c r="J1623">
        <v>242.93</v>
      </c>
      <c r="K1623" t="s">
        <v>36</v>
      </c>
      <c r="L1623" t="b">
        <v>0</v>
      </c>
    </row>
    <row r="1624" spans="1:13" ht="34" x14ac:dyDescent="0.2">
      <c r="A1624" t="s">
        <v>2029</v>
      </c>
      <c r="B1624" t="s">
        <v>1111</v>
      </c>
      <c r="C1624" t="s">
        <v>22</v>
      </c>
      <c r="D1624" s="1">
        <v>45306</v>
      </c>
      <c r="E1624" s="6" t="s">
        <v>44</v>
      </c>
      <c r="F1624" t="s">
        <v>61</v>
      </c>
      <c r="G1624" s="3" t="s">
        <v>62</v>
      </c>
      <c r="H1624">
        <v>7.9</v>
      </c>
      <c r="I1624">
        <v>31.63</v>
      </c>
      <c r="J1624">
        <v>249.85</v>
      </c>
      <c r="K1624" t="s">
        <v>36</v>
      </c>
      <c r="L1624" t="b">
        <v>0</v>
      </c>
    </row>
    <row r="1625" spans="1:13" ht="34" x14ac:dyDescent="0.2">
      <c r="A1625" t="s">
        <v>2030</v>
      </c>
      <c r="B1625" t="s">
        <v>855</v>
      </c>
      <c r="C1625" t="s">
        <v>119</v>
      </c>
      <c r="D1625" s="1">
        <v>45321</v>
      </c>
      <c r="E1625" s="6" t="s">
        <v>44</v>
      </c>
      <c r="F1625" t="s">
        <v>54</v>
      </c>
      <c r="G1625" s="3" t="s">
        <v>55</v>
      </c>
      <c r="H1625">
        <v>3.6</v>
      </c>
      <c r="I1625">
        <v>55.45</v>
      </c>
      <c r="J1625">
        <v>199.62</v>
      </c>
      <c r="K1625" t="s">
        <v>82</v>
      </c>
      <c r="L1625" t="b">
        <v>0</v>
      </c>
    </row>
    <row r="1626" spans="1:13" ht="34" x14ac:dyDescent="0.2">
      <c r="A1626" t="s">
        <v>2031</v>
      </c>
      <c r="B1626" t="s">
        <v>245</v>
      </c>
      <c r="C1626" t="s">
        <v>196</v>
      </c>
      <c r="D1626" s="1">
        <v>45084</v>
      </c>
      <c r="E1626" s="6" t="s">
        <v>60</v>
      </c>
      <c r="F1626" t="s">
        <v>24</v>
      </c>
      <c r="G1626" s="3" t="s">
        <v>25</v>
      </c>
      <c r="H1626">
        <v>6.5</v>
      </c>
      <c r="I1626">
        <v>81.48</v>
      </c>
      <c r="J1626">
        <v>529.62</v>
      </c>
      <c r="K1626" t="s">
        <v>32</v>
      </c>
      <c r="L1626" t="b">
        <v>0</v>
      </c>
    </row>
    <row r="1627" spans="1:13" ht="34" x14ac:dyDescent="0.2">
      <c r="A1627" t="s">
        <v>2032</v>
      </c>
      <c r="B1627" t="s">
        <v>497</v>
      </c>
      <c r="C1627" t="s">
        <v>186</v>
      </c>
      <c r="D1627" s="1">
        <v>45141</v>
      </c>
      <c r="E1627" s="6" t="s">
        <v>78</v>
      </c>
      <c r="F1627" t="s">
        <v>45</v>
      </c>
      <c r="G1627" s="3" t="s">
        <v>46</v>
      </c>
      <c r="H1627">
        <v>5.4</v>
      </c>
      <c r="I1627">
        <v>25.31</v>
      </c>
      <c r="J1627">
        <v>136.69</v>
      </c>
      <c r="K1627" t="s">
        <v>26</v>
      </c>
      <c r="L1627" t="b">
        <v>0</v>
      </c>
    </row>
    <row r="1628" spans="1:13" ht="17" x14ac:dyDescent="0.2">
      <c r="A1628" t="s">
        <v>2033</v>
      </c>
      <c r="B1628" t="s">
        <v>1261</v>
      </c>
      <c r="C1628" t="s">
        <v>211</v>
      </c>
      <c r="D1628" s="1">
        <v>45295</v>
      </c>
      <c r="E1628" s="6" t="s">
        <v>89</v>
      </c>
      <c r="F1628" t="s">
        <v>30</v>
      </c>
      <c r="G1628" s="3" t="s">
        <v>31</v>
      </c>
      <c r="H1628">
        <v>6.8</v>
      </c>
      <c r="I1628">
        <v>84.34</v>
      </c>
      <c r="J1628">
        <v>573.51</v>
      </c>
      <c r="K1628" t="s">
        <v>96</v>
      </c>
      <c r="L1628" t="b">
        <v>0</v>
      </c>
    </row>
    <row r="1629" spans="1:13" ht="17" x14ac:dyDescent="0.2">
      <c r="A1629" t="s">
        <v>2034</v>
      </c>
      <c r="B1629" t="s">
        <v>317</v>
      </c>
      <c r="C1629" t="s">
        <v>35</v>
      </c>
      <c r="D1629" s="1">
        <v>45389</v>
      </c>
      <c r="E1629" s="6" t="s">
        <v>16</v>
      </c>
      <c r="F1629" t="s">
        <v>30</v>
      </c>
      <c r="G1629" s="3" t="s">
        <v>31</v>
      </c>
      <c r="H1629">
        <v>4.0999999999999996</v>
      </c>
      <c r="I1629">
        <v>42.07</v>
      </c>
      <c r="J1629">
        <v>172.5</v>
      </c>
      <c r="K1629" t="s">
        <v>113</v>
      </c>
      <c r="L1629" t="b">
        <v>0</v>
      </c>
    </row>
    <row r="1630" spans="1:13" ht="68" x14ac:dyDescent="0.2">
      <c r="A1630" t="s">
        <v>2035</v>
      </c>
      <c r="B1630" t="s">
        <v>695</v>
      </c>
      <c r="C1630" t="s">
        <v>189</v>
      </c>
      <c r="D1630" s="1">
        <v>45606</v>
      </c>
      <c r="E1630" s="6" t="s">
        <v>23</v>
      </c>
      <c r="F1630" t="s">
        <v>50</v>
      </c>
      <c r="G1630" s="3" t="s">
        <v>51</v>
      </c>
      <c r="H1630">
        <v>6.3</v>
      </c>
      <c r="I1630">
        <v>56.18</v>
      </c>
      <c r="J1630">
        <v>353.93</v>
      </c>
      <c r="K1630" t="s">
        <v>26</v>
      </c>
      <c r="L1630" t="b">
        <v>0</v>
      </c>
    </row>
    <row r="1631" spans="1:13" ht="34" x14ac:dyDescent="0.2">
      <c r="A1631" t="s">
        <v>2036</v>
      </c>
      <c r="B1631" t="s">
        <v>243</v>
      </c>
      <c r="C1631" t="s">
        <v>110</v>
      </c>
      <c r="D1631" s="1">
        <v>44927</v>
      </c>
      <c r="E1631" s="6" t="s">
        <v>78</v>
      </c>
      <c r="F1631" t="s">
        <v>90</v>
      </c>
      <c r="G1631" s="3" t="s">
        <v>91</v>
      </c>
      <c r="H1631">
        <v>4</v>
      </c>
      <c r="I1631">
        <v>59.94</v>
      </c>
      <c r="J1631">
        <v>239.77</v>
      </c>
      <c r="K1631" t="s">
        <v>96</v>
      </c>
      <c r="L1631" t="b">
        <v>0</v>
      </c>
    </row>
    <row r="1632" spans="1:13" ht="17" x14ac:dyDescent="0.2">
      <c r="A1632" t="s">
        <v>2037</v>
      </c>
      <c r="B1632" t="s">
        <v>338</v>
      </c>
      <c r="C1632" t="s">
        <v>145</v>
      </c>
      <c r="D1632" s="1">
        <v>45135</v>
      </c>
      <c r="E1632" s="6" t="s">
        <v>60</v>
      </c>
      <c r="F1632" t="s">
        <v>17</v>
      </c>
      <c r="G1632" s="3" t="s">
        <v>18</v>
      </c>
      <c r="H1632">
        <v>2.6</v>
      </c>
      <c r="I1632">
        <v>67.7</v>
      </c>
      <c r="J1632">
        <v>176.02</v>
      </c>
      <c r="K1632" t="s">
        <v>92</v>
      </c>
      <c r="L1632" t="b">
        <v>0</v>
      </c>
    </row>
    <row r="1633" spans="1:13" ht="34" x14ac:dyDescent="0.2">
      <c r="A1633" t="s">
        <v>2038</v>
      </c>
      <c r="B1633" t="s">
        <v>214</v>
      </c>
      <c r="C1633" t="s">
        <v>207</v>
      </c>
      <c r="D1633" s="1">
        <v>45113</v>
      </c>
      <c r="E1633" s="6" t="s">
        <v>23</v>
      </c>
      <c r="F1633" t="s">
        <v>90</v>
      </c>
      <c r="G1633" s="3" t="s">
        <v>91</v>
      </c>
      <c r="H1633">
        <v>2.6</v>
      </c>
      <c r="I1633">
        <v>50.49</v>
      </c>
      <c r="J1633">
        <v>131.28</v>
      </c>
      <c r="K1633" t="s">
        <v>96</v>
      </c>
      <c r="L1633" t="b">
        <v>0</v>
      </c>
    </row>
    <row r="1634" spans="1:13" ht="17" x14ac:dyDescent="0.2">
      <c r="A1634" t="s">
        <v>2039</v>
      </c>
      <c r="B1634" t="s">
        <v>165</v>
      </c>
      <c r="C1634" t="s">
        <v>189</v>
      </c>
      <c r="D1634" s="1">
        <v>45364</v>
      </c>
      <c r="E1634" s="6" t="s">
        <v>16</v>
      </c>
      <c r="F1634" t="s">
        <v>17</v>
      </c>
      <c r="G1634" s="3" t="s">
        <v>18</v>
      </c>
      <c r="H1634">
        <v>3.3</v>
      </c>
      <c r="I1634">
        <v>29.68</v>
      </c>
      <c r="J1634">
        <v>97.96</v>
      </c>
      <c r="K1634" t="s">
        <v>105</v>
      </c>
      <c r="L1634" t="b">
        <v>0</v>
      </c>
    </row>
    <row r="1635" spans="1:13" ht="34" x14ac:dyDescent="0.2">
      <c r="A1635" t="s">
        <v>2040</v>
      </c>
      <c r="B1635" t="s">
        <v>635</v>
      </c>
      <c r="C1635" t="s">
        <v>266</v>
      </c>
      <c r="D1635" s="1">
        <v>45604</v>
      </c>
      <c r="E1635" s="6" t="s">
        <v>60</v>
      </c>
      <c r="F1635" t="s">
        <v>61</v>
      </c>
      <c r="G1635" s="3" t="s">
        <v>62</v>
      </c>
      <c r="H1635">
        <v>5.5</v>
      </c>
      <c r="I1635">
        <v>56.14</v>
      </c>
      <c r="J1635">
        <v>308.75</v>
      </c>
      <c r="K1635" t="s">
        <v>56</v>
      </c>
      <c r="L1635" t="b">
        <v>0</v>
      </c>
    </row>
    <row r="1636" spans="1:13" ht="34" x14ac:dyDescent="0.2">
      <c r="A1636" t="s">
        <v>2041</v>
      </c>
      <c r="B1636" t="s">
        <v>290</v>
      </c>
      <c r="C1636" t="s">
        <v>95</v>
      </c>
      <c r="D1636" s="1">
        <v>45633</v>
      </c>
      <c r="E1636" s="6" t="s">
        <v>60</v>
      </c>
      <c r="F1636" t="s">
        <v>45</v>
      </c>
      <c r="G1636" s="3" t="s">
        <v>46</v>
      </c>
      <c r="H1636">
        <v>5.5</v>
      </c>
      <c r="I1636">
        <v>63.19</v>
      </c>
      <c r="J1636">
        <v>347.53</v>
      </c>
      <c r="K1636" t="s">
        <v>92</v>
      </c>
      <c r="L1636" t="b">
        <v>1</v>
      </c>
      <c r="M1636" s="3" t="s">
        <v>102</v>
      </c>
    </row>
    <row r="1637" spans="1:13" ht="17" x14ac:dyDescent="0.2">
      <c r="A1637" t="s">
        <v>2042</v>
      </c>
      <c r="B1637" t="s">
        <v>1413</v>
      </c>
      <c r="C1637" t="s">
        <v>380</v>
      </c>
      <c r="D1637" s="1">
        <v>45058</v>
      </c>
      <c r="E1637" s="6" t="s">
        <v>23</v>
      </c>
      <c r="F1637" t="s">
        <v>17</v>
      </c>
      <c r="G1637" s="3" t="s">
        <v>18</v>
      </c>
      <c r="H1637">
        <v>22.5</v>
      </c>
      <c r="I1637">
        <v>50.02</v>
      </c>
      <c r="J1637">
        <v>1125.45</v>
      </c>
      <c r="K1637" t="s">
        <v>32</v>
      </c>
      <c r="L1637" t="b">
        <v>1</v>
      </c>
      <c r="M1637" s="3" t="s">
        <v>79</v>
      </c>
    </row>
    <row r="1638" spans="1:13" ht="68" x14ac:dyDescent="0.2">
      <c r="A1638" t="s">
        <v>2043</v>
      </c>
      <c r="B1638" t="s">
        <v>437</v>
      </c>
      <c r="C1638" t="s">
        <v>256</v>
      </c>
      <c r="D1638" s="1">
        <v>45593</v>
      </c>
      <c r="E1638" s="6" t="s">
        <v>60</v>
      </c>
      <c r="F1638" t="s">
        <v>50</v>
      </c>
      <c r="G1638" s="3" t="s">
        <v>51</v>
      </c>
      <c r="H1638">
        <v>5</v>
      </c>
      <c r="I1638">
        <v>54.09</v>
      </c>
      <c r="J1638">
        <v>270.43</v>
      </c>
      <c r="K1638" t="s">
        <v>113</v>
      </c>
      <c r="L1638" t="b">
        <v>0</v>
      </c>
    </row>
    <row r="1639" spans="1:13" ht="68" x14ac:dyDescent="0.2">
      <c r="A1639" t="s">
        <v>2044</v>
      </c>
      <c r="B1639" t="s">
        <v>221</v>
      </c>
      <c r="C1639" t="s">
        <v>68</v>
      </c>
      <c r="D1639" s="1">
        <v>45449</v>
      </c>
      <c r="E1639" s="6" t="s">
        <v>89</v>
      </c>
      <c r="F1639" t="s">
        <v>50</v>
      </c>
      <c r="G1639" s="3" t="s">
        <v>51</v>
      </c>
      <c r="H1639">
        <v>7.8</v>
      </c>
      <c r="I1639">
        <v>55.79</v>
      </c>
      <c r="J1639">
        <v>435.17</v>
      </c>
      <c r="K1639" t="s">
        <v>36</v>
      </c>
      <c r="L1639" t="b">
        <v>0</v>
      </c>
    </row>
    <row r="1640" spans="1:13" ht="34" x14ac:dyDescent="0.2">
      <c r="A1640" t="s">
        <v>2045</v>
      </c>
      <c r="B1640" t="s">
        <v>484</v>
      </c>
      <c r="C1640" t="s">
        <v>116</v>
      </c>
      <c r="D1640" s="1">
        <v>44980</v>
      </c>
      <c r="E1640" s="6" t="s">
        <v>44</v>
      </c>
      <c r="F1640" t="s">
        <v>90</v>
      </c>
      <c r="G1640" s="3" t="s">
        <v>91</v>
      </c>
      <c r="H1640">
        <v>6.2</v>
      </c>
      <c r="I1640">
        <v>52.33</v>
      </c>
      <c r="J1640">
        <v>324.42</v>
      </c>
      <c r="K1640" t="s">
        <v>26</v>
      </c>
      <c r="L1640" t="b">
        <v>0</v>
      </c>
    </row>
    <row r="1641" spans="1:13" ht="68" x14ac:dyDescent="0.2">
      <c r="A1641" t="s">
        <v>2046</v>
      </c>
      <c r="B1641" t="s">
        <v>414</v>
      </c>
      <c r="C1641" t="s">
        <v>196</v>
      </c>
      <c r="D1641" s="1">
        <v>45056</v>
      </c>
      <c r="E1641" s="6" t="s">
        <v>44</v>
      </c>
      <c r="F1641" t="s">
        <v>50</v>
      </c>
      <c r="G1641" s="3" t="s">
        <v>51</v>
      </c>
      <c r="H1641">
        <v>7.7</v>
      </c>
      <c r="I1641">
        <v>47.16</v>
      </c>
      <c r="J1641">
        <v>363.13</v>
      </c>
      <c r="K1641" t="s">
        <v>56</v>
      </c>
      <c r="L1641" t="b">
        <v>0</v>
      </c>
    </row>
    <row r="1642" spans="1:13" ht="34" x14ac:dyDescent="0.2">
      <c r="A1642" t="s">
        <v>2047</v>
      </c>
      <c r="B1642" t="s">
        <v>819</v>
      </c>
      <c r="C1642" t="s">
        <v>95</v>
      </c>
      <c r="D1642" s="1">
        <v>45593</v>
      </c>
      <c r="E1642" s="6" t="s">
        <v>78</v>
      </c>
      <c r="F1642" t="s">
        <v>61</v>
      </c>
      <c r="G1642" s="3" t="s">
        <v>62</v>
      </c>
      <c r="H1642">
        <v>2.7</v>
      </c>
      <c r="I1642">
        <v>47.18</v>
      </c>
      <c r="J1642">
        <v>127.37</v>
      </c>
      <c r="K1642" t="s">
        <v>105</v>
      </c>
      <c r="L1642" t="b">
        <v>0</v>
      </c>
    </row>
    <row r="1643" spans="1:13" ht="34" x14ac:dyDescent="0.2">
      <c r="A1643" t="s">
        <v>2048</v>
      </c>
      <c r="B1643" t="s">
        <v>580</v>
      </c>
      <c r="C1643" t="s">
        <v>191</v>
      </c>
      <c r="D1643" s="1">
        <v>45012</v>
      </c>
      <c r="E1643" s="6" t="s">
        <v>78</v>
      </c>
      <c r="F1643" t="s">
        <v>24</v>
      </c>
      <c r="G1643" s="3" t="s">
        <v>25</v>
      </c>
      <c r="H1643">
        <v>5.0999999999999996</v>
      </c>
      <c r="I1643">
        <v>32.06</v>
      </c>
      <c r="J1643">
        <v>163.53</v>
      </c>
      <c r="K1643" t="s">
        <v>82</v>
      </c>
      <c r="L1643" t="b">
        <v>0</v>
      </c>
    </row>
    <row r="1644" spans="1:13" ht="34" x14ac:dyDescent="0.2">
      <c r="A1644" t="s">
        <v>2049</v>
      </c>
      <c r="B1644" t="s">
        <v>384</v>
      </c>
      <c r="C1644" t="s">
        <v>116</v>
      </c>
      <c r="D1644" s="1">
        <v>45145</v>
      </c>
      <c r="E1644" s="6" t="s">
        <v>23</v>
      </c>
      <c r="F1644" t="s">
        <v>54</v>
      </c>
      <c r="G1644" s="3" t="s">
        <v>55</v>
      </c>
      <c r="H1644">
        <v>3.8</v>
      </c>
      <c r="I1644">
        <v>54.16</v>
      </c>
      <c r="J1644">
        <v>205.79</v>
      </c>
      <c r="K1644" t="s">
        <v>92</v>
      </c>
      <c r="L1644" t="b">
        <v>0</v>
      </c>
    </row>
    <row r="1645" spans="1:13" ht="68" x14ac:dyDescent="0.2">
      <c r="A1645" t="s">
        <v>2050</v>
      </c>
      <c r="B1645" t="s">
        <v>546</v>
      </c>
      <c r="C1645" t="s">
        <v>43</v>
      </c>
      <c r="D1645" s="1">
        <v>45295</v>
      </c>
      <c r="E1645" s="6" t="s">
        <v>78</v>
      </c>
      <c r="F1645" t="s">
        <v>50</v>
      </c>
      <c r="G1645" s="3" t="s">
        <v>51</v>
      </c>
      <c r="H1645">
        <v>6.7</v>
      </c>
      <c r="I1645">
        <v>50.31</v>
      </c>
      <c r="J1645">
        <v>337.05</v>
      </c>
      <c r="K1645" t="s">
        <v>105</v>
      </c>
      <c r="L1645" t="b">
        <v>0</v>
      </c>
    </row>
    <row r="1646" spans="1:13" ht="34" x14ac:dyDescent="0.2">
      <c r="A1646" t="s">
        <v>2051</v>
      </c>
      <c r="B1646" t="s">
        <v>960</v>
      </c>
      <c r="C1646" t="s">
        <v>256</v>
      </c>
      <c r="D1646" s="1">
        <v>44968</v>
      </c>
      <c r="E1646" s="6" t="s">
        <v>60</v>
      </c>
      <c r="F1646" t="s">
        <v>45</v>
      </c>
      <c r="G1646" s="3" t="s">
        <v>46</v>
      </c>
      <c r="H1646">
        <v>3.3</v>
      </c>
      <c r="I1646">
        <v>74.150000000000006</v>
      </c>
      <c r="J1646">
        <v>244.69</v>
      </c>
      <c r="K1646" t="s">
        <v>113</v>
      </c>
      <c r="L1646" t="b">
        <v>0</v>
      </c>
    </row>
    <row r="1647" spans="1:13" ht="34" x14ac:dyDescent="0.2">
      <c r="A1647" t="s">
        <v>2052</v>
      </c>
      <c r="B1647" t="s">
        <v>659</v>
      </c>
      <c r="C1647" t="s">
        <v>133</v>
      </c>
      <c r="D1647" s="1">
        <v>45053</v>
      </c>
      <c r="E1647" s="6" t="s">
        <v>44</v>
      </c>
      <c r="F1647" t="s">
        <v>24</v>
      </c>
      <c r="G1647" s="3" t="s">
        <v>25</v>
      </c>
      <c r="H1647">
        <v>2.7</v>
      </c>
      <c r="I1647">
        <v>45.92</v>
      </c>
      <c r="J1647">
        <v>123.98</v>
      </c>
      <c r="K1647" t="s">
        <v>92</v>
      </c>
      <c r="L1647" t="b">
        <v>0</v>
      </c>
    </row>
    <row r="1648" spans="1:13" ht="34" x14ac:dyDescent="0.2">
      <c r="A1648" t="s">
        <v>2053</v>
      </c>
      <c r="B1648" t="s">
        <v>447</v>
      </c>
      <c r="C1648" t="s">
        <v>194</v>
      </c>
      <c r="D1648" s="1">
        <v>45148</v>
      </c>
      <c r="E1648" s="6" t="s">
        <v>60</v>
      </c>
      <c r="F1648" t="s">
        <v>61</v>
      </c>
      <c r="G1648" s="3" t="s">
        <v>62</v>
      </c>
      <c r="H1648">
        <v>4.9000000000000004</v>
      </c>
      <c r="I1648">
        <v>43.58</v>
      </c>
      <c r="J1648">
        <v>213.55</v>
      </c>
      <c r="K1648" t="s">
        <v>19</v>
      </c>
      <c r="L1648" t="b">
        <v>0</v>
      </c>
    </row>
    <row r="1649" spans="1:13" ht="34" x14ac:dyDescent="0.2">
      <c r="A1649" t="s">
        <v>2054</v>
      </c>
      <c r="B1649" t="s">
        <v>1024</v>
      </c>
      <c r="C1649" t="s">
        <v>211</v>
      </c>
      <c r="D1649" s="1">
        <v>45549</v>
      </c>
      <c r="E1649" s="6" t="s">
        <v>16</v>
      </c>
      <c r="F1649" t="s">
        <v>54</v>
      </c>
      <c r="G1649" s="3" t="s">
        <v>55</v>
      </c>
      <c r="H1649">
        <v>6.7</v>
      </c>
      <c r="I1649">
        <v>53.51</v>
      </c>
      <c r="J1649">
        <v>358.54</v>
      </c>
      <c r="K1649" t="s">
        <v>113</v>
      </c>
      <c r="L1649" t="b">
        <v>0</v>
      </c>
    </row>
    <row r="1650" spans="1:13" ht="68" x14ac:dyDescent="0.2">
      <c r="A1650" t="s">
        <v>2055</v>
      </c>
      <c r="B1650" t="s">
        <v>504</v>
      </c>
      <c r="C1650" t="s">
        <v>293</v>
      </c>
      <c r="D1650" s="1">
        <v>45611</v>
      </c>
      <c r="E1650" s="6" t="s">
        <v>60</v>
      </c>
      <c r="F1650" t="s">
        <v>50</v>
      </c>
      <c r="G1650" s="3" t="s">
        <v>51</v>
      </c>
      <c r="H1650">
        <v>6.6</v>
      </c>
      <c r="I1650">
        <v>55.29</v>
      </c>
      <c r="J1650">
        <v>364.89</v>
      </c>
      <c r="K1650" t="s">
        <v>105</v>
      </c>
      <c r="L1650" t="b">
        <v>0</v>
      </c>
    </row>
    <row r="1651" spans="1:13" ht="17" x14ac:dyDescent="0.2">
      <c r="A1651" t="s">
        <v>2056</v>
      </c>
      <c r="B1651" t="s">
        <v>241</v>
      </c>
      <c r="C1651" t="s">
        <v>391</v>
      </c>
      <c r="D1651" s="1">
        <v>45052</v>
      </c>
      <c r="E1651" s="6" t="s">
        <v>16</v>
      </c>
      <c r="F1651" t="s">
        <v>17</v>
      </c>
      <c r="G1651" s="3" t="s">
        <v>18</v>
      </c>
      <c r="H1651">
        <v>6</v>
      </c>
      <c r="I1651">
        <v>33.94</v>
      </c>
      <c r="J1651">
        <v>203.63</v>
      </c>
      <c r="K1651" t="s">
        <v>105</v>
      </c>
      <c r="L1651" t="b">
        <v>0</v>
      </c>
    </row>
    <row r="1652" spans="1:13" ht="34" x14ac:dyDescent="0.2">
      <c r="A1652" t="s">
        <v>2057</v>
      </c>
      <c r="B1652" t="s">
        <v>711</v>
      </c>
      <c r="C1652" t="s">
        <v>196</v>
      </c>
      <c r="D1652" s="1">
        <v>46427</v>
      </c>
      <c r="E1652" s="6" t="s">
        <v>89</v>
      </c>
      <c r="F1652" t="s">
        <v>54</v>
      </c>
      <c r="G1652" s="3" t="s">
        <v>55</v>
      </c>
      <c r="H1652">
        <v>2.5</v>
      </c>
      <c r="I1652">
        <v>62.49</v>
      </c>
      <c r="J1652">
        <v>156.22</v>
      </c>
      <c r="K1652" t="s">
        <v>19</v>
      </c>
      <c r="L1652" t="b">
        <v>1</v>
      </c>
      <c r="M1652" s="3" t="s">
        <v>99</v>
      </c>
    </row>
    <row r="1653" spans="1:13" ht="34" x14ac:dyDescent="0.2">
      <c r="A1653" t="s">
        <v>2058</v>
      </c>
      <c r="B1653" t="s">
        <v>437</v>
      </c>
      <c r="C1653" t="s">
        <v>365</v>
      </c>
      <c r="D1653" s="1">
        <v>45282</v>
      </c>
      <c r="E1653" s="6" t="s">
        <v>78</v>
      </c>
      <c r="F1653" t="s">
        <v>61</v>
      </c>
      <c r="G1653" s="3" t="s">
        <v>62</v>
      </c>
      <c r="H1653">
        <v>4.3</v>
      </c>
      <c r="I1653">
        <v>79.010000000000005</v>
      </c>
      <c r="J1653">
        <v>339.76</v>
      </c>
      <c r="K1653" t="s">
        <v>113</v>
      </c>
      <c r="L1653" t="b">
        <v>0</v>
      </c>
    </row>
    <row r="1654" spans="1:13" ht="34" x14ac:dyDescent="0.2">
      <c r="A1654" t="s">
        <v>2059</v>
      </c>
      <c r="B1654" t="s">
        <v>292</v>
      </c>
      <c r="C1654" t="s">
        <v>280</v>
      </c>
      <c r="D1654" s="1">
        <v>45575</v>
      </c>
      <c r="E1654" s="6" t="s">
        <v>16</v>
      </c>
      <c r="F1654" t="s">
        <v>24</v>
      </c>
      <c r="G1654" s="3" t="s">
        <v>25</v>
      </c>
      <c r="H1654">
        <v>7.7</v>
      </c>
      <c r="I1654">
        <v>78.400000000000006</v>
      </c>
      <c r="J1654">
        <v>603.70000000000005</v>
      </c>
      <c r="K1654" t="s">
        <v>32</v>
      </c>
      <c r="L1654" t="b">
        <v>1</v>
      </c>
      <c r="M1654" s="3" t="s">
        <v>102</v>
      </c>
    </row>
    <row r="1655" spans="1:13" ht="34" x14ac:dyDescent="0.2">
      <c r="A1655" t="s">
        <v>2060</v>
      </c>
      <c r="B1655" t="s">
        <v>206</v>
      </c>
      <c r="C1655" t="s">
        <v>274</v>
      </c>
      <c r="D1655" s="1">
        <v>45318</v>
      </c>
      <c r="E1655" s="6" t="s">
        <v>16</v>
      </c>
      <c r="F1655" t="s">
        <v>45</v>
      </c>
      <c r="G1655" s="3" t="s">
        <v>46</v>
      </c>
      <c r="H1655">
        <v>5.9</v>
      </c>
      <c r="I1655">
        <v>76.959999999999994</v>
      </c>
      <c r="J1655">
        <v>454.05</v>
      </c>
      <c r="K1655" t="s">
        <v>36</v>
      </c>
      <c r="L1655" t="b">
        <v>0</v>
      </c>
    </row>
    <row r="1656" spans="1:13" ht="34" x14ac:dyDescent="0.2">
      <c r="A1656" t="s">
        <v>2061</v>
      </c>
      <c r="B1656" t="s">
        <v>1124</v>
      </c>
      <c r="C1656" t="s">
        <v>499</v>
      </c>
      <c r="D1656" s="1">
        <v>45351</v>
      </c>
      <c r="E1656" s="6" t="s">
        <v>16</v>
      </c>
      <c r="F1656" t="s">
        <v>24</v>
      </c>
      <c r="G1656" s="3" t="s">
        <v>25</v>
      </c>
      <c r="H1656">
        <v>5.4</v>
      </c>
      <c r="I1656">
        <v>72.77</v>
      </c>
      <c r="J1656">
        <v>392.96</v>
      </c>
      <c r="K1656" t="s">
        <v>113</v>
      </c>
      <c r="L1656" t="b">
        <v>0</v>
      </c>
    </row>
    <row r="1657" spans="1:13" ht="34" x14ac:dyDescent="0.2">
      <c r="A1657" t="s">
        <v>2062</v>
      </c>
      <c r="B1657" t="s">
        <v>77</v>
      </c>
      <c r="C1657" t="s">
        <v>59</v>
      </c>
      <c r="D1657" s="1">
        <v>45494</v>
      </c>
      <c r="E1657" s="6" t="s">
        <v>89</v>
      </c>
      <c r="F1657" t="s">
        <v>45</v>
      </c>
      <c r="G1657" s="3" t="s">
        <v>46</v>
      </c>
      <c r="H1657">
        <v>21.2</v>
      </c>
      <c r="I1657">
        <v>32.43</v>
      </c>
      <c r="J1657">
        <v>687.52</v>
      </c>
      <c r="K1657" t="s">
        <v>26</v>
      </c>
      <c r="L1657" t="b">
        <v>1</v>
      </c>
      <c r="M1657" s="3" t="s">
        <v>79</v>
      </c>
    </row>
    <row r="1658" spans="1:13" ht="34" x14ac:dyDescent="0.2">
      <c r="A1658" t="s">
        <v>2063</v>
      </c>
      <c r="B1658" t="s">
        <v>48</v>
      </c>
      <c r="C1658" t="s">
        <v>59</v>
      </c>
      <c r="D1658" s="1">
        <v>45642</v>
      </c>
      <c r="E1658" s="6" t="s">
        <v>89</v>
      </c>
      <c r="F1658" t="s">
        <v>90</v>
      </c>
      <c r="G1658" s="3" t="s">
        <v>91</v>
      </c>
      <c r="H1658">
        <v>3.2</v>
      </c>
      <c r="I1658">
        <v>62.12</v>
      </c>
      <c r="J1658">
        <v>198.79</v>
      </c>
      <c r="K1658" t="s">
        <v>32</v>
      </c>
      <c r="L1658" t="b">
        <v>0</v>
      </c>
    </row>
    <row r="1659" spans="1:13" ht="34" x14ac:dyDescent="0.2">
      <c r="A1659" t="s">
        <v>2064</v>
      </c>
      <c r="B1659" t="s">
        <v>202</v>
      </c>
      <c r="C1659" t="s">
        <v>59</v>
      </c>
      <c r="D1659" s="1">
        <v>45303</v>
      </c>
      <c r="E1659" s="6" t="s">
        <v>60</v>
      </c>
      <c r="F1659" t="s">
        <v>24</v>
      </c>
      <c r="G1659" s="3" t="s">
        <v>25</v>
      </c>
      <c r="H1659">
        <v>7.7</v>
      </c>
      <c r="I1659">
        <v>56.31</v>
      </c>
      <c r="J1659">
        <v>433.55</v>
      </c>
      <c r="K1659" t="s">
        <v>113</v>
      </c>
      <c r="L1659" t="b">
        <v>0</v>
      </c>
    </row>
    <row r="1660" spans="1:13" ht="34" x14ac:dyDescent="0.2">
      <c r="A1660" t="s">
        <v>2065</v>
      </c>
      <c r="B1660" t="s">
        <v>218</v>
      </c>
      <c r="C1660" t="s">
        <v>191</v>
      </c>
      <c r="D1660" s="1">
        <v>45359</v>
      </c>
      <c r="E1660" s="6" t="s">
        <v>23</v>
      </c>
      <c r="F1660" t="s">
        <v>24</v>
      </c>
      <c r="G1660" s="3" t="s">
        <v>25</v>
      </c>
      <c r="H1660">
        <v>2.7</v>
      </c>
      <c r="I1660">
        <v>81.17</v>
      </c>
      <c r="J1660">
        <v>219.16</v>
      </c>
      <c r="K1660" t="s">
        <v>19</v>
      </c>
      <c r="L1660" t="b">
        <v>0</v>
      </c>
    </row>
    <row r="1661" spans="1:13" ht="34" x14ac:dyDescent="0.2">
      <c r="A1661" t="s">
        <v>2066</v>
      </c>
      <c r="B1661" t="s">
        <v>855</v>
      </c>
      <c r="C1661" t="s">
        <v>148</v>
      </c>
      <c r="D1661" s="1">
        <v>45164</v>
      </c>
      <c r="E1661" s="6" t="s">
        <v>16</v>
      </c>
      <c r="F1661" t="s">
        <v>24</v>
      </c>
      <c r="G1661" s="3" t="s">
        <v>25</v>
      </c>
      <c r="H1661">
        <v>3.6</v>
      </c>
      <c r="I1661">
        <v>37.35</v>
      </c>
      <c r="J1661">
        <v>134.44999999999999</v>
      </c>
      <c r="K1661" t="s">
        <v>82</v>
      </c>
      <c r="L1661" t="b">
        <v>0</v>
      </c>
    </row>
    <row r="1662" spans="1:13" ht="17" x14ac:dyDescent="0.2">
      <c r="A1662" t="s">
        <v>2067</v>
      </c>
      <c r="B1662" t="s">
        <v>202</v>
      </c>
      <c r="C1662" t="s">
        <v>380</v>
      </c>
      <c r="D1662" s="1">
        <v>45246</v>
      </c>
      <c r="E1662" s="6" t="s">
        <v>78</v>
      </c>
      <c r="F1662" t="s">
        <v>17</v>
      </c>
      <c r="G1662" s="3" t="s">
        <v>18</v>
      </c>
      <c r="H1662">
        <v>2.5</v>
      </c>
      <c r="I1662">
        <v>57.01</v>
      </c>
      <c r="J1662">
        <v>142.53</v>
      </c>
      <c r="K1662" t="s">
        <v>113</v>
      </c>
      <c r="L1662" t="b">
        <v>0</v>
      </c>
    </row>
    <row r="1663" spans="1:13" ht="34" x14ac:dyDescent="0.2">
      <c r="A1663" t="s">
        <v>2068</v>
      </c>
      <c r="B1663" t="s">
        <v>352</v>
      </c>
      <c r="C1663" t="s">
        <v>186</v>
      </c>
      <c r="D1663" s="1">
        <v>45584</v>
      </c>
      <c r="E1663" s="6" t="s">
        <v>44</v>
      </c>
      <c r="F1663" t="s">
        <v>61</v>
      </c>
      <c r="G1663" s="3" t="s">
        <v>62</v>
      </c>
      <c r="H1663">
        <v>5.5</v>
      </c>
      <c r="I1663">
        <v>54.49</v>
      </c>
      <c r="J1663">
        <v>299.69</v>
      </c>
      <c r="K1663" t="s">
        <v>56</v>
      </c>
      <c r="L1663" t="b">
        <v>0</v>
      </c>
    </row>
    <row r="1664" spans="1:13" ht="34" x14ac:dyDescent="0.2">
      <c r="A1664" t="s">
        <v>2069</v>
      </c>
      <c r="B1664" t="s">
        <v>202</v>
      </c>
      <c r="C1664" t="s">
        <v>166</v>
      </c>
      <c r="D1664" s="1">
        <v>45524</v>
      </c>
      <c r="E1664" s="6" t="s">
        <v>89</v>
      </c>
      <c r="F1664" t="s">
        <v>54</v>
      </c>
      <c r="G1664" s="3" t="s">
        <v>55</v>
      </c>
      <c r="H1664">
        <v>4.5999999999999996</v>
      </c>
      <c r="I1664">
        <v>49.9</v>
      </c>
      <c r="J1664">
        <v>229.52</v>
      </c>
      <c r="K1664" t="s">
        <v>113</v>
      </c>
      <c r="L1664" t="b">
        <v>0</v>
      </c>
    </row>
    <row r="1665" spans="1:13" ht="34" x14ac:dyDescent="0.2">
      <c r="A1665" t="s">
        <v>2070</v>
      </c>
      <c r="B1665" t="s">
        <v>390</v>
      </c>
      <c r="C1665" t="s">
        <v>116</v>
      </c>
      <c r="D1665" s="1">
        <v>45586</v>
      </c>
      <c r="E1665" s="6" t="s">
        <v>44</v>
      </c>
      <c r="F1665" t="s">
        <v>54</v>
      </c>
      <c r="G1665" s="3" t="s">
        <v>55</v>
      </c>
      <c r="H1665">
        <v>4.3</v>
      </c>
      <c r="I1665">
        <v>30.46</v>
      </c>
      <c r="J1665">
        <v>130.97999999999999</v>
      </c>
      <c r="K1665" t="s">
        <v>96</v>
      </c>
      <c r="L1665" t="b">
        <v>0</v>
      </c>
    </row>
    <row r="1666" spans="1:13" ht="68" x14ac:dyDescent="0.2">
      <c r="A1666" t="s">
        <v>2071</v>
      </c>
      <c r="B1666" t="s">
        <v>378</v>
      </c>
      <c r="C1666" t="s">
        <v>59</v>
      </c>
      <c r="D1666" s="1">
        <v>45278</v>
      </c>
      <c r="E1666" s="6" t="s">
        <v>44</v>
      </c>
      <c r="F1666" t="s">
        <v>50</v>
      </c>
      <c r="G1666" s="3" t="s">
        <v>51</v>
      </c>
      <c r="H1666">
        <v>3.7</v>
      </c>
      <c r="I1666">
        <v>35.96</v>
      </c>
      <c r="J1666">
        <v>133.05000000000001</v>
      </c>
      <c r="K1666" t="s">
        <v>26</v>
      </c>
      <c r="L1666" t="b">
        <v>0</v>
      </c>
    </row>
    <row r="1667" spans="1:13" ht="68" x14ac:dyDescent="0.2">
      <c r="A1667" t="s">
        <v>2072</v>
      </c>
      <c r="B1667" t="s">
        <v>417</v>
      </c>
      <c r="C1667" t="s">
        <v>266</v>
      </c>
      <c r="D1667" s="1">
        <v>45398</v>
      </c>
      <c r="E1667" s="6" t="s">
        <v>23</v>
      </c>
      <c r="F1667" t="s">
        <v>50</v>
      </c>
      <c r="G1667" s="3" t="s">
        <v>51</v>
      </c>
      <c r="H1667">
        <v>3.8</v>
      </c>
      <c r="I1667">
        <v>49.44</v>
      </c>
      <c r="J1667">
        <v>187.86</v>
      </c>
      <c r="K1667" t="s">
        <v>56</v>
      </c>
      <c r="L1667" t="b">
        <v>0</v>
      </c>
    </row>
    <row r="1668" spans="1:13" ht="34" x14ac:dyDescent="0.2">
      <c r="A1668" t="s">
        <v>2073</v>
      </c>
      <c r="B1668" t="s">
        <v>261</v>
      </c>
      <c r="C1668" t="s">
        <v>191</v>
      </c>
      <c r="D1668" s="1">
        <v>45081</v>
      </c>
      <c r="E1668" s="6" t="s">
        <v>44</v>
      </c>
      <c r="F1668" t="s">
        <v>24</v>
      </c>
      <c r="G1668" s="3" t="s">
        <v>25</v>
      </c>
      <c r="H1668">
        <v>5.7</v>
      </c>
      <c r="I1668">
        <v>44.52</v>
      </c>
      <c r="J1668">
        <v>253.75</v>
      </c>
      <c r="K1668" t="s">
        <v>96</v>
      </c>
      <c r="L1668" t="b">
        <v>0</v>
      </c>
    </row>
    <row r="1669" spans="1:13" ht="34" x14ac:dyDescent="0.2">
      <c r="A1669" t="s">
        <v>2074</v>
      </c>
      <c r="B1669" t="s">
        <v>925</v>
      </c>
      <c r="C1669" t="s">
        <v>161</v>
      </c>
      <c r="D1669" s="1">
        <v>45558</v>
      </c>
      <c r="E1669" s="6" t="s">
        <v>23</v>
      </c>
      <c r="F1669" t="s">
        <v>24</v>
      </c>
      <c r="G1669" s="3" t="s">
        <v>25</v>
      </c>
      <c r="H1669">
        <v>21.6</v>
      </c>
      <c r="I1669">
        <v>30.92</v>
      </c>
      <c r="J1669">
        <v>667.87</v>
      </c>
      <c r="K1669" t="s">
        <v>96</v>
      </c>
      <c r="L1669" t="b">
        <v>1</v>
      </c>
      <c r="M1669" s="3" t="s">
        <v>79</v>
      </c>
    </row>
    <row r="1670" spans="1:13" ht="34" x14ac:dyDescent="0.2">
      <c r="A1670" t="s">
        <v>2075</v>
      </c>
      <c r="B1670" t="s">
        <v>593</v>
      </c>
      <c r="C1670" t="s">
        <v>95</v>
      </c>
      <c r="D1670" s="1">
        <v>45383</v>
      </c>
      <c r="E1670" s="6" t="s">
        <v>44</v>
      </c>
      <c r="F1670" t="s">
        <v>61</v>
      </c>
      <c r="G1670" s="3" t="s">
        <v>62</v>
      </c>
      <c r="H1670">
        <v>7.4</v>
      </c>
      <c r="I1670">
        <v>40.479999999999997</v>
      </c>
      <c r="J1670">
        <v>299.52</v>
      </c>
      <c r="K1670" t="s">
        <v>96</v>
      </c>
      <c r="L1670" t="b">
        <v>0</v>
      </c>
    </row>
    <row r="1671" spans="1:13" ht="34" x14ac:dyDescent="0.2">
      <c r="A1671" t="s">
        <v>2076</v>
      </c>
      <c r="B1671" t="s">
        <v>1124</v>
      </c>
      <c r="C1671" t="s">
        <v>266</v>
      </c>
      <c r="D1671" s="1">
        <v>45422</v>
      </c>
      <c r="E1671" s="6" t="s">
        <v>89</v>
      </c>
      <c r="F1671" t="s">
        <v>24</v>
      </c>
      <c r="G1671" s="3" t="s">
        <v>25</v>
      </c>
      <c r="H1671">
        <v>3.2</v>
      </c>
      <c r="I1671">
        <v>70.13</v>
      </c>
      <c r="J1671">
        <v>224.41</v>
      </c>
      <c r="K1671" t="s">
        <v>113</v>
      </c>
      <c r="L1671" t="b">
        <v>0</v>
      </c>
    </row>
    <row r="1672" spans="1:13" ht="17" x14ac:dyDescent="0.2">
      <c r="A1672" t="s">
        <v>2077</v>
      </c>
      <c r="B1672" t="s">
        <v>573</v>
      </c>
      <c r="C1672" t="s">
        <v>133</v>
      </c>
      <c r="D1672" s="1">
        <v>45357</v>
      </c>
      <c r="E1672" s="6" t="s">
        <v>60</v>
      </c>
      <c r="F1672" t="s">
        <v>30</v>
      </c>
      <c r="G1672" s="3" t="s">
        <v>31</v>
      </c>
      <c r="H1672">
        <v>5</v>
      </c>
      <c r="I1672">
        <v>70.14</v>
      </c>
      <c r="J1672">
        <v>350.72</v>
      </c>
      <c r="K1672" t="s">
        <v>32</v>
      </c>
      <c r="L1672" t="b">
        <v>0</v>
      </c>
    </row>
    <row r="1673" spans="1:13" ht="34" x14ac:dyDescent="0.2">
      <c r="A1673" t="s">
        <v>2078</v>
      </c>
      <c r="B1673" t="s">
        <v>315</v>
      </c>
      <c r="C1673" t="s">
        <v>153</v>
      </c>
      <c r="D1673" s="1">
        <v>45152</v>
      </c>
      <c r="E1673" s="6" t="s">
        <v>89</v>
      </c>
      <c r="F1673" t="s">
        <v>90</v>
      </c>
      <c r="G1673" s="3" t="s">
        <v>91</v>
      </c>
      <c r="H1673">
        <v>3.6</v>
      </c>
      <c r="I1673">
        <v>44.1</v>
      </c>
      <c r="J1673">
        <v>158.76</v>
      </c>
      <c r="K1673" t="s">
        <v>36</v>
      </c>
      <c r="L1673" t="b">
        <v>0</v>
      </c>
    </row>
    <row r="1674" spans="1:13" ht="34" x14ac:dyDescent="0.2">
      <c r="A1674" t="s">
        <v>2079</v>
      </c>
      <c r="B1674" t="s">
        <v>378</v>
      </c>
      <c r="C1674" t="s">
        <v>172</v>
      </c>
      <c r="D1674" s="1">
        <v>45463</v>
      </c>
      <c r="E1674" s="6" t="s">
        <v>16</v>
      </c>
      <c r="F1674" t="s">
        <v>61</v>
      </c>
      <c r="G1674" s="3" t="s">
        <v>62</v>
      </c>
      <c r="H1674">
        <v>2.4</v>
      </c>
      <c r="I1674">
        <v>26.73</v>
      </c>
      <c r="J1674">
        <v>64.16</v>
      </c>
      <c r="K1674" t="s">
        <v>26</v>
      </c>
      <c r="L1674" t="b">
        <v>0</v>
      </c>
    </row>
    <row r="1675" spans="1:13" ht="17" x14ac:dyDescent="0.2">
      <c r="A1675" t="s">
        <v>2080</v>
      </c>
      <c r="B1675" t="s">
        <v>823</v>
      </c>
      <c r="C1675" t="s">
        <v>145</v>
      </c>
      <c r="D1675" s="1">
        <v>45381</v>
      </c>
      <c r="E1675" s="6" t="s">
        <v>89</v>
      </c>
      <c r="F1675" t="s">
        <v>30</v>
      </c>
      <c r="G1675" s="3" t="s">
        <v>31</v>
      </c>
      <c r="H1675">
        <v>7.5</v>
      </c>
      <c r="I1675">
        <v>26.12</v>
      </c>
      <c r="J1675">
        <v>195.88</v>
      </c>
      <c r="K1675" t="s">
        <v>19</v>
      </c>
      <c r="L1675" t="b">
        <v>0</v>
      </c>
    </row>
    <row r="1676" spans="1:13" ht="34" x14ac:dyDescent="0.2">
      <c r="A1676" t="s">
        <v>2081</v>
      </c>
      <c r="B1676" t="s">
        <v>390</v>
      </c>
      <c r="C1676" t="s">
        <v>166</v>
      </c>
      <c r="D1676" s="1">
        <v>45011</v>
      </c>
      <c r="E1676" s="6" t="s">
        <v>23</v>
      </c>
      <c r="F1676" t="s">
        <v>90</v>
      </c>
      <c r="G1676" s="3" t="s">
        <v>91</v>
      </c>
      <c r="H1676">
        <v>3.5</v>
      </c>
      <c r="I1676">
        <v>58.28</v>
      </c>
      <c r="J1676">
        <v>203.99</v>
      </c>
      <c r="K1676" t="s">
        <v>96</v>
      </c>
      <c r="L1676" t="b">
        <v>0</v>
      </c>
    </row>
    <row r="1677" spans="1:13" ht="34" x14ac:dyDescent="0.2">
      <c r="A1677" t="s">
        <v>2082</v>
      </c>
      <c r="B1677" t="s">
        <v>669</v>
      </c>
      <c r="C1677" t="s">
        <v>166</v>
      </c>
      <c r="D1677" s="1">
        <v>45039</v>
      </c>
      <c r="E1677" s="6" t="s">
        <v>16</v>
      </c>
      <c r="F1677" t="s">
        <v>45</v>
      </c>
      <c r="G1677" s="3" t="s">
        <v>46</v>
      </c>
      <c r="H1677">
        <v>5.4</v>
      </c>
      <c r="I1677">
        <v>51.76</v>
      </c>
      <c r="J1677">
        <v>279.5</v>
      </c>
      <c r="K1677" t="s">
        <v>36</v>
      </c>
      <c r="L1677" t="b">
        <v>0</v>
      </c>
    </row>
    <row r="1678" spans="1:13" ht="17" x14ac:dyDescent="0.2">
      <c r="A1678" t="s">
        <v>2083</v>
      </c>
      <c r="B1678" t="s">
        <v>369</v>
      </c>
      <c r="C1678" t="s">
        <v>207</v>
      </c>
      <c r="D1678" s="1">
        <v>45265</v>
      </c>
      <c r="E1678" s="6" t="s">
        <v>89</v>
      </c>
      <c r="F1678" t="s">
        <v>30</v>
      </c>
      <c r="G1678" s="3" t="s">
        <v>31</v>
      </c>
      <c r="H1678">
        <v>6.7</v>
      </c>
      <c r="I1678">
        <v>33.54</v>
      </c>
      <c r="J1678">
        <v>224.73</v>
      </c>
      <c r="K1678" t="s">
        <v>82</v>
      </c>
      <c r="L1678" t="b">
        <v>0</v>
      </c>
    </row>
    <row r="1679" spans="1:13" ht="68" x14ac:dyDescent="0.2">
      <c r="A1679" t="s">
        <v>2084</v>
      </c>
      <c r="B1679" t="s">
        <v>683</v>
      </c>
      <c r="C1679" t="s">
        <v>380</v>
      </c>
      <c r="D1679" s="1">
        <v>45217</v>
      </c>
      <c r="E1679" s="6" t="s">
        <v>60</v>
      </c>
      <c r="F1679" t="s">
        <v>50</v>
      </c>
      <c r="G1679" s="3" t="s">
        <v>51</v>
      </c>
      <c r="H1679">
        <v>6.7</v>
      </c>
      <c r="I1679">
        <v>57.25</v>
      </c>
      <c r="J1679">
        <v>383.59</v>
      </c>
      <c r="K1679" t="s">
        <v>96</v>
      </c>
      <c r="L1679" t="b">
        <v>0</v>
      </c>
    </row>
    <row r="1680" spans="1:13" ht="17" x14ac:dyDescent="0.2">
      <c r="A1680" t="s">
        <v>2085</v>
      </c>
      <c r="B1680" t="s">
        <v>728</v>
      </c>
      <c r="C1680" t="s">
        <v>110</v>
      </c>
      <c r="D1680" s="1">
        <v>45589</v>
      </c>
      <c r="E1680" s="6" t="s">
        <v>89</v>
      </c>
      <c r="F1680" t="s">
        <v>17</v>
      </c>
      <c r="G1680" s="3" t="s">
        <v>18</v>
      </c>
      <c r="H1680">
        <v>2.2999999999999998</v>
      </c>
      <c r="I1680">
        <v>73.760000000000005</v>
      </c>
      <c r="J1680">
        <v>169.64</v>
      </c>
      <c r="K1680" t="s">
        <v>32</v>
      </c>
      <c r="L1680" t="b">
        <v>0</v>
      </c>
    </row>
    <row r="1681" spans="1:13" ht="34" x14ac:dyDescent="0.2">
      <c r="A1681" t="s">
        <v>2086</v>
      </c>
      <c r="B1681" t="s">
        <v>630</v>
      </c>
      <c r="C1681" t="s">
        <v>207</v>
      </c>
      <c r="D1681" s="1">
        <v>45509</v>
      </c>
      <c r="E1681" s="6" t="s">
        <v>44</v>
      </c>
      <c r="F1681" t="s">
        <v>45</v>
      </c>
      <c r="G1681" s="3" t="s">
        <v>46</v>
      </c>
      <c r="H1681">
        <v>5.9</v>
      </c>
      <c r="I1681">
        <v>35.04</v>
      </c>
      <c r="J1681">
        <v>206.75</v>
      </c>
      <c r="K1681" t="s">
        <v>32</v>
      </c>
      <c r="L1681" t="b">
        <v>0</v>
      </c>
    </row>
    <row r="1682" spans="1:13" ht="34" x14ac:dyDescent="0.2">
      <c r="A1682" t="s">
        <v>2087</v>
      </c>
      <c r="B1682" t="s">
        <v>1167</v>
      </c>
      <c r="C1682" t="s">
        <v>178</v>
      </c>
      <c r="D1682" s="1">
        <v>45594</v>
      </c>
      <c r="E1682" s="6" t="s">
        <v>16</v>
      </c>
      <c r="F1682" t="s">
        <v>17</v>
      </c>
      <c r="G1682" s="3" t="s">
        <v>18</v>
      </c>
      <c r="H1682">
        <v>3.6</v>
      </c>
      <c r="I1682">
        <v>40.049999999999997</v>
      </c>
      <c r="J1682">
        <v>144.19</v>
      </c>
      <c r="K1682" t="s">
        <v>96</v>
      </c>
      <c r="L1682" t="b">
        <v>1</v>
      </c>
      <c r="M1682" s="3" t="s">
        <v>102</v>
      </c>
    </row>
    <row r="1683" spans="1:13" ht="34" x14ac:dyDescent="0.2">
      <c r="A1683" t="s">
        <v>2088</v>
      </c>
      <c r="B1683" t="s">
        <v>233</v>
      </c>
      <c r="C1683" t="s">
        <v>148</v>
      </c>
      <c r="D1683" s="1">
        <v>45326</v>
      </c>
      <c r="E1683" s="6" t="s">
        <v>23</v>
      </c>
      <c r="F1683" t="s">
        <v>61</v>
      </c>
      <c r="G1683" s="3" t="s">
        <v>62</v>
      </c>
      <c r="H1683">
        <v>8</v>
      </c>
      <c r="I1683">
        <v>75.55</v>
      </c>
      <c r="J1683">
        <v>604.37</v>
      </c>
      <c r="K1683" t="s">
        <v>36</v>
      </c>
      <c r="L1683" t="b">
        <v>0</v>
      </c>
    </row>
    <row r="1684" spans="1:13" ht="34" x14ac:dyDescent="0.2">
      <c r="A1684" t="s">
        <v>2089</v>
      </c>
      <c r="B1684" t="s">
        <v>630</v>
      </c>
      <c r="C1684" t="s">
        <v>49</v>
      </c>
      <c r="D1684" s="1">
        <v>45155</v>
      </c>
      <c r="E1684" s="6" t="s">
        <v>89</v>
      </c>
      <c r="F1684" t="s">
        <v>45</v>
      </c>
      <c r="G1684" s="3" t="s">
        <v>46</v>
      </c>
      <c r="H1684">
        <v>2.2999999999999998</v>
      </c>
      <c r="I1684">
        <v>69.349999999999994</v>
      </c>
      <c r="J1684">
        <v>159.51</v>
      </c>
      <c r="K1684" t="s">
        <v>32</v>
      </c>
      <c r="L1684" t="b">
        <v>1</v>
      </c>
      <c r="M1684" s="3" t="s">
        <v>102</v>
      </c>
    </row>
    <row r="1685" spans="1:13" ht="34" x14ac:dyDescent="0.2">
      <c r="A1685" t="s">
        <v>2090</v>
      </c>
      <c r="B1685" t="s">
        <v>320</v>
      </c>
      <c r="C1685" t="s">
        <v>43</v>
      </c>
      <c r="D1685" s="1">
        <v>45269</v>
      </c>
      <c r="E1685" s="6" t="s">
        <v>44</v>
      </c>
      <c r="F1685" t="s">
        <v>90</v>
      </c>
      <c r="G1685" s="3" t="s">
        <v>91</v>
      </c>
      <c r="H1685">
        <v>3.8</v>
      </c>
      <c r="I1685">
        <v>48.72</v>
      </c>
      <c r="J1685">
        <v>185.13</v>
      </c>
      <c r="K1685" t="s">
        <v>82</v>
      </c>
      <c r="L1685" t="b">
        <v>0</v>
      </c>
    </row>
    <row r="1686" spans="1:13" ht="68" x14ac:dyDescent="0.2">
      <c r="A1686" t="s">
        <v>2091</v>
      </c>
      <c r="B1686" t="s">
        <v>135</v>
      </c>
      <c r="C1686" t="s">
        <v>130</v>
      </c>
      <c r="D1686" s="1">
        <v>45353</v>
      </c>
      <c r="E1686" s="6" t="s">
        <v>60</v>
      </c>
      <c r="F1686" t="s">
        <v>50</v>
      </c>
      <c r="G1686" s="3" t="s">
        <v>51</v>
      </c>
      <c r="H1686">
        <v>6.4</v>
      </c>
      <c r="I1686">
        <v>84.93</v>
      </c>
      <c r="J1686">
        <v>543.54999999999995</v>
      </c>
      <c r="K1686" t="s">
        <v>113</v>
      </c>
      <c r="L1686" t="b">
        <v>0</v>
      </c>
    </row>
    <row r="1687" spans="1:13" ht="17" x14ac:dyDescent="0.2">
      <c r="A1687" t="s">
        <v>2092</v>
      </c>
      <c r="B1687" t="s">
        <v>98</v>
      </c>
      <c r="C1687" t="s">
        <v>124</v>
      </c>
      <c r="D1687" s="1">
        <v>45027</v>
      </c>
      <c r="E1687" s="6" t="s">
        <v>78</v>
      </c>
      <c r="F1687" t="s">
        <v>30</v>
      </c>
      <c r="G1687" s="3" t="s">
        <v>31</v>
      </c>
      <c r="H1687">
        <v>5.7</v>
      </c>
      <c r="I1687">
        <v>82.45</v>
      </c>
      <c r="J1687">
        <v>469.94</v>
      </c>
      <c r="K1687" t="s">
        <v>113</v>
      </c>
      <c r="L1687" t="b">
        <v>0</v>
      </c>
    </row>
    <row r="1688" spans="1:13" ht="34" x14ac:dyDescent="0.2">
      <c r="A1688" t="s">
        <v>2093</v>
      </c>
      <c r="B1688" t="s">
        <v>835</v>
      </c>
      <c r="C1688" t="s">
        <v>499</v>
      </c>
      <c r="D1688" s="1">
        <v>45502</v>
      </c>
      <c r="E1688" s="6" t="s">
        <v>16</v>
      </c>
      <c r="F1688" t="s">
        <v>54</v>
      </c>
      <c r="G1688" s="3" t="s">
        <v>55</v>
      </c>
      <c r="H1688">
        <v>9</v>
      </c>
      <c r="I1688">
        <v>83.78</v>
      </c>
      <c r="J1688">
        <v>750</v>
      </c>
      <c r="K1688" t="s">
        <v>26</v>
      </c>
      <c r="L1688" t="b">
        <v>1</v>
      </c>
      <c r="M1688" s="3" t="s">
        <v>40</v>
      </c>
    </row>
    <row r="1689" spans="1:13" ht="17" x14ac:dyDescent="0.2">
      <c r="A1689" t="s">
        <v>2094</v>
      </c>
      <c r="B1689" t="s">
        <v>823</v>
      </c>
      <c r="C1689" t="s">
        <v>191</v>
      </c>
      <c r="D1689" s="1">
        <v>45499</v>
      </c>
      <c r="E1689" s="6" t="s">
        <v>78</v>
      </c>
      <c r="F1689" t="s">
        <v>17</v>
      </c>
      <c r="G1689" s="3" t="s">
        <v>18</v>
      </c>
      <c r="H1689">
        <v>3.6</v>
      </c>
      <c r="I1689">
        <v>64.739999999999995</v>
      </c>
      <c r="J1689">
        <v>233.05</v>
      </c>
      <c r="K1689" t="s">
        <v>19</v>
      </c>
      <c r="L1689" t="b">
        <v>0</v>
      </c>
    </row>
    <row r="1690" spans="1:13" ht="34" x14ac:dyDescent="0.2">
      <c r="A1690" t="s">
        <v>2095</v>
      </c>
      <c r="B1690" t="s">
        <v>476</v>
      </c>
      <c r="C1690" t="s">
        <v>95</v>
      </c>
      <c r="D1690" s="1">
        <v>45049</v>
      </c>
      <c r="E1690" s="6" t="s">
        <v>78</v>
      </c>
      <c r="F1690" t="s">
        <v>54</v>
      </c>
      <c r="G1690" s="3" t="s">
        <v>55</v>
      </c>
      <c r="H1690">
        <v>3.3</v>
      </c>
      <c r="I1690">
        <v>82.54</v>
      </c>
      <c r="J1690">
        <v>272.38</v>
      </c>
      <c r="K1690" t="s">
        <v>105</v>
      </c>
      <c r="L1690" t="b">
        <v>0</v>
      </c>
    </row>
    <row r="1691" spans="1:13" ht="34" x14ac:dyDescent="0.2">
      <c r="A1691" t="s">
        <v>2096</v>
      </c>
      <c r="B1691" t="s">
        <v>361</v>
      </c>
      <c r="C1691" t="s">
        <v>145</v>
      </c>
      <c r="D1691" s="1">
        <v>45398</v>
      </c>
      <c r="E1691" s="6" t="s">
        <v>44</v>
      </c>
      <c r="F1691" t="s">
        <v>24</v>
      </c>
      <c r="G1691" s="3" t="s">
        <v>25</v>
      </c>
      <c r="H1691">
        <v>7.5</v>
      </c>
      <c r="I1691">
        <v>33.020000000000003</v>
      </c>
      <c r="J1691">
        <v>247.68</v>
      </c>
      <c r="K1691" t="s">
        <v>113</v>
      </c>
      <c r="L1691" t="b">
        <v>0</v>
      </c>
    </row>
    <row r="1692" spans="1:13" ht="17" x14ac:dyDescent="0.2">
      <c r="A1692" t="s">
        <v>2097</v>
      </c>
      <c r="B1692" t="s">
        <v>238</v>
      </c>
      <c r="C1692" t="s">
        <v>130</v>
      </c>
      <c r="D1692" s="1">
        <v>45391</v>
      </c>
      <c r="E1692" s="6" t="s">
        <v>23</v>
      </c>
      <c r="F1692" t="s">
        <v>17</v>
      </c>
      <c r="G1692" s="3" t="s">
        <v>18</v>
      </c>
      <c r="H1692">
        <v>2</v>
      </c>
      <c r="I1692">
        <v>25.57</v>
      </c>
      <c r="J1692">
        <v>51.15</v>
      </c>
      <c r="K1692" t="s">
        <v>105</v>
      </c>
      <c r="L1692" t="b">
        <v>0</v>
      </c>
    </row>
    <row r="1693" spans="1:13" ht="34" x14ac:dyDescent="0.2">
      <c r="A1693" t="s">
        <v>2098</v>
      </c>
      <c r="B1693" t="s">
        <v>468</v>
      </c>
      <c r="C1693" t="s">
        <v>186</v>
      </c>
      <c r="D1693" s="1">
        <v>45465</v>
      </c>
      <c r="E1693" s="6" t="s">
        <v>60</v>
      </c>
      <c r="F1693" t="s">
        <v>61</v>
      </c>
      <c r="G1693" s="3" t="s">
        <v>62</v>
      </c>
      <c r="H1693">
        <v>29.9</v>
      </c>
      <c r="I1693">
        <v>66.790000000000006</v>
      </c>
      <c r="J1693">
        <v>2000</v>
      </c>
      <c r="K1693" t="s">
        <v>96</v>
      </c>
      <c r="L1693" t="b">
        <v>1</v>
      </c>
      <c r="M1693" s="3" t="s">
        <v>40</v>
      </c>
    </row>
    <row r="1694" spans="1:13" ht="34" x14ac:dyDescent="0.2">
      <c r="A1694" t="s">
        <v>2099</v>
      </c>
      <c r="B1694" t="s">
        <v>563</v>
      </c>
      <c r="C1694" t="s">
        <v>127</v>
      </c>
      <c r="D1694" s="1">
        <v>45135</v>
      </c>
      <c r="E1694" s="6" t="s">
        <v>16</v>
      </c>
      <c r="F1694" t="s">
        <v>61</v>
      </c>
      <c r="G1694" s="3" t="s">
        <v>62</v>
      </c>
      <c r="H1694">
        <v>5.2</v>
      </c>
      <c r="I1694">
        <v>72.239999999999995</v>
      </c>
      <c r="J1694">
        <v>375.64</v>
      </c>
      <c r="K1694" t="s">
        <v>56</v>
      </c>
      <c r="L1694" t="b">
        <v>0</v>
      </c>
    </row>
    <row r="1695" spans="1:13" ht="34" x14ac:dyDescent="0.2">
      <c r="A1695" t="s">
        <v>2100</v>
      </c>
      <c r="B1695" t="s">
        <v>659</v>
      </c>
      <c r="C1695" t="s">
        <v>65</v>
      </c>
      <c r="D1695" s="1">
        <v>45544</v>
      </c>
      <c r="E1695" s="6" t="s">
        <v>16</v>
      </c>
      <c r="F1695" t="s">
        <v>90</v>
      </c>
      <c r="G1695" s="3" t="s">
        <v>91</v>
      </c>
      <c r="H1695">
        <v>5.2</v>
      </c>
      <c r="I1695">
        <v>78.55</v>
      </c>
      <c r="J1695">
        <v>408.48</v>
      </c>
      <c r="K1695" t="s">
        <v>92</v>
      </c>
      <c r="L1695" t="b">
        <v>0</v>
      </c>
    </row>
    <row r="1696" spans="1:13" ht="17" x14ac:dyDescent="0.2">
      <c r="A1696" t="s">
        <v>2101</v>
      </c>
      <c r="B1696" t="s">
        <v>34</v>
      </c>
      <c r="C1696" t="s">
        <v>166</v>
      </c>
      <c r="D1696" s="1">
        <v>45582</v>
      </c>
      <c r="E1696" s="6" t="s">
        <v>60</v>
      </c>
      <c r="F1696" t="s">
        <v>17</v>
      </c>
      <c r="G1696" s="3" t="s">
        <v>18</v>
      </c>
      <c r="H1696">
        <v>6</v>
      </c>
      <c r="I1696">
        <v>46.18</v>
      </c>
      <c r="J1696">
        <v>277.08</v>
      </c>
      <c r="K1696" t="s">
        <v>36</v>
      </c>
      <c r="L1696" t="b">
        <v>0</v>
      </c>
    </row>
    <row r="1697" spans="1:13" ht="34" x14ac:dyDescent="0.2">
      <c r="A1697" t="s">
        <v>2102</v>
      </c>
      <c r="B1697" t="s">
        <v>369</v>
      </c>
      <c r="C1697" t="s">
        <v>353</v>
      </c>
      <c r="D1697" s="1">
        <v>45459</v>
      </c>
      <c r="E1697" s="6" t="s">
        <v>16</v>
      </c>
      <c r="F1697" t="s">
        <v>54</v>
      </c>
      <c r="G1697" s="3" t="s">
        <v>55</v>
      </c>
      <c r="H1697">
        <v>4.3</v>
      </c>
      <c r="I1697">
        <v>75.349999999999994</v>
      </c>
      <c r="J1697">
        <v>324</v>
      </c>
      <c r="K1697" t="s">
        <v>82</v>
      </c>
      <c r="L1697" t="b">
        <v>0</v>
      </c>
    </row>
    <row r="1698" spans="1:13" ht="34" x14ac:dyDescent="0.2">
      <c r="A1698" t="s">
        <v>2103</v>
      </c>
      <c r="B1698" t="s">
        <v>334</v>
      </c>
      <c r="C1698" t="s">
        <v>148</v>
      </c>
      <c r="D1698" s="1">
        <v>45251</v>
      </c>
      <c r="E1698" s="6" t="s">
        <v>23</v>
      </c>
      <c r="F1698" t="s">
        <v>24</v>
      </c>
      <c r="G1698" s="3" t="s">
        <v>25</v>
      </c>
      <c r="H1698">
        <v>2.7</v>
      </c>
      <c r="I1698">
        <v>47.23</v>
      </c>
      <c r="J1698">
        <v>127.52</v>
      </c>
      <c r="K1698" t="s">
        <v>113</v>
      </c>
      <c r="L1698" t="b">
        <v>0</v>
      </c>
    </row>
    <row r="1699" spans="1:13" ht="17" x14ac:dyDescent="0.2">
      <c r="A1699" t="s">
        <v>2104</v>
      </c>
      <c r="B1699" t="s">
        <v>635</v>
      </c>
      <c r="C1699" t="s">
        <v>211</v>
      </c>
      <c r="D1699" s="1">
        <v>44936</v>
      </c>
      <c r="E1699" s="6" t="s">
        <v>78</v>
      </c>
      <c r="F1699" t="s">
        <v>17</v>
      </c>
      <c r="G1699" s="3" t="s">
        <v>18</v>
      </c>
      <c r="H1699">
        <v>2.1</v>
      </c>
      <c r="I1699">
        <v>69.59</v>
      </c>
      <c r="J1699">
        <v>146.13999999999999</v>
      </c>
      <c r="K1699" t="s">
        <v>56</v>
      </c>
      <c r="L1699" t="b">
        <v>0</v>
      </c>
    </row>
    <row r="1700" spans="1:13" ht="34" x14ac:dyDescent="0.2">
      <c r="A1700" t="s">
        <v>2105</v>
      </c>
      <c r="B1700" t="s">
        <v>447</v>
      </c>
      <c r="C1700" t="s">
        <v>71</v>
      </c>
      <c r="D1700" s="1">
        <v>45096</v>
      </c>
      <c r="E1700" s="6" t="s">
        <v>16</v>
      </c>
      <c r="F1700" t="s">
        <v>54</v>
      </c>
      <c r="G1700" s="3" t="s">
        <v>55</v>
      </c>
      <c r="H1700">
        <v>3.1</v>
      </c>
      <c r="I1700">
        <v>73.98</v>
      </c>
      <c r="J1700">
        <v>229.33</v>
      </c>
      <c r="K1700" t="s">
        <v>19</v>
      </c>
      <c r="L1700" t="b">
        <v>0</v>
      </c>
    </row>
    <row r="1701" spans="1:13" ht="34" x14ac:dyDescent="0.2">
      <c r="A1701" t="s">
        <v>2106</v>
      </c>
      <c r="B1701" t="s">
        <v>104</v>
      </c>
      <c r="C1701" t="s">
        <v>274</v>
      </c>
      <c r="D1701" s="1">
        <v>45035</v>
      </c>
      <c r="E1701" s="6" t="s">
        <v>60</v>
      </c>
      <c r="F1701" t="s">
        <v>45</v>
      </c>
      <c r="G1701" s="3" t="s">
        <v>46</v>
      </c>
      <c r="H1701">
        <v>6.9</v>
      </c>
      <c r="I1701">
        <v>38.270000000000003</v>
      </c>
      <c r="J1701">
        <v>264.06</v>
      </c>
      <c r="K1701" t="s">
        <v>105</v>
      </c>
      <c r="L1701" t="b">
        <v>0</v>
      </c>
    </row>
    <row r="1702" spans="1:13" ht="34" x14ac:dyDescent="0.2">
      <c r="A1702" t="s">
        <v>2107</v>
      </c>
      <c r="B1702" t="s">
        <v>488</v>
      </c>
      <c r="C1702" t="s">
        <v>175</v>
      </c>
      <c r="D1702" s="1">
        <v>45585</v>
      </c>
      <c r="E1702" s="6" t="s">
        <v>16</v>
      </c>
      <c r="F1702" t="s">
        <v>54</v>
      </c>
      <c r="G1702" s="3" t="s">
        <v>55</v>
      </c>
      <c r="H1702">
        <v>2.2000000000000002</v>
      </c>
      <c r="I1702">
        <v>54.57</v>
      </c>
      <c r="J1702">
        <v>120.05</v>
      </c>
      <c r="K1702" t="s">
        <v>56</v>
      </c>
      <c r="L1702" t="b">
        <v>0</v>
      </c>
    </row>
    <row r="1703" spans="1:13" ht="17" x14ac:dyDescent="0.2">
      <c r="A1703" t="s">
        <v>2108</v>
      </c>
      <c r="B1703" t="s">
        <v>121</v>
      </c>
      <c r="C1703" t="s">
        <v>178</v>
      </c>
      <c r="D1703" s="1">
        <v>45403</v>
      </c>
      <c r="E1703" s="6" t="s">
        <v>16</v>
      </c>
      <c r="F1703" t="s">
        <v>30</v>
      </c>
      <c r="G1703" s="3" t="s">
        <v>31</v>
      </c>
      <c r="H1703">
        <v>2</v>
      </c>
      <c r="I1703">
        <v>84.06</v>
      </c>
      <c r="J1703">
        <v>168.11</v>
      </c>
      <c r="K1703" t="s">
        <v>92</v>
      </c>
      <c r="L1703" t="b">
        <v>0</v>
      </c>
    </row>
    <row r="1704" spans="1:13" ht="34" x14ac:dyDescent="0.2">
      <c r="A1704" t="s">
        <v>2109</v>
      </c>
      <c r="B1704" t="s">
        <v>701</v>
      </c>
      <c r="C1704" t="s">
        <v>39</v>
      </c>
      <c r="D1704" s="1">
        <v>45339</v>
      </c>
      <c r="E1704" s="6" t="s">
        <v>89</v>
      </c>
      <c r="F1704" t="s">
        <v>61</v>
      </c>
      <c r="G1704" s="3" t="s">
        <v>62</v>
      </c>
      <c r="H1704">
        <v>22.5</v>
      </c>
      <c r="I1704">
        <v>41.64</v>
      </c>
      <c r="J1704">
        <v>936.9</v>
      </c>
      <c r="K1704" t="s">
        <v>26</v>
      </c>
      <c r="L1704" t="b">
        <v>1</v>
      </c>
      <c r="M1704" s="3" t="s">
        <v>79</v>
      </c>
    </row>
    <row r="1705" spans="1:13" ht="34" x14ac:dyDescent="0.2">
      <c r="A1705" t="s">
        <v>2110</v>
      </c>
      <c r="B1705" t="s">
        <v>736</v>
      </c>
      <c r="C1705" t="s">
        <v>59</v>
      </c>
      <c r="D1705" s="1">
        <v>45210</v>
      </c>
      <c r="E1705" s="6" t="s">
        <v>16</v>
      </c>
      <c r="F1705" t="s">
        <v>17</v>
      </c>
      <c r="G1705" s="3" t="s">
        <v>18</v>
      </c>
      <c r="H1705">
        <v>20.5</v>
      </c>
      <c r="I1705">
        <v>36.630000000000003</v>
      </c>
      <c r="J1705">
        <v>750</v>
      </c>
      <c r="K1705" t="s">
        <v>96</v>
      </c>
      <c r="L1705" t="b">
        <v>1</v>
      </c>
      <c r="M1705" s="3" t="s">
        <v>40</v>
      </c>
    </row>
    <row r="1706" spans="1:13" ht="68" x14ac:dyDescent="0.2">
      <c r="A1706" t="s">
        <v>2111</v>
      </c>
      <c r="B1706" t="s">
        <v>121</v>
      </c>
      <c r="C1706" t="s">
        <v>49</v>
      </c>
      <c r="D1706" s="1">
        <v>45136</v>
      </c>
      <c r="E1706" s="6" t="s">
        <v>44</v>
      </c>
      <c r="F1706" t="s">
        <v>50</v>
      </c>
      <c r="G1706" s="3" t="s">
        <v>51</v>
      </c>
      <c r="H1706">
        <v>2.4</v>
      </c>
      <c r="I1706">
        <v>32.69</v>
      </c>
      <c r="J1706">
        <v>78.47</v>
      </c>
      <c r="K1706" t="s">
        <v>92</v>
      </c>
      <c r="L1706" t="b">
        <v>0</v>
      </c>
    </row>
    <row r="1707" spans="1:13" ht="68" x14ac:dyDescent="0.2">
      <c r="A1707" t="s">
        <v>2112</v>
      </c>
      <c r="B1707" t="s">
        <v>709</v>
      </c>
      <c r="C1707" t="s">
        <v>343</v>
      </c>
      <c r="D1707" s="1">
        <v>45186</v>
      </c>
      <c r="E1707" s="6" t="s">
        <v>23</v>
      </c>
      <c r="F1707" t="s">
        <v>50</v>
      </c>
      <c r="G1707" s="3" t="s">
        <v>51</v>
      </c>
      <c r="H1707">
        <v>3.6</v>
      </c>
      <c r="I1707">
        <v>59.19</v>
      </c>
      <c r="J1707">
        <v>213.1</v>
      </c>
      <c r="K1707" t="s">
        <v>56</v>
      </c>
      <c r="L1707" t="b">
        <v>0</v>
      </c>
    </row>
    <row r="1708" spans="1:13" ht="34" x14ac:dyDescent="0.2">
      <c r="A1708" t="s">
        <v>2113</v>
      </c>
      <c r="B1708" t="s">
        <v>476</v>
      </c>
      <c r="C1708" t="s">
        <v>178</v>
      </c>
      <c r="D1708" s="1">
        <v>45467</v>
      </c>
      <c r="E1708" s="6" t="s">
        <v>16</v>
      </c>
      <c r="F1708" t="s">
        <v>45</v>
      </c>
      <c r="G1708" s="3" t="s">
        <v>46</v>
      </c>
      <c r="H1708">
        <v>3.2</v>
      </c>
      <c r="I1708">
        <v>65.680000000000007</v>
      </c>
      <c r="J1708">
        <v>210.17</v>
      </c>
      <c r="K1708" t="s">
        <v>105</v>
      </c>
      <c r="L1708" t="b">
        <v>0</v>
      </c>
    </row>
    <row r="1709" spans="1:13" ht="34" x14ac:dyDescent="0.2">
      <c r="A1709" t="s">
        <v>2114</v>
      </c>
      <c r="B1709" t="s">
        <v>1398</v>
      </c>
      <c r="C1709" t="s">
        <v>293</v>
      </c>
      <c r="D1709" s="1">
        <v>45268</v>
      </c>
      <c r="E1709" s="6" t="s">
        <v>44</v>
      </c>
      <c r="F1709" t="s">
        <v>45</v>
      </c>
      <c r="G1709" s="3" t="s">
        <v>46</v>
      </c>
      <c r="H1709">
        <v>6.1</v>
      </c>
      <c r="I1709">
        <v>77.989999999999995</v>
      </c>
      <c r="J1709">
        <v>475.72</v>
      </c>
      <c r="K1709" t="s">
        <v>26</v>
      </c>
      <c r="L1709" t="b">
        <v>0</v>
      </c>
    </row>
    <row r="1710" spans="1:13" ht="34" x14ac:dyDescent="0.2">
      <c r="A1710" t="s">
        <v>2115</v>
      </c>
      <c r="B1710" t="s">
        <v>386</v>
      </c>
      <c r="C1710" t="s">
        <v>119</v>
      </c>
      <c r="D1710" s="1">
        <v>45215</v>
      </c>
      <c r="E1710" s="6" t="s">
        <v>44</v>
      </c>
      <c r="F1710" t="s">
        <v>61</v>
      </c>
      <c r="G1710" s="3" t="s">
        <v>62</v>
      </c>
      <c r="H1710">
        <v>5.8</v>
      </c>
      <c r="I1710">
        <v>81.58</v>
      </c>
      <c r="J1710">
        <v>473.19</v>
      </c>
      <c r="K1710" t="s">
        <v>26</v>
      </c>
      <c r="L1710" t="b">
        <v>0</v>
      </c>
    </row>
    <row r="1711" spans="1:13" ht="34" x14ac:dyDescent="0.2">
      <c r="A1711" t="s">
        <v>2116</v>
      </c>
      <c r="B1711" t="s">
        <v>586</v>
      </c>
      <c r="C1711" t="s">
        <v>22</v>
      </c>
      <c r="D1711" s="1">
        <v>45029</v>
      </c>
      <c r="E1711" s="6" t="s">
        <v>78</v>
      </c>
      <c r="F1711" t="s">
        <v>54</v>
      </c>
      <c r="G1711" s="3" t="s">
        <v>55</v>
      </c>
      <c r="H1711">
        <v>4.5999999999999996</v>
      </c>
      <c r="I1711">
        <v>84.71</v>
      </c>
      <c r="J1711">
        <v>389.65</v>
      </c>
      <c r="K1711" t="s">
        <v>19</v>
      </c>
      <c r="L1711" t="b">
        <v>0</v>
      </c>
    </row>
    <row r="1712" spans="1:13" ht="34" x14ac:dyDescent="0.2">
      <c r="A1712" t="s">
        <v>2117</v>
      </c>
      <c r="B1712" t="s">
        <v>1179</v>
      </c>
      <c r="C1712" t="s">
        <v>380</v>
      </c>
      <c r="D1712" s="1">
        <v>44986</v>
      </c>
      <c r="E1712" s="6" t="s">
        <v>78</v>
      </c>
      <c r="F1712" t="s">
        <v>90</v>
      </c>
      <c r="G1712" s="3" t="s">
        <v>91</v>
      </c>
      <c r="H1712">
        <v>6.1</v>
      </c>
      <c r="I1712">
        <v>53</v>
      </c>
      <c r="J1712">
        <v>323.27</v>
      </c>
      <c r="K1712" t="s">
        <v>32</v>
      </c>
      <c r="L1712" t="b">
        <v>0</v>
      </c>
    </row>
    <row r="1713" spans="1:13" ht="34" x14ac:dyDescent="0.2">
      <c r="A1713" t="s">
        <v>2118</v>
      </c>
      <c r="B1713" t="s">
        <v>987</v>
      </c>
      <c r="C1713" t="s">
        <v>274</v>
      </c>
      <c r="D1713" s="1">
        <v>45560</v>
      </c>
      <c r="E1713" s="6" t="s">
        <v>78</v>
      </c>
      <c r="F1713" t="s">
        <v>24</v>
      </c>
      <c r="G1713" s="3" t="s">
        <v>25</v>
      </c>
      <c r="H1713">
        <v>7.3</v>
      </c>
      <c r="I1713">
        <v>38.47</v>
      </c>
      <c r="J1713">
        <v>280.85000000000002</v>
      </c>
      <c r="K1713" t="s">
        <v>92</v>
      </c>
      <c r="L1713" t="b">
        <v>0</v>
      </c>
    </row>
    <row r="1714" spans="1:13" ht="34" x14ac:dyDescent="0.2">
      <c r="A1714" t="s">
        <v>2119</v>
      </c>
      <c r="B1714" t="s">
        <v>556</v>
      </c>
      <c r="C1714" t="s">
        <v>119</v>
      </c>
      <c r="D1714" s="1">
        <v>45605</v>
      </c>
      <c r="E1714" s="6" t="s">
        <v>60</v>
      </c>
      <c r="F1714" t="s">
        <v>61</v>
      </c>
      <c r="G1714" s="3" t="s">
        <v>62</v>
      </c>
      <c r="H1714">
        <v>5.2</v>
      </c>
      <c r="I1714">
        <v>43.97</v>
      </c>
      <c r="J1714">
        <v>228.67</v>
      </c>
      <c r="K1714" t="s">
        <v>56</v>
      </c>
      <c r="L1714" t="b">
        <v>0</v>
      </c>
    </row>
    <row r="1715" spans="1:13" ht="17" x14ac:dyDescent="0.2">
      <c r="A1715" t="s">
        <v>2120</v>
      </c>
      <c r="B1715" t="s">
        <v>543</v>
      </c>
      <c r="C1715" t="s">
        <v>119</v>
      </c>
      <c r="D1715" s="1">
        <v>45137</v>
      </c>
      <c r="E1715" s="6" t="s">
        <v>44</v>
      </c>
      <c r="F1715" t="s">
        <v>30</v>
      </c>
      <c r="G1715" s="3" t="s">
        <v>31</v>
      </c>
      <c r="H1715">
        <v>4</v>
      </c>
      <c r="I1715">
        <v>77.81</v>
      </c>
      <c r="J1715">
        <v>311.22000000000003</v>
      </c>
      <c r="K1715" t="s">
        <v>92</v>
      </c>
      <c r="L1715" t="b">
        <v>0</v>
      </c>
    </row>
    <row r="1716" spans="1:13" ht="17" x14ac:dyDescent="0.2">
      <c r="A1716" t="s">
        <v>2121</v>
      </c>
      <c r="B1716" t="s">
        <v>728</v>
      </c>
      <c r="C1716" t="s">
        <v>85</v>
      </c>
      <c r="D1716" s="1">
        <v>45289</v>
      </c>
      <c r="E1716" s="6" t="s">
        <v>44</v>
      </c>
      <c r="F1716" t="s">
        <v>30</v>
      </c>
      <c r="G1716" s="3" t="s">
        <v>31</v>
      </c>
      <c r="H1716">
        <v>7.9</v>
      </c>
      <c r="I1716">
        <v>50.43</v>
      </c>
      <c r="J1716">
        <v>398.39</v>
      </c>
      <c r="K1716" t="s">
        <v>32</v>
      </c>
      <c r="L1716" t="b">
        <v>0</v>
      </c>
    </row>
    <row r="1717" spans="1:13" ht="17" x14ac:dyDescent="0.2">
      <c r="A1717" t="s">
        <v>2122</v>
      </c>
      <c r="B1717" t="s">
        <v>674</v>
      </c>
      <c r="C1717" t="s">
        <v>159</v>
      </c>
      <c r="D1717" s="1">
        <v>45566</v>
      </c>
      <c r="E1717" s="6" t="s">
        <v>44</v>
      </c>
      <c r="F1717" t="s">
        <v>30</v>
      </c>
      <c r="G1717" s="3" t="s">
        <v>31</v>
      </c>
      <c r="H1717">
        <v>3.2</v>
      </c>
      <c r="I1717">
        <v>44.75</v>
      </c>
      <c r="J1717">
        <v>143.21</v>
      </c>
      <c r="K1717" t="s">
        <v>36</v>
      </c>
      <c r="L1717" t="b">
        <v>0</v>
      </c>
    </row>
    <row r="1718" spans="1:13" ht="34" x14ac:dyDescent="0.2">
      <c r="A1718" t="s">
        <v>2123</v>
      </c>
      <c r="B1718" t="s">
        <v>238</v>
      </c>
      <c r="C1718" t="s">
        <v>39</v>
      </c>
      <c r="D1718" s="1">
        <v>44968</v>
      </c>
      <c r="E1718" s="6" t="s">
        <v>44</v>
      </c>
      <c r="F1718" t="s">
        <v>90</v>
      </c>
      <c r="G1718" s="3" t="s">
        <v>91</v>
      </c>
      <c r="H1718">
        <v>2.2000000000000002</v>
      </c>
      <c r="I1718">
        <v>50.92</v>
      </c>
      <c r="J1718">
        <v>112.02</v>
      </c>
      <c r="K1718" t="s">
        <v>105</v>
      </c>
      <c r="L1718" t="b">
        <v>0</v>
      </c>
    </row>
    <row r="1719" spans="1:13" ht="34" x14ac:dyDescent="0.2">
      <c r="A1719" t="s">
        <v>2124</v>
      </c>
      <c r="B1719" t="s">
        <v>610</v>
      </c>
      <c r="C1719" t="s">
        <v>175</v>
      </c>
      <c r="D1719" s="1">
        <v>45139</v>
      </c>
      <c r="E1719" s="6" t="s">
        <v>60</v>
      </c>
      <c r="F1719" t="s">
        <v>54</v>
      </c>
      <c r="G1719" s="3" t="s">
        <v>55</v>
      </c>
      <c r="H1719">
        <v>7</v>
      </c>
      <c r="I1719">
        <v>39.83</v>
      </c>
      <c r="J1719">
        <v>278.8</v>
      </c>
      <c r="K1719" t="s">
        <v>26</v>
      </c>
      <c r="L1719" t="b">
        <v>0</v>
      </c>
    </row>
    <row r="1720" spans="1:13" ht="17" x14ac:dyDescent="0.2">
      <c r="A1720" t="s">
        <v>2125</v>
      </c>
      <c r="B1720" t="s">
        <v>2126</v>
      </c>
      <c r="C1720" t="s">
        <v>191</v>
      </c>
      <c r="D1720" s="1">
        <v>45560</v>
      </c>
      <c r="E1720" s="6" t="s">
        <v>78</v>
      </c>
      <c r="F1720" t="s">
        <v>30</v>
      </c>
      <c r="G1720" s="3" t="s">
        <v>31</v>
      </c>
      <c r="H1720">
        <v>7.8</v>
      </c>
      <c r="I1720">
        <v>74.95</v>
      </c>
      <c r="J1720">
        <v>584.62</v>
      </c>
      <c r="K1720" t="s">
        <v>32</v>
      </c>
      <c r="L1720" t="b">
        <v>0</v>
      </c>
    </row>
    <row r="1721" spans="1:13" ht="34" x14ac:dyDescent="0.2">
      <c r="A1721" t="s">
        <v>2127</v>
      </c>
      <c r="B1721" t="s">
        <v>390</v>
      </c>
      <c r="C1721" t="s">
        <v>85</v>
      </c>
      <c r="D1721" s="1">
        <v>45543</v>
      </c>
      <c r="E1721" s="6" t="s">
        <v>89</v>
      </c>
      <c r="F1721" t="s">
        <v>30</v>
      </c>
      <c r="G1721" s="3" t="s">
        <v>31</v>
      </c>
      <c r="H1721">
        <v>21</v>
      </c>
      <c r="I1721">
        <v>71.540000000000006</v>
      </c>
      <c r="J1721">
        <v>1500</v>
      </c>
      <c r="K1721" t="s">
        <v>96</v>
      </c>
      <c r="L1721" t="b">
        <v>1</v>
      </c>
      <c r="M1721" s="3" t="s">
        <v>40</v>
      </c>
    </row>
    <row r="1722" spans="1:13" ht="17" x14ac:dyDescent="0.2">
      <c r="A1722" t="s">
        <v>2128</v>
      </c>
      <c r="B1722" t="s">
        <v>783</v>
      </c>
      <c r="C1722" t="s">
        <v>59</v>
      </c>
      <c r="D1722" s="1">
        <v>45368</v>
      </c>
      <c r="E1722" s="6" t="s">
        <v>89</v>
      </c>
      <c r="F1722" t="s">
        <v>17</v>
      </c>
      <c r="G1722" s="3" t="s">
        <v>18</v>
      </c>
      <c r="H1722">
        <v>6.6</v>
      </c>
      <c r="I1722">
        <v>62.52</v>
      </c>
      <c r="J1722">
        <v>412.64</v>
      </c>
      <c r="K1722" t="s">
        <v>19</v>
      </c>
      <c r="L1722" t="b">
        <v>0</v>
      </c>
    </row>
    <row r="1723" spans="1:13" ht="34" x14ac:dyDescent="0.2">
      <c r="A1723" t="s">
        <v>2129</v>
      </c>
      <c r="B1723" t="s">
        <v>484</v>
      </c>
      <c r="C1723" t="s">
        <v>148</v>
      </c>
      <c r="D1723" s="1">
        <v>44986</v>
      </c>
      <c r="E1723" s="6" t="s">
        <v>44</v>
      </c>
      <c r="F1723" t="s">
        <v>90</v>
      </c>
      <c r="G1723" s="3" t="s">
        <v>91</v>
      </c>
      <c r="H1723">
        <v>2.5</v>
      </c>
      <c r="I1723">
        <v>28.64</v>
      </c>
      <c r="J1723">
        <v>71.599999999999994</v>
      </c>
      <c r="K1723" t="s">
        <v>26</v>
      </c>
      <c r="L1723" t="b">
        <v>0</v>
      </c>
    </row>
    <row r="1724" spans="1:13" ht="34" x14ac:dyDescent="0.2">
      <c r="A1724" t="s">
        <v>2130</v>
      </c>
      <c r="B1724" t="s">
        <v>73</v>
      </c>
      <c r="C1724" t="s">
        <v>85</v>
      </c>
      <c r="D1724" s="1">
        <v>45139</v>
      </c>
      <c r="E1724" s="6" t="s">
        <v>44</v>
      </c>
      <c r="F1724" t="s">
        <v>61</v>
      </c>
      <c r="G1724" s="3" t="s">
        <v>62</v>
      </c>
      <c r="H1724">
        <v>3.9</v>
      </c>
      <c r="I1724">
        <v>75.86</v>
      </c>
      <c r="J1724">
        <v>295.86</v>
      </c>
      <c r="K1724" t="s">
        <v>19</v>
      </c>
      <c r="L1724" t="b">
        <v>0</v>
      </c>
    </row>
    <row r="1725" spans="1:13" ht="68" x14ac:dyDescent="0.2">
      <c r="A1725" t="s">
        <v>2131</v>
      </c>
      <c r="B1725" t="s">
        <v>975</v>
      </c>
      <c r="C1725" t="s">
        <v>166</v>
      </c>
      <c r="D1725" s="1">
        <v>45451</v>
      </c>
      <c r="E1725" s="6" t="s">
        <v>44</v>
      </c>
      <c r="F1725" t="s">
        <v>50</v>
      </c>
      <c r="G1725" s="3" t="s">
        <v>51</v>
      </c>
      <c r="H1725">
        <v>2.4</v>
      </c>
      <c r="I1725">
        <v>73.14</v>
      </c>
      <c r="J1725">
        <v>175.54</v>
      </c>
      <c r="K1725" t="s">
        <v>19</v>
      </c>
      <c r="L1725" t="b">
        <v>0</v>
      </c>
    </row>
    <row r="1726" spans="1:13" ht="34" x14ac:dyDescent="0.2">
      <c r="A1726" t="s">
        <v>2132</v>
      </c>
      <c r="B1726" t="s">
        <v>334</v>
      </c>
      <c r="C1726" t="s">
        <v>71</v>
      </c>
      <c r="D1726" s="1">
        <v>45283</v>
      </c>
      <c r="E1726" s="6" t="s">
        <v>44</v>
      </c>
      <c r="F1726" t="s">
        <v>45</v>
      </c>
      <c r="G1726" s="3" t="s">
        <v>46</v>
      </c>
      <c r="H1726">
        <v>5.7</v>
      </c>
      <c r="I1726">
        <v>50.91</v>
      </c>
      <c r="J1726">
        <v>290.19</v>
      </c>
      <c r="K1726" t="s">
        <v>113</v>
      </c>
      <c r="L1726" t="b">
        <v>0</v>
      </c>
    </row>
    <row r="1727" spans="1:13" ht="34" x14ac:dyDescent="0.2">
      <c r="A1727" t="s">
        <v>2133</v>
      </c>
      <c r="B1727" t="s">
        <v>897</v>
      </c>
      <c r="C1727" t="s">
        <v>116</v>
      </c>
      <c r="D1727" s="1">
        <v>45394</v>
      </c>
      <c r="E1727" s="6" t="s">
        <v>60</v>
      </c>
      <c r="F1727" t="s">
        <v>24</v>
      </c>
      <c r="G1727" s="3" t="s">
        <v>25</v>
      </c>
      <c r="H1727">
        <v>5.4</v>
      </c>
      <c r="I1727">
        <v>42.7</v>
      </c>
      <c r="J1727">
        <v>230.55</v>
      </c>
      <c r="K1727" t="s">
        <v>36</v>
      </c>
      <c r="L1727" t="b">
        <v>0</v>
      </c>
    </row>
    <row r="1728" spans="1:13" ht="34" x14ac:dyDescent="0.2">
      <c r="A1728" t="s">
        <v>2134</v>
      </c>
      <c r="B1728" t="s">
        <v>137</v>
      </c>
      <c r="C1728" t="s">
        <v>88</v>
      </c>
      <c r="D1728" s="1">
        <v>45320</v>
      </c>
      <c r="E1728" s="6" t="s">
        <v>23</v>
      </c>
      <c r="F1728" t="s">
        <v>61</v>
      </c>
      <c r="G1728" s="3" t="s">
        <v>62</v>
      </c>
      <c r="H1728">
        <v>2.6</v>
      </c>
      <c r="I1728">
        <v>70.12</v>
      </c>
      <c r="J1728">
        <v>182.31</v>
      </c>
      <c r="K1728" t="s">
        <v>105</v>
      </c>
      <c r="L1728" t="b">
        <v>0</v>
      </c>
    </row>
    <row r="1729" spans="1:13" ht="34" x14ac:dyDescent="0.2">
      <c r="A1729" t="s">
        <v>2135</v>
      </c>
      <c r="B1729" t="s">
        <v>1638</v>
      </c>
      <c r="C1729" t="s">
        <v>274</v>
      </c>
      <c r="D1729" s="1">
        <v>45228</v>
      </c>
      <c r="E1729" s="6" t="s">
        <v>60</v>
      </c>
      <c r="F1729" t="s">
        <v>24</v>
      </c>
      <c r="G1729" s="3" t="s">
        <v>25</v>
      </c>
      <c r="H1729">
        <v>4.7</v>
      </c>
      <c r="I1729">
        <v>52.85</v>
      </c>
      <c r="J1729">
        <v>248.41</v>
      </c>
      <c r="K1729" t="s">
        <v>113</v>
      </c>
      <c r="L1729" t="b">
        <v>0</v>
      </c>
    </row>
    <row r="1730" spans="1:13" ht="34" x14ac:dyDescent="0.2">
      <c r="A1730" t="s">
        <v>2136</v>
      </c>
      <c r="B1730" t="s">
        <v>241</v>
      </c>
      <c r="C1730" t="s">
        <v>274</v>
      </c>
      <c r="D1730" s="1">
        <v>45263</v>
      </c>
      <c r="E1730" s="6" t="s">
        <v>44</v>
      </c>
      <c r="F1730" t="s">
        <v>90</v>
      </c>
      <c r="G1730" s="3" t="s">
        <v>91</v>
      </c>
      <c r="H1730">
        <v>4</v>
      </c>
      <c r="I1730">
        <v>81.260000000000005</v>
      </c>
      <c r="J1730">
        <v>325.02</v>
      </c>
      <c r="K1730" t="s">
        <v>105</v>
      </c>
      <c r="L1730" t="b">
        <v>0</v>
      </c>
    </row>
    <row r="1731" spans="1:13" ht="17" x14ac:dyDescent="0.2">
      <c r="A1731" t="s">
        <v>2137</v>
      </c>
      <c r="B1731" t="s">
        <v>792</v>
      </c>
      <c r="C1731" t="s">
        <v>323</v>
      </c>
      <c r="D1731" s="1">
        <v>44973</v>
      </c>
      <c r="E1731" s="6" t="s">
        <v>44</v>
      </c>
      <c r="F1731" t="s">
        <v>17</v>
      </c>
      <c r="G1731" s="3" t="s">
        <v>18</v>
      </c>
      <c r="H1731">
        <v>5.0999999999999996</v>
      </c>
      <c r="I1731">
        <v>60.27</v>
      </c>
      <c r="J1731">
        <v>307.37</v>
      </c>
      <c r="K1731" t="s">
        <v>82</v>
      </c>
      <c r="L1731" t="b">
        <v>0</v>
      </c>
    </row>
    <row r="1732" spans="1:13" ht="34" x14ac:dyDescent="0.2">
      <c r="A1732" t="s">
        <v>2138</v>
      </c>
      <c r="B1732" t="s">
        <v>456</v>
      </c>
      <c r="C1732" t="s">
        <v>391</v>
      </c>
      <c r="D1732" s="1">
        <v>45564</v>
      </c>
      <c r="E1732" s="6" t="s">
        <v>89</v>
      </c>
      <c r="F1732" t="s">
        <v>90</v>
      </c>
      <c r="G1732" s="3" t="s">
        <v>91</v>
      </c>
      <c r="H1732">
        <v>2.1</v>
      </c>
      <c r="I1732">
        <v>67.8</v>
      </c>
      <c r="J1732">
        <v>142.38</v>
      </c>
      <c r="K1732" t="s">
        <v>92</v>
      </c>
      <c r="L1732" t="b">
        <v>0</v>
      </c>
    </row>
    <row r="1733" spans="1:13" ht="17" x14ac:dyDescent="0.2">
      <c r="A1733" t="s">
        <v>2139</v>
      </c>
      <c r="B1733" t="s">
        <v>1024</v>
      </c>
      <c r="C1733" t="s">
        <v>161</v>
      </c>
      <c r="D1733" s="1">
        <v>45301</v>
      </c>
      <c r="E1733" s="6" t="s">
        <v>89</v>
      </c>
      <c r="F1733" t="s">
        <v>30</v>
      </c>
      <c r="G1733" s="3" t="s">
        <v>31</v>
      </c>
      <c r="H1733">
        <v>22</v>
      </c>
      <c r="I1733">
        <v>32.56</v>
      </c>
      <c r="J1733">
        <v>716.32</v>
      </c>
      <c r="K1733" t="s">
        <v>113</v>
      </c>
      <c r="L1733" t="b">
        <v>1</v>
      </c>
      <c r="M1733" s="3" t="s">
        <v>79</v>
      </c>
    </row>
    <row r="1734" spans="1:13" ht="34" x14ac:dyDescent="0.2">
      <c r="A1734" t="s">
        <v>2140</v>
      </c>
      <c r="B1734" t="s">
        <v>298</v>
      </c>
      <c r="C1734" t="s">
        <v>156</v>
      </c>
      <c r="D1734" s="1">
        <v>45315</v>
      </c>
      <c r="E1734" s="6" t="s">
        <v>89</v>
      </c>
      <c r="F1734" t="s">
        <v>45</v>
      </c>
      <c r="G1734" s="3" t="s">
        <v>46</v>
      </c>
      <c r="H1734">
        <v>4.0999999999999996</v>
      </c>
      <c r="I1734">
        <v>53.88</v>
      </c>
      <c r="J1734">
        <v>220.92</v>
      </c>
      <c r="K1734" t="s">
        <v>92</v>
      </c>
      <c r="L1734" t="b">
        <v>0</v>
      </c>
    </row>
    <row r="1735" spans="1:13" ht="17" x14ac:dyDescent="0.2">
      <c r="A1735" t="s">
        <v>2141</v>
      </c>
      <c r="B1735" t="s">
        <v>261</v>
      </c>
      <c r="C1735" t="s">
        <v>130</v>
      </c>
      <c r="D1735" s="1">
        <v>45572</v>
      </c>
      <c r="E1735" s="6" t="s">
        <v>44</v>
      </c>
      <c r="F1735" t="s">
        <v>17</v>
      </c>
      <c r="G1735" s="3" t="s">
        <v>18</v>
      </c>
      <c r="H1735">
        <v>3.1</v>
      </c>
      <c r="I1735">
        <v>33.26</v>
      </c>
      <c r="J1735">
        <v>103.11</v>
      </c>
      <c r="K1735" t="s">
        <v>96</v>
      </c>
      <c r="L1735" t="b">
        <v>0</v>
      </c>
    </row>
    <row r="1736" spans="1:13" ht="34" x14ac:dyDescent="0.2">
      <c r="A1736" t="s">
        <v>2142</v>
      </c>
      <c r="B1736" t="s">
        <v>941</v>
      </c>
      <c r="C1736" t="s">
        <v>68</v>
      </c>
      <c r="D1736" s="1">
        <v>45287</v>
      </c>
      <c r="E1736" s="6" t="s">
        <v>89</v>
      </c>
      <c r="F1736" t="s">
        <v>24</v>
      </c>
      <c r="G1736" s="3" t="s">
        <v>25</v>
      </c>
      <c r="H1736">
        <v>2.8</v>
      </c>
      <c r="I1736">
        <v>60.07</v>
      </c>
      <c r="J1736">
        <v>168.2</v>
      </c>
      <c r="K1736" t="s">
        <v>56</v>
      </c>
      <c r="L1736" t="b">
        <v>0</v>
      </c>
    </row>
    <row r="1737" spans="1:13" ht="34" x14ac:dyDescent="0.2">
      <c r="A1737" t="s">
        <v>2143</v>
      </c>
      <c r="B1737" t="s">
        <v>182</v>
      </c>
      <c r="C1737" t="s">
        <v>365</v>
      </c>
      <c r="D1737" s="1">
        <v>45335</v>
      </c>
      <c r="E1737" s="6" t="s">
        <v>23</v>
      </c>
      <c r="F1737" t="s">
        <v>54</v>
      </c>
      <c r="G1737" s="3" t="s">
        <v>55</v>
      </c>
      <c r="H1737">
        <v>3.9</v>
      </c>
      <c r="I1737">
        <v>78.11</v>
      </c>
      <c r="J1737">
        <v>304.64</v>
      </c>
      <c r="K1737" t="s">
        <v>92</v>
      </c>
      <c r="L1737" t="b">
        <v>0</v>
      </c>
    </row>
    <row r="1738" spans="1:13" ht="68" x14ac:dyDescent="0.2">
      <c r="A1738" t="s">
        <v>2144</v>
      </c>
      <c r="B1738" t="s">
        <v>672</v>
      </c>
      <c r="C1738" t="s">
        <v>175</v>
      </c>
      <c r="D1738" s="1">
        <v>45290</v>
      </c>
      <c r="E1738" s="6" t="s">
        <v>78</v>
      </c>
      <c r="F1738" t="s">
        <v>50</v>
      </c>
      <c r="G1738" s="3" t="s">
        <v>51</v>
      </c>
      <c r="H1738">
        <v>4.8</v>
      </c>
      <c r="I1738">
        <v>61.2</v>
      </c>
      <c r="J1738">
        <v>293.76</v>
      </c>
      <c r="K1738" t="s">
        <v>92</v>
      </c>
      <c r="L1738" t="b">
        <v>0</v>
      </c>
    </row>
    <row r="1739" spans="1:13" ht="34" x14ac:dyDescent="0.2">
      <c r="A1739" t="s">
        <v>2145</v>
      </c>
      <c r="B1739" t="s">
        <v>250</v>
      </c>
      <c r="C1739" t="s">
        <v>172</v>
      </c>
      <c r="D1739" s="1">
        <v>45040</v>
      </c>
      <c r="E1739" s="6" t="s">
        <v>16</v>
      </c>
      <c r="F1739" t="s">
        <v>54</v>
      </c>
      <c r="G1739" s="3" t="s">
        <v>55</v>
      </c>
      <c r="H1739">
        <v>35.700000000000003</v>
      </c>
      <c r="I1739">
        <v>56.06</v>
      </c>
      <c r="J1739">
        <v>2000</v>
      </c>
      <c r="K1739" t="s">
        <v>96</v>
      </c>
      <c r="L1739" t="b">
        <v>1</v>
      </c>
      <c r="M1739" s="3" t="s">
        <v>40</v>
      </c>
    </row>
    <row r="1740" spans="1:13" ht="68" x14ac:dyDescent="0.2">
      <c r="A1740" t="s">
        <v>2146</v>
      </c>
      <c r="B1740" t="s">
        <v>182</v>
      </c>
      <c r="C1740" t="s">
        <v>194</v>
      </c>
      <c r="D1740" s="1">
        <v>45347</v>
      </c>
      <c r="E1740" s="6" t="s">
        <v>89</v>
      </c>
      <c r="F1740" t="s">
        <v>50</v>
      </c>
      <c r="G1740" s="3" t="s">
        <v>51</v>
      </c>
      <c r="H1740">
        <v>2.2999999999999998</v>
      </c>
      <c r="I1740">
        <v>55.43</v>
      </c>
      <c r="J1740">
        <v>127.48</v>
      </c>
      <c r="K1740" t="s">
        <v>92</v>
      </c>
      <c r="L1740" t="b">
        <v>0</v>
      </c>
    </row>
    <row r="1741" spans="1:13" ht="34" x14ac:dyDescent="0.2">
      <c r="A1741" t="s">
        <v>2147</v>
      </c>
      <c r="B1741" t="s">
        <v>356</v>
      </c>
      <c r="C1741" t="s">
        <v>116</v>
      </c>
      <c r="D1741" s="1">
        <v>45519</v>
      </c>
      <c r="E1741" s="6" t="s">
        <v>23</v>
      </c>
      <c r="F1741" t="s">
        <v>24</v>
      </c>
      <c r="G1741" s="3" t="s">
        <v>25</v>
      </c>
      <c r="H1741">
        <v>4.5</v>
      </c>
      <c r="I1741">
        <v>36.72</v>
      </c>
      <c r="J1741">
        <v>165.26</v>
      </c>
      <c r="K1741" t="s">
        <v>82</v>
      </c>
      <c r="L1741" t="b">
        <v>0</v>
      </c>
    </row>
    <row r="1742" spans="1:13" ht="34" x14ac:dyDescent="0.2">
      <c r="A1742" t="s">
        <v>2148</v>
      </c>
      <c r="B1742" t="s">
        <v>586</v>
      </c>
      <c r="C1742" t="s">
        <v>29</v>
      </c>
      <c r="D1742" s="1">
        <v>48420</v>
      </c>
      <c r="E1742" s="6" t="s">
        <v>16</v>
      </c>
      <c r="F1742" t="s">
        <v>30</v>
      </c>
      <c r="G1742" s="3" t="s">
        <v>31</v>
      </c>
      <c r="H1742">
        <v>6.7</v>
      </c>
      <c r="I1742">
        <v>45.49</v>
      </c>
      <c r="J1742">
        <v>304.8</v>
      </c>
      <c r="K1742" t="s">
        <v>105</v>
      </c>
      <c r="L1742" t="b">
        <v>1</v>
      </c>
      <c r="M1742" s="3" t="s">
        <v>99</v>
      </c>
    </row>
    <row r="1743" spans="1:13" ht="17" x14ac:dyDescent="0.2">
      <c r="A1743" t="s">
        <v>2149</v>
      </c>
      <c r="B1743" t="s">
        <v>802</v>
      </c>
      <c r="C1743" t="s">
        <v>59</v>
      </c>
      <c r="D1743" s="1">
        <v>45650</v>
      </c>
      <c r="E1743" s="6" t="s">
        <v>89</v>
      </c>
      <c r="F1743" t="s">
        <v>17</v>
      </c>
      <c r="G1743" s="3" t="s">
        <v>18</v>
      </c>
      <c r="H1743">
        <v>6.2</v>
      </c>
      <c r="I1743">
        <v>83.92</v>
      </c>
      <c r="J1743">
        <v>520.28</v>
      </c>
      <c r="K1743" t="s">
        <v>26</v>
      </c>
      <c r="L1743" t="b">
        <v>0</v>
      </c>
    </row>
    <row r="1744" spans="1:13" ht="34" x14ac:dyDescent="0.2">
      <c r="A1744" t="s">
        <v>2150</v>
      </c>
      <c r="B1744" t="s">
        <v>1146</v>
      </c>
      <c r="C1744" t="s">
        <v>332</v>
      </c>
      <c r="D1744" s="1">
        <v>45093</v>
      </c>
      <c r="E1744" s="6" t="s">
        <v>78</v>
      </c>
      <c r="F1744" t="s">
        <v>54</v>
      </c>
      <c r="G1744" s="3" t="s">
        <v>55</v>
      </c>
      <c r="H1744">
        <v>25.4</v>
      </c>
      <c r="I1744">
        <v>58.97</v>
      </c>
      <c r="J1744">
        <v>1500</v>
      </c>
      <c r="K1744" t="s">
        <v>19</v>
      </c>
      <c r="L1744" t="b">
        <v>1</v>
      </c>
      <c r="M1744" s="3" t="s">
        <v>40</v>
      </c>
    </row>
    <row r="1745" spans="1:13" ht="34" x14ac:dyDescent="0.2">
      <c r="A1745" t="s">
        <v>2151</v>
      </c>
      <c r="B1745" t="s">
        <v>664</v>
      </c>
      <c r="C1745" t="s">
        <v>323</v>
      </c>
      <c r="D1745" s="1">
        <v>45495</v>
      </c>
      <c r="E1745" s="6" t="s">
        <v>60</v>
      </c>
      <c r="F1745" t="s">
        <v>45</v>
      </c>
      <c r="G1745" s="3" t="s">
        <v>46</v>
      </c>
      <c r="H1745">
        <v>4.5</v>
      </c>
      <c r="I1745">
        <v>34.74</v>
      </c>
      <c r="J1745">
        <v>156.32</v>
      </c>
      <c r="K1745" t="s">
        <v>19</v>
      </c>
      <c r="L1745" t="b">
        <v>0</v>
      </c>
    </row>
    <row r="1746" spans="1:13" ht="34" x14ac:dyDescent="0.2">
      <c r="A1746" t="s">
        <v>2152</v>
      </c>
      <c r="B1746" t="s">
        <v>646</v>
      </c>
      <c r="C1746" t="s">
        <v>39</v>
      </c>
      <c r="D1746" s="1">
        <v>44962</v>
      </c>
      <c r="E1746" s="6" t="s">
        <v>16</v>
      </c>
      <c r="F1746" t="s">
        <v>24</v>
      </c>
      <c r="G1746" s="3" t="s">
        <v>25</v>
      </c>
      <c r="H1746">
        <v>5</v>
      </c>
      <c r="I1746">
        <v>80.2</v>
      </c>
      <c r="J1746">
        <v>400.99</v>
      </c>
      <c r="K1746" t="s">
        <v>82</v>
      </c>
      <c r="L1746" t="b">
        <v>0</v>
      </c>
    </row>
    <row r="1747" spans="1:13" ht="17" x14ac:dyDescent="0.2">
      <c r="A1747" t="s">
        <v>2153</v>
      </c>
      <c r="B1747" t="s">
        <v>288</v>
      </c>
      <c r="C1747" t="s">
        <v>175</v>
      </c>
      <c r="D1747" s="1">
        <v>45471</v>
      </c>
      <c r="E1747" s="6" t="s">
        <v>23</v>
      </c>
      <c r="F1747" t="s">
        <v>30</v>
      </c>
      <c r="G1747" s="3" t="s">
        <v>31</v>
      </c>
      <c r="H1747">
        <v>6.2</v>
      </c>
      <c r="I1747">
        <v>52.99</v>
      </c>
      <c r="J1747">
        <v>328.55</v>
      </c>
      <c r="K1747" t="s">
        <v>32</v>
      </c>
      <c r="L1747" t="b">
        <v>0</v>
      </c>
    </row>
    <row r="1748" spans="1:13" ht="17" x14ac:dyDescent="0.2">
      <c r="A1748" t="s">
        <v>2154</v>
      </c>
      <c r="B1748" t="s">
        <v>1008</v>
      </c>
      <c r="C1748" t="s">
        <v>175</v>
      </c>
      <c r="D1748" s="1">
        <v>45507</v>
      </c>
      <c r="E1748" s="6" t="s">
        <v>78</v>
      </c>
      <c r="F1748" t="s">
        <v>30</v>
      </c>
      <c r="G1748" s="3" t="s">
        <v>31</v>
      </c>
      <c r="H1748">
        <v>4.9000000000000004</v>
      </c>
      <c r="I1748">
        <v>71.099999999999994</v>
      </c>
      <c r="J1748">
        <v>348.39</v>
      </c>
      <c r="K1748" t="s">
        <v>82</v>
      </c>
      <c r="L1748" t="b">
        <v>0</v>
      </c>
    </row>
    <row r="1749" spans="1:13" ht="34" x14ac:dyDescent="0.2">
      <c r="A1749" t="s">
        <v>2155</v>
      </c>
      <c r="B1749" t="s">
        <v>642</v>
      </c>
      <c r="C1749" t="s">
        <v>450</v>
      </c>
      <c r="D1749" s="1">
        <v>45433</v>
      </c>
      <c r="E1749" s="6" t="s">
        <v>44</v>
      </c>
      <c r="F1749" t="s">
        <v>61</v>
      </c>
      <c r="G1749" s="3" t="s">
        <v>62</v>
      </c>
      <c r="H1749">
        <v>3.2</v>
      </c>
      <c r="I1749">
        <v>36.049999999999997</v>
      </c>
      <c r="J1749">
        <v>115.37</v>
      </c>
      <c r="K1749" t="s">
        <v>96</v>
      </c>
      <c r="L1749" t="b">
        <v>0</v>
      </c>
    </row>
    <row r="1750" spans="1:13" ht="34" x14ac:dyDescent="0.2">
      <c r="A1750" t="s">
        <v>2156</v>
      </c>
      <c r="B1750" t="s">
        <v>493</v>
      </c>
      <c r="C1750" t="s">
        <v>350</v>
      </c>
      <c r="D1750" s="1">
        <v>45209</v>
      </c>
      <c r="E1750" s="6" t="s">
        <v>89</v>
      </c>
      <c r="F1750" t="s">
        <v>54</v>
      </c>
      <c r="G1750" s="3" t="s">
        <v>55</v>
      </c>
      <c r="H1750">
        <v>2.1</v>
      </c>
      <c r="I1750">
        <v>46.47</v>
      </c>
      <c r="J1750">
        <v>97.59</v>
      </c>
      <c r="K1750" t="s">
        <v>19</v>
      </c>
      <c r="L1750" t="b">
        <v>0</v>
      </c>
    </row>
    <row r="1751" spans="1:13" ht="34" x14ac:dyDescent="0.2">
      <c r="A1751" t="s">
        <v>2157</v>
      </c>
      <c r="B1751" t="s">
        <v>1179</v>
      </c>
      <c r="C1751" t="s">
        <v>178</v>
      </c>
      <c r="D1751" s="1">
        <v>45519</v>
      </c>
      <c r="E1751" s="6" t="s">
        <v>16</v>
      </c>
      <c r="F1751" t="s">
        <v>90</v>
      </c>
      <c r="G1751" s="3" t="s">
        <v>91</v>
      </c>
      <c r="H1751">
        <v>2.9</v>
      </c>
      <c r="I1751">
        <v>51.42</v>
      </c>
      <c r="J1751">
        <v>149.13</v>
      </c>
      <c r="K1751" t="s">
        <v>32</v>
      </c>
      <c r="L1751" t="b">
        <v>0</v>
      </c>
    </row>
    <row r="1752" spans="1:13" ht="34" x14ac:dyDescent="0.2">
      <c r="A1752" t="s">
        <v>2158</v>
      </c>
      <c r="B1752" t="s">
        <v>669</v>
      </c>
      <c r="C1752" t="s">
        <v>88</v>
      </c>
      <c r="D1752" s="1">
        <v>45284</v>
      </c>
      <c r="E1752" s="6" t="s">
        <v>23</v>
      </c>
      <c r="F1752" t="s">
        <v>54</v>
      </c>
      <c r="G1752" s="3" t="s">
        <v>55</v>
      </c>
      <c r="H1752">
        <v>2.2999999999999998</v>
      </c>
      <c r="I1752">
        <v>26.78</v>
      </c>
      <c r="J1752">
        <v>61.6</v>
      </c>
      <c r="K1752" t="s">
        <v>36</v>
      </c>
      <c r="L1752" t="b">
        <v>0</v>
      </c>
    </row>
    <row r="1753" spans="1:13" ht="34" x14ac:dyDescent="0.2">
      <c r="A1753" t="s">
        <v>2159</v>
      </c>
      <c r="B1753" t="s">
        <v>300</v>
      </c>
      <c r="C1753" t="s">
        <v>119</v>
      </c>
      <c r="D1753" s="1">
        <v>45325</v>
      </c>
      <c r="E1753" s="6" t="s">
        <v>16</v>
      </c>
      <c r="F1753" t="s">
        <v>45</v>
      </c>
      <c r="G1753" s="3" t="s">
        <v>46</v>
      </c>
      <c r="H1753">
        <v>3</v>
      </c>
      <c r="I1753">
        <v>78.12</v>
      </c>
      <c r="J1753">
        <v>234.37</v>
      </c>
      <c r="K1753" t="s">
        <v>32</v>
      </c>
      <c r="L1753" t="b">
        <v>0</v>
      </c>
    </row>
    <row r="1754" spans="1:13" ht="68" x14ac:dyDescent="0.2">
      <c r="A1754" t="s">
        <v>2160</v>
      </c>
      <c r="B1754" t="s">
        <v>517</v>
      </c>
      <c r="C1754" t="s">
        <v>116</v>
      </c>
      <c r="D1754" s="1">
        <v>45621</v>
      </c>
      <c r="E1754" s="6" t="s">
        <v>23</v>
      </c>
      <c r="F1754" t="s">
        <v>50</v>
      </c>
      <c r="G1754" s="3" t="s">
        <v>51</v>
      </c>
      <c r="H1754">
        <v>4</v>
      </c>
      <c r="I1754">
        <v>58.27</v>
      </c>
      <c r="J1754">
        <v>233.08</v>
      </c>
      <c r="K1754" t="s">
        <v>82</v>
      </c>
      <c r="L1754" t="b">
        <v>0</v>
      </c>
    </row>
    <row r="1755" spans="1:13" ht="17" x14ac:dyDescent="0.2">
      <c r="A1755" t="s">
        <v>2161</v>
      </c>
      <c r="B1755" t="s">
        <v>42</v>
      </c>
      <c r="C1755" t="s">
        <v>370</v>
      </c>
      <c r="D1755" s="1">
        <v>45176</v>
      </c>
      <c r="E1755" s="6" t="s">
        <v>44</v>
      </c>
      <c r="F1755" t="s">
        <v>30</v>
      </c>
      <c r="G1755" s="3" t="s">
        <v>31</v>
      </c>
      <c r="H1755">
        <v>2.1</v>
      </c>
      <c r="I1755">
        <v>75.569999999999993</v>
      </c>
      <c r="J1755">
        <v>158.69999999999999</v>
      </c>
      <c r="K1755" t="s">
        <v>19</v>
      </c>
      <c r="L1755" t="b">
        <v>0</v>
      </c>
    </row>
    <row r="1756" spans="1:13" ht="34" x14ac:dyDescent="0.2">
      <c r="A1756" t="s">
        <v>2162</v>
      </c>
      <c r="B1756" t="s">
        <v>939</v>
      </c>
      <c r="C1756" t="s">
        <v>186</v>
      </c>
      <c r="D1756" s="1">
        <v>45202</v>
      </c>
      <c r="E1756" s="6" t="s">
        <v>16</v>
      </c>
      <c r="F1756" t="s">
        <v>24</v>
      </c>
      <c r="G1756" s="3" t="s">
        <v>25</v>
      </c>
      <c r="H1756">
        <v>7</v>
      </c>
      <c r="I1756">
        <v>33.229999999999997</v>
      </c>
      <c r="J1756">
        <v>232.64</v>
      </c>
      <c r="K1756" t="s">
        <v>96</v>
      </c>
      <c r="L1756" t="b">
        <v>0</v>
      </c>
    </row>
    <row r="1757" spans="1:13" ht="34" x14ac:dyDescent="0.2">
      <c r="A1757" t="s">
        <v>2163</v>
      </c>
      <c r="B1757" t="s">
        <v>709</v>
      </c>
      <c r="C1757" t="s">
        <v>95</v>
      </c>
      <c r="D1757" s="1">
        <v>45155</v>
      </c>
      <c r="E1757" s="6" t="s">
        <v>60</v>
      </c>
      <c r="F1757" t="s">
        <v>90</v>
      </c>
      <c r="G1757" s="3" t="s">
        <v>91</v>
      </c>
      <c r="H1757">
        <v>4</v>
      </c>
      <c r="I1757">
        <v>37.61</v>
      </c>
      <c r="J1757">
        <v>150.46</v>
      </c>
      <c r="K1757" t="s">
        <v>56</v>
      </c>
      <c r="L1757" t="b">
        <v>0</v>
      </c>
    </row>
    <row r="1758" spans="1:13" ht="34" x14ac:dyDescent="0.2">
      <c r="A1758" t="s">
        <v>2164</v>
      </c>
      <c r="B1758" t="s">
        <v>1210</v>
      </c>
      <c r="C1758" t="s">
        <v>122</v>
      </c>
      <c r="D1758" s="1">
        <v>45589</v>
      </c>
      <c r="E1758" s="6" t="s">
        <v>23</v>
      </c>
      <c r="F1758" t="s">
        <v>30</v>
      </c>
      <c r="G1758" s="3" t="s">
        <v>31</v>
      </c>
      <c r="H1758">
        <v>21.1</v>
      </c>
      <c r="I1758">
        <v>47.34</v>
      </c>
      <c r="J1758">
        <v>1000</v>
      </c>
      <c r="K1758" t="s">
        <v>19</v>
      </c>
      <c r="L1758" t="b">
        <v>1</v>
      </c>
      <c r="M1758" s="3" t="s">
        <v>40</v>
      </c>
    </row>
    <row r="1759" spans="1:13" ht="34" x14ac:dyDescent="0.2">
      <c r="A1759" t="s">
        <v>2165</v>
      </c>
      <c r="B1759" t="s">
        <v>437</v>
      </c>
      <c r="C1759" t="s">
        <v>130</v>
      </c>
      <c r="D1759" s="1">
        <v>45254</v>
      </c>
      <c r="E1759" s="6" t="s">
        <v>23</v>
      </c>
      <c r="F1759" t="s">
        <v>61</v>
      </c>
      <c r="G1759" s="3" t="s">
        <v>62</v>
      </c>
      <c r="H1759">
        <v>17.5</v>
      </c>
      <c r="I1759">
        <v>28.92</v>
      </c>
      <c r="J1759">
        <v>506.1</v>
      </c>
      <c r="K1759" t="s">
        <v>113</v>
      </c>
      <c r="L1759" t="b">
        <v>1</v>
      </c>
      <c r="M1759" s="3" t="s">
        <v>79</v>
      </c>
    </row>
    <row r="1760" spans="1:13" ht="68" x14ac:dyDescent="0.2">
      <c r="A1760" t="s">
        <v>2166</v>
      </c>
      <c r="B1760" t="s">
        <v>488</v>
      </c>
      <c r="C1760" t="s">
        <v>124</v>
      </c>
      <c r="D1760" s="1">
        <v>45578</v>
      </c>
      <c r="E1760" s="6" t="s">
        <v>60</v>
      </c>
      <c r="F1760" t="s">
        <v>50</v>
      </c>
      <c r="G1760" s="3" t="s">
        <v>51</v>
      </c>
      <c r="H1760">
        <v>6.8</v>
      </c>
      <c r="I1760">
        <v>36.5</v>
      </c>
      <c r="J1760">
        <v>248.21</v>
      </c>
      <c r="K1760" t="s">
        <v>56</v>
      </c>
      <c r="L1760" t="b">
        <v>0</v>
      </c>
    </row>
    <row r="1761" spans="1:13" ht="34" x14ac:dyDescent="0.2">
      <c r="A1761" t="s">
        <v>2167</v>
      </c>
      <c r="B1761" t="s">
        <v>338</v>
      </c>
      <c r="C1761" t="s">
        <v>95</v>
      </c>
      <c r="D1761" s="1">
        <v>45240</v>
      </c>
      <c r="E1761" s="6" t="s">
        <v>16</v>
      </c>
      <c r="F1761" t="s">
        <v>54</v>
      </c>
      <c r="G1761" s="3" t="s">
        <v>55</v>
      </c>
      <c r="H1761">
        <v>3.9</v>
      </c>
      <c r="I1761">
        <v>50.77</v>
      </c>
      <c r="J1761">
        <v>198.01</v>
      </c>
      <c r="K1761" t="s">
        <v>92</v>
      </c>
      <c r="L1761" t="b">
        <v>0</v>
      </c>
    </row>
    <row r="1762" spans="1:13" ht="17" x14ac:dyDescent="0.2">
      <c r="A1762" t="s">
        <v>2168</v>
      </c>
      <c r="B1762" t="s">
        <v>669</v>
      </c>
      <c r="C1762" t="s">
        <v>323</v>
      </c>
      <c r="D1762" s="1">
        <v>45348</v>
      </c>
      <c r="E1762" s="6" t="s">
        <v>89</v>
      </c>
      <c r="F1762" t="s">
        <v>30</v>
      </c>
      <c r="G1762" s="3" t="s">
        <v>31</v>
      </c>
      <c r="H1762">
        <v>7.5</v>
      </c>
      <c r="I1762">
        <v>70.78</v>
      </c>
      <c r="J1762">
        <v>530.89</v>
      </c>
      <c r="K1762" t="s">
        <v>36</v>
      </c>
      <c r="L1762" t="b">
        <v>0</v>
      </c>
    </row>
    <row r="1763" spans="1:13" ht="17" x14ac:dyDescent="0.2">
      <c r="A1763" t="s">
        <v>2169</v>
      </c>
      <c r="B1763" t="s">
        <v>709</v>
      </c>
      <c r="C1763" t="s">
        <v>71</v>
      </c>
      <c r="D1763" s="1">
        <v>45473</v>
      </c>
      <c r="E1763" s="6" t="s">
        <v>23</v>
      </c>
      <c r="F1763" t="s">
        <v>30</v>
      </c>
      <c r="G1763" s="3" t="s">
        <v>31</v>
      </c>
      <c r="H1763">
        <v>7.1</v>
      </c>
      <c r="I1763">
        <v>42.65</v>
      </c>
      <c r="J1763">
        <v>302.82</v>
      </c>
      <c r="K1763" t="s">
        <v>56</v>
      </c>
      <c r="L1763" t="b">
        <v>0</v>
      </c>
    </row>
    <row r="1764" spans="1:13" ht="34" x14ac:dyDescent="0.2">
      <c r="A1764" t="s">
        <v>2170</v>
      </c>
      <c r="B1764" t="s">
        <v>193</v>
      </c>
      <c r="C1764" t="s">
        <v>166</v>
      </c>
      <c r="D1764" s="1">
        <v>45038</v>
      </c>
      <c r="E1764" s="6" t="s">
        <v>78</v>
      </c>
      <c r="F1764" t="s">
        <v>54</v>
      </c>
      <c r="G1764" s="3" t="s">
        <v>55</v>
      </c>
      <c r="H1764">
        <v>3.5</v>
      </c>
      <c r="I1764">
        <v>62.77</v>
      </c>
      <c r="J1764">
        <v>219.69</v>
      </c>
      <c r="K1764" t="s">
        <v>113</v>
      </c>
      <c r="L1764" t="b">
        <v>0</v>
      </c>
    </row>
    <row r="1765" spans="1:13" ht="68" x14ac:dyDescent="0.2">
      <c r="A1765" t="s">
        <v>2171</v>
      </c>
      <c r="B1765" t="s">
        <v>613</v>
      </c>
      <c r="C1765" t="s">
        <v>161</v>
      </c>
      <c r="D1765" s="1">
        <v>45033</v>
      </c>
      <c r="E1765" s="6" t="s">
        <v>60</v>
      </c>
      <c r="F1765" t="s">
        <v>50</v>
      </c>
      <c r="G1765" s="3" t="s">
        <v>51</v>
      </c>
      <c r="H1765">
        <v>7.1</v>
      </c>
      <c r="I1765">
        <v>83.1</v>
      </c>
      <c r="J1765">
        <v>590.03</v>
      </c>
      <c r="K1765" t="s">
        <v>26</v>
      </c>
      <c r="L1765" t="b">
        <v>0</v>
      </c>
    </row>
    <row r="1766" spans="1:13" ht="17" x14ac:dyDescent="0.2">
      <c r="A1766" t="s">
        <v>2172</v>
      </c>
      <c r="B1766" t="s">
        <v>144</v>
      </c>
      <c r="C1766" t="s">
        <v>365</v>
      </c>
      <c r="D1766" s="1">
        <v>45359</v>
      </c>
      <c r="E1766" s="6" t="s">
        <v>16</v>
      </c>
      <c r="F1766" t="s">
        <v>30</v>
      </c>
      <c r="G1766" s="3" t="s">
        <v>31</v>
      </c>
      <c r="H1766">
        <v>6.4</v>
      </c>
      <c r="I1766">
        <v>72.08</v>
      </c>
      <c r="J1766">
        <v>461.31</v>
      </c>
      <c r="K1766" t="s">
        <v>113</v>
      </c>
      <c r="L1766" t="b">
        <v>0</v>
      </c>
    </row>
    <row r="1767" spans="1:13" ht="34" x14ac:dyDescent="0.2">
      <c r="A1767" t="s">
        <v>2173</v>
      </c>
      <c r="B1767" t="s">
        <v>265</v>
      </c>
      <c r="C1767" t="s">
        <v>450</v>
      </c>
      <c r="D1767" s="1">
        <v>45445</v>
      </c>
      <c r="E1767" s="6" t="s">
        <v>16</v>
      </c>
      <c r="F1767" t="s">
        <v>90</v>
      </c>
      <c r="G1767" s="3" t="s">
        <v>91</v>
      </c>
      <c r="H1767">
        <v>3</v>
      </c>
      <c r="I1767">
        <v>48.29</v>
      </c>
      <c r="J1767">
        <v>144.86000000000001</v>
      </c>
      <c r="K1767" t="s">
        <v>26</v>
      </c>
      <c r="L1767" t="b">
        <v>0</v>
      </c>
    </row>
    <row r="1768" spans="1:13" ht="34" x14ac:dyDescent="0.2">
      <c r="A1768" t="s">
        <v>2174</v>
      </c>
      <c r="B1768" t="s">
        <v>58</v>
      </c>
      <c r="C1768" t="s">
        <v>145</v>
      </c>
      <c r="D1768" s="1">
        <v>45498</v>
      </c>
      <c r="E1768" s="6" t="s">
        <v>78</v>
      </c>
      <c r="F1768" t="s">
        <v>54</v>
      </c>
      <c r="G1768" s="3" t="s">
        <v>55</v>
      </c>
      <c r="H1768">
        <v>5</v>
      </c>
      <c r="I1768">
        <v>52.86</v>
      </c>
      <c r="J1768">
        <v>264.27999999999997</v>
      </c>
      <c r="K1768" t="s">
        <v>26</v>
      </c>
      <c r="L1768" t="b">
        <v>0</v>
      </c>
    </row>
    <row r="1769" spans="1:13" ht="34" x14ac:dyDescent="0.2">
      <c r="A1769" t="s">
        <v>2175</v>
      </c>
      <c r="B1769" t="s">
        <v>386</v>
      </c>
      <c r="C1769" t="s">
        <v>191</v>
      </c>
      <c r="D1769" s="1">
        <v>45427</v>
      </c>
      <c r="E1769" s="6" t="s">
        <v>60</v>
      </c>
      <c r="F1769" t="s">
        <v>54</v>
      </c>
      <c r="G1769" s="3" t="s">
        <v>55</v>
      </c>
      <c r="H1769">
        <v>5.2</v>
      </c>
      <c r="I1769">
        <v>54</v>
      </c>
      <c r="J1769">
        <v>280.79000000000002</v>
      </c>
      <c r="K1769" t="s">
        <v>26</v>
      </c>
      <c r="L1769" t="b">
        <v>0</v>
      </c>
    </row>
    <row r="1770" spans="1:13" ht="17" x14ac:dyDescent="0.2">
      <c r="A1770" t="s">
        <v>2176</v>
      </c>
      <c r="B1770" t="s">
        <v>300</v>
      </c>
      <c r="C1770" t="s">
        <v>380</v>
      </c>
      <c r="D1770" s="1">
        <v>45124</v>
      </c>
      <c r="E1770" s="6" t="s">
        <v>89</v>
      </c>
      <c r="F1770" t="s">
        <v>17</v>
      </c>
      <c r="G1770" s="3" t="s">
        <v>18</v>
      </c>
      <c r="H1770">
        <v>3.6</v>
      </c>
      <c r="I1770">
        <v>49.06</v>
      </c>
      <c r="J1770">
        <v>176.6</v>
      </c>
      <c r="K1770" t="s">
        <v>32</v>
      </c>
      <c r="L1770" t="b">
        <v>0</v>
      </c>
    </row>
    <row r="1771" spans="1:13" ht="34" x14ac:dyDescent="0.2">
      <c r="A1771" t="s">
        <v>2177</v>
      </c>
      <c r="B1771" t="s">
        <v>1144</v>
      </c>
      <c r="C1771" t="s">
        <v>39</v>
      </c>
      <c r="D1771" s="1">
        <v>45314</v>
      </c>
      <c r="E1771" s="6" t="s">
        <v>60</v>
      </c>
      <c r="F1771" t="s">
        <v>24</v>
      </c>
      <c r="G1771" s="3" t="s">
        <v>25</v>
      </c>
      <c r="H1771">
        <v>3.2</v>
      </c>
      <c r="I1771">
        <v>78.69</v>
      </c>
      <c r="J1771">
        <v>251.82</v>
      </c>
      <c r="K1771" t="s">
        <v>96</v>
      </c>
      <c r="L1771" t="b">
        <v>0</v>
      </c>
    </row>
    <row r="1772" spans="1:13" ht="17" x14ac:dyDescent="0.2">
      <c r="A1772" t="s">
        <v>2178</v>
      </c>
      <c r="B1772" t="s">
        <v>646</v>
      </c>
      <c r="C1772" t="s">
        <v>293</v>
      </c>
      <c r="D1772" s="1">
        <v>45618</v>
      </c>
      <c r="E1772" s="6" t="s">
        <v>60</v>
      </c>
      <c r="F1772" t="s">
        <v>30</v>
      </c>
      <c r="G1772" s="3" t="s">
        <v>31</v>
      </c>
      <c r="H1772">
        <v>4.4000000000000004</v>
      </c>
      <c r="I1772">
        <v>43.36</v>
      </c>
      <c r="J1772">
        <v>190.78</v>
      </c>
      <c r="K1772" t="s">
        <v>82</v>
      </c>
      <c r="L1772" t="b">
        <v>0</v>
      </c>
    </row>
    <row r="1773" spans="1:13" ht="68" x14ac:dyDescent="0.2">
      <c r="A1773" t="s">
        <v>2179</v>
      </c>
      <c r="B1773" t="s">
        <v>1124</v>
      </c>
      <c r="C1773" t="s">
        <v>88</v>
      </c>
      <c r="D1773" s="1">
        <v>45516</v>
      </c>
      <c r="E1773" s="6" t="s">
        <v>89</v>
      </c>
      <c r="F1773" t="s">
        <v>50</v>
      </c>
      <c r="G1773" s="3" t="s">
        <v>51</v>
      </c>
      <c r="H1773">
        <v>7.6</v>
      </c>
      <c r="I1773">
        <v>47.45</v>
      </c>
      <c r="J1773">
        <v>360.59</v>
      </c>
      <c r="K1773" t="s">
        <v>113</v>
      </c>
      <c r="L1773" t="b">
        <v>0</v>
      </c>
    </row>
    <row r="1774" spans="1:13" ht="34" x14ac:dyDescent="0.2">
      <c r="A1774" t="s">
        <v>2180</v>
      </c>
      <c r="B1774" t="s">
        <v>476</v>
      </c>
      <c r="C1774" t="s">
        <v>183</v>
      </c>
      <c r="D1774" s="1">
        <v>45632</v>
      </c>
      <c r="E1774" s="6" t="s">
        <v>60</v>
      </c>
      <c r="F1774" t="s">
        <v>90</v>
      </c>
      <c r="G1774" s="3" t="s">
        <v>91</v>
      </c>
      <c r="H1774">
        <v>2.8</v>
      </c>
      <c r="I1774">
        <v>30.04</v>
      </c>
      <c r="J1774">
        <v>84.12</v>
      </c>
      <c r="K1774" t="s">
        <v>105</v>
      </c>
      <c r="L1774" t="b">
        <v>1</v>
      </c>
      <c r="M1774" s="3" t="s">
        <v>102</v>
      </c>
    </row>
    <row r="1775" spans="1:13" ht="34" x14ac:dyDescent="0.2">
      <c r="A1775" t="s">
        <v>2181</v>
      </c>
      <c r="B1775" t="s">
        <v>1869</v>
      </c>
      <c r="C1775" t="s">
        <v>191</v>
      </c>
      <c r="D1775" s="1">
        <v>44937</v>
      </c>
      <c r="E1775" s="6" t="s">
        <v>89</v>
      </c>
      <c r="F1775" t="s">
        <v>54</v>
      </c>
      <c r="G1775" s="3" t="s">
        <v>55</v>
      </c>
      <c r="H1775">
        <v>3.4</v>
      </c>
      <c r="I1775">
        <v>27.47</v>
      </c>
      <c r="J1775">
        <v>93.39</v>
      </c>
      <c r="K1775" t="s">
        <v>56</v>
      </c>
      <c r="L1775" t="b">
        <v>0</v>
      </c>
    </row>
    <row r="1776" spans="1:13" ht="34" x14ac:dyDescent="0.2">
      <c r="A1776" t="s">
        <v>2182</v>
      </c>
      <c r="B1776" t="s">
        <v>546</v>
      </c>
      <c r="C1776" t="s">
        <v>15</v>
      </c>
      <c r="D1776" s="1">
        <v>45033</v>
      </c>
      <c r="E1776" s="6" t="s">
        <v>60</v>
      </c>
      <c r="F1776" t="s">
        <v>54</v>
      </c>
      <c r="G1776" s="3" t="s">
        <v>55</v>
      </c>
      <c r="H1776">
        <v>4.5999999999999996</v>
      </c>
      <c r="I1776">
        <v>53.05</v>
      </c>
      <c r="J1776">
        <v>244.04</v>
      </c>
      <c r="K1776" t="s">
        <v>105</v>
      </c>
      <c r="L1776" t="b">
        <v>0</v>
      </c>
    </row>
    <row r="1777" spans="1:13" ht="34" x14ac:dyDescent="0.2">
      <c r="A1777" t="s">
        <v>2183</v>
      </c>
      <c r="B1777" t="s">
        <v>188</v>
      </c>
      <c r="C1777" t="s">
        <v>138</v>
      </c>
      <c r="D1777" s="1">
        <v>45618</v>
      </c>
      <c r="E1777" s="6" t="s">
        <v>60</v>
      </c>
      <c r="F1777" t="s">
        <v>54</v>
      </c>
      <c r="G1777" s="3" t="s">
        <v>55</v>
      </c>
      <c r="H1777">
        <v>6.8</v>
      </c>
      <c r="I1777">
        <v>44.02</v>
      </c>
      <c r="J1777">
        <v>299.33999999999997</v>
      </c>
      <c r="K1777" t="s">
        <v>36</v>
      </c>
      <c r="L1777" t="b">
        <v>0</v>
      </c>
    </row>
    <row r="1778" spans="1:13" ht="34" x14ac:dyDescent="0.2">
      <c r="A1778" t="s">
        <v>2184</v>
      </c>
      <c r="B1778" t="s">
        <v>944</v>
      </c>
      <c r="C1778" t="s">
        <v>138</v>
      </c>
      <c r="D1778" s="1">
        <v>45201</v>
      </c>
      <c r="E1778" s="6" t="s">
        <v>16</v>
      </c>
      <c r="F1778" t="s">
        <v>24</v>
      </c>
      <c r="G1778" s="3" t="s">
        <v>25</v>
      </c>
      <c r="H1778">
        <v>3.1</v>
      </c>
      <c r="I1778">
        <v>39.03</v>
      </c>
      <c r="J1778">
        <v>120.99</v>
      </c>
      <c r="K1778" t="s">
        <v>113</v>
      </c>
      <c r="L1778" t="b">
        <v>0</v>
      </c>
    </row>
    <row r="1779" spans="1:13" ht="34" x14ac:dyDescent="0.2">
      <c r="A1779" t="s">
        <v>2185</v>
      </c>
      <c r="B1779" t="s">
        <v>649</v>
      </c>
      <c r="C1779" t="s">
        <v>266</v>
      </c>
      <c r="D1779" s="1">
        <v>45436</v>
      </c>
      <c r="E1779" s="6" t="s">
        <v>89</v>
      </c>
      <c r="F1779" t="s">
        <v>90</v>
      </c>
      <c r="G1779" s="3" t="s">
        <v>91</v>
      </c>
      <c r="H1779">
        <v>4.2</v>
      </c>
      <c r="I1779">
        <v>29.95</v>
      </c>
      <c r="J1779">
        <v>125.77</v>
      </c>
      <c r="K1779" t="s">
        <v>26</v>
      </c>
      <c r="L1779" t="b">
        <v>0</v>
      </c>
    </row>
    <row r="1780" spans="1:13" ht="34" x14ac:dyDescent="0.2">
      <c r="A1780" t="s">
        <v>2186</v>
      </c>
      <c r="B1780" t="s">
        <v>738</v>
      </c>
      <c r="C1780" t="s">
        <v>15</v>
      </c>
      <c r="D1780" s="1">
        <v>45517</v>
      </c>
      <c r="E1780" s="6" t="s">
        <v>44</v>
      </c>
      <c r="F1780" t="s">
        <v>90</v>
      </c>
      <c r="G1780" s="3" t="s">
        <v>91</v>
      </c>
      <c r="H1780">
        <v>6.7</v>
      </c>
      <c r="I1780">
        <v>80.599999999999994</v>
      </c>
      <c r="J1780">
        <v>540</v>
      </c>
      <c r="K1780" t="s">
        <v>96</v>
      </c>
      <c r="L1780" t="b">
        <v>0</v>
      </c>
    </row>
    <row r="1781" spans="1:13" ht="34" x14ac:dyDescent="0.2">
      <c r="A1781" t="s">
        <v>2187</v>
      </c>
      <c r="B1781" t="s">
        <v>347</v>
      </c>
      <c r="C1781" t="s">
        <v>280</v>
      </c>
      <c r="D1781" s="1">
        <v>45414</v>
      </c>
      <c r="E1781" s="6" t="s">
        <v>23</v>
      </c>
      <c r="F1781" t="s">
        <v>90</v>
      </c>
      <c r="G1781" s="3" t="s">
        <v>91</v>
      </c>
      <c r="H1781">
        <v>2.4</v>
      </c>
      <c r="I1781">
        <v>27.3</v>
      </c>
      <c r="J1781">
        <v>65.510000000000005</v>
      </c>
      <c r="K1781" t="s">
        <v>32</v>
      </c>
      <c r="L1781" t="b">
        <v>1</v>
      </c>
      <c r="M1781" s="3" t="s">
        <v>102</v>
      </c>
    </row>
    <row r="1782" spans="1:13" ht="34" x14ac:dyDescent="0.2">
      <c r="A1782" t="s">
        <v>2188</v>
      </c>
      <c r="B1782" t="s">
        <v>367</v>
      </c>
      <c r="C1782" t="s">
        <v>175</v>
      </c>
      <c r="D1782" s="1">
        <v>45076</v>
      </c>
      <c r="E1782" s="6" t="s">
        <v>78</v>
      </c>
      <c r="F1782" t="s">
        <v>54</v>
      </c>
      <c r="G1782" s="3" t="s">
        <v>55</v>
      </c>
      <c r="H1782">
        <v>3.2</v>
      </c>
      <c r="I1782">
        <v>44.75</v>
      </c>
      <c r="J1782">
        <v>143.21</v>
      </c>
      <c r="K1782" t="s">
        <v>105</v>
      </c>
      <c r="L1782" t="b">
        <v>0</v>
      </c>
    </row>
    <row r="1783" spans="1:13" ht="34" x14ac:dyDescent="0.2">
      <c r="A1783" t="s">
        <v>2189</v>
      </c>
      <c r="B1783" t="s">
        <v>252</v>
      </c>
      <c r="C1783" t="s">
        <v>450</v>
      </c>
      <c r="D1783" s="1">
        <v>45426</v>
      </c>
      <c r="E1783" s="6" t="s">
        <v>23</v>
      </c>
      <c r="F1783" t="s">
        <v>45</v>
      </c>
      <c r="G1783" s="3" t="s">
        <v>46</v>
      </c>
      <c r="H1783">
        <v>3.1</v>
      </c>
      <c r="I1783">
        <v>61.24</v>
      </c>
      <c r="J1783">
        <v>189.85</v>
      </c>
      <c r="K1783" t="s">
        <v>113</v>
      </c>
      <c r="L1783" t="b">
        <v>0</v>
      </c>
    </row>
    <row r="1784" spans="1:13" ht="34" x14ac:dyDescent="0.2">
      <c r="A1784" t="s">
        <v>2190</v>
      </c>
      <c r="B1784" t="s">
        <v>563</v>
      </c>
      <c r="C1784" t="s">
        <v>380</v>
      </c>
      <c r="D1784" s="1">
        <v>45029</v>
      </c>
      <c r="E1784" s="6" t="s">
        <v>78</v>
      </c>
      <c r="F1784" t="s">
        <v>45</v>
      </c>
      <c r="G1784" s="3" t="s">
        <v>46</v>
      </c>
      <c r="H1784">
        <v>2.1</v>
      </c>
      <c r="I1784">
        <v>42.97</v>
      </c>
      <c r="J1784">
        <v>90.23</v>
      </c>
      <c r="K1784" t="s">
        <v>56</v>
      </c>
      <c r="L1784" t="b">
        <v>0</v>
      </c>
    </row>
    <row r="1785" spans="1:13" ht="34" x14ac:dyDescent="0.2">
      <c r="A1785" t="s">
        <v>2191</v>
      </c>
      <c r="B1785" t="s">
        <v>329</v>
      </c>
      <c r="C1785" t="s">
        <v>122</v>
      </c>
      <c r="D1785" s="1">
        <v>45522</v>
      </c>
      <c r="E1785" s="6" t="s">
        <v>16</v>
      </c>
      <c r="F1785" t="s">
        <v>61</v>
      </c>
      <c r="G1785" s="3" t="s">
        <v>62</v>
      </c>
      <c r="H1785">
        <v>7.7</v>
      </c>
      <c r="I1785">
        <v>74.31</v>
      </c>
      <c r="J1785">
        <v>572.20000000000005</v>
      </c>
      <c r="K1785" t="s">
        <v>26</v>
      </c>
      <c r="L1785" t="b">
        <v>0</v>
      </c>
    </row>
    <row r="1786" spans="1:13" ht="34" x14ac:dyDescent="0.2">
      <c r="A1786" t="s">
        <v>2192</v>
      </c>
      <c r="B1786" t="s">
        <v>94</v>
      </c>
      <c r="C1786" t="s">
        <v>65</v>
      </c>
      <c r="D1786" s="1">
        <v>45365</v>
      </c>
      <c r="E1786" s="6" t="s">
        <v>23</v>
      </c>
      <c r="F1786" t="s">
        <v>24</v>
      </c>
      <c r="G1786" s="3" t="s">
        <v>25</v>
      </c>
      <c r="H1786">
        <v>4.8</v>
      </c>
      <c r="I1786">
        <v>55.76</v>
      </c>
      <c r="J1786">
        <v>267.64</v>
      </c>
      <c r="K1786" t="s">
        <v>96</v>
      </c>
      <c r="L1786" t="b">
        <v>0</v>
      </c>
    </row>
    <row r="1787" spans="1:13" ht="34" x14ac:dyDescent="0.2">
      <c r="A1787" t="s">
        <v>2193</v>
      </c>
      <c r="B1787" t="s">
        <v>315</v>
      </c>
      <c r="C1787" t="s">
        <v>148</v>
      </c>
      <c r="D1787" s="1">
        <v>45235</v>
      </c>
      <c r="E1787" s="6" t="s">
        <v>23</v>
      </c>
      <c r="F1787" t="s">
        <v>61</v>
      </c>
      <c r="G1787" s="3" t="s">
        <v>62</v>
      </c>
      <c r="H1787">
        <v>3.4</v>
      </c>
      <c r="I1787">
        <v>68.400000000000006</v>
      </c>
      <c r="J1787">
        <v>232.56</v>
      </c>
      <c r="K1787" t="s">
        <v>36</v>
      </c>
      <c r="L1787" t="b">
        <v>0</v>
      </c>
    </row>
    <row r="1788" spans="1:13" ht="17" x14ac:dyDescent="0.2">
      <c r="A1788" t="s">
        <v>2194</v>
      </c>
      <c r="B1788" t="s">
        <v>376</v>
      </c>
      <c r="C1788" t="s">
        <v>191</v>
      </c>
      <c r="D1788" s="1">
        <v>44965</v>
      </c>
      <c r="E1788" s="6" t="s">
        <v>89</v>
      </c>
      <c r="F1788" t="s">
        <v>17</v>
      </c>
      <c r="G1788" s="3" t="s">
        <v>18</v>
      </c>
      <c r="H1788">
        <v>3.4</v>
      </c>
      <c r="I1788">
        <v>60.22</v>
      </c>
      <c r="J1788">
        <v>204.75</v>
      </c>
      <c r="K1788" t="s">
        <v>105</v>
      </c>
      <c r="L1788" t="b">
        <v>0</v>
      </c>
    </row>
    <row r="1789" spans="1:13" ht="17" x14ac:dyDescent="0.2">
      <c r="A1789" t="s">
        <v>2195</v>
      </c>
      <c r="B1789" t="s">
        <v>81</v>
      </c>
      <c r="C1789" t="s">
        <v>350</v>
      </c>
      <c r="D1789" s="1">
        <v>45270</v>
      </c>
      <c r="E1789" s="6" t="s">
        <v>44</v>
      </c>
      <c r="F1789" t="s">
        <v>17</v>
      </c>
      <c r="G1789" s="3" t="s">
        <v>18</v>
      </c>
      <c r="H1789">
        <v>6.3</v>
      </c>
      <c r="I1789">
        <v>52.68</v>
      </c>
      <c r="J1789">
        <v>331.91</v>
      </c>
      <c r="K1789" t="s">
        <v>82</v>
      </c>
      <c r="L1789" t="b">
        <v>0</v>
      </c>
    </row>
    <row r="1790" spans="1:13" ht="34" x14ac:dyDescent="0.2">
      <c r="A1790" t="s">
        <v>2196</v>
      </c>
      <c r="B1790" t="s">
        <v>792</v>
      </c>
      <c r="C1790" t="s">
        <v>274</v>
      </c>
      <c r="D1790" s="1">
        <v>45250</v>
      </c>
      <c r="E1790" s="6" t="s">
        <v>16</v>
      </c>
      <c r="F1790" t="s">
        <v>54</v>
      </c>
      <c r="G1790" s="3" t="s">
        <v>55</v>
      </c>
      <c r="H1790">
        <v>7.1</v>
      </c>
      <c r="I1790">
        <v>50.73</v>
      </c>
      <c r="J1790">
        <v>360.17</v>
      </c>
      <c r="K1790" t="s">
        <v>82</v>
      </c>
      <c r="L1790" t="b">
        <v>0</v>
      </c>
    </row>
    <row r="1791" spans="1:13" ht="34" x14ac:dyDescent="0.2">
      <c r="A1791" t="s">
        <v>2197</v>
      </c>
      <c r="B1791" t="s">
        <v>709</v>
      </c>
      <c r="C1791" t="s">
        <v>65</v>
      </c>
      <c r="D1791" s="1">
        <v>45135</v>
      </c>
      <c r="E1791" s="6" t="s">
        <v>89</v>
      </c>
      <c r="F1791" t="s">
        <v>61</v>
      </c>
      <c r="G1791" s="3" t="s">
        <v>62</v>
      </c>
      <c r="H1791">
        <v>3.3</v>
      </c>
      <c r="I1791">
        <v>52</v>
      </c>
      <c r="J1791">
        <v>171.59</v>
      </c>
      <c r="K1791" t="s">
        <v>56</v>
      </c>
      <c r="L1791" t="b">
        <v>0</v>
      </c>
    </row>
    <row r="1792" spans="1:13" ht="34" x14ac:dyDescent="0.2">
      <c r="A1792" t="s">
        <v>2198</v>
      </c>
      <c r="B1792" t="s">
        <v>352</v>
      </c>
      <c r="C1792" t="s">
        <v>499</v>
      </c>
      <c r="D1792" s="1">
        <v>45368</v>
      </c>
      <c r="E1792" s="6" t="s">
        <v>23</v>
      </c>
      <c r="F1792" t="s">
        <v>24</v>
      </c>
      <c r="G1792" s="3" t="s">
        <v>25</v>
      </c>
      <c r="H1792">
        <v>21.9</v>
      </c>
      <c r="I1792">
        <v>59.65</v>
      </c>
      <c r="J1792">
        <v>1306.33</v>
      </c>
      <c r="K1792" t="s">
        <v>56</v>
      </c>
      <c r="L1792" t="b">
        <v>1</v>
      </c>
      <c r="M1792" s="3" t="s">
        <v>79</v>
      </c>
    </row>
    <row r="1793" spans="1:13" ht="34" x14ac:dyDescent="0.2">
      <c r="A1793" t="s">
        <v>2199</v>
      </c>
      <c r="B1793" t="s">
        <v>394</v>
      </c>
      <c r="C1793" t="s">
        <v>211</v>
      </c>
      <c r="D1793" s="1">
        <v>45420</v>
      </c>
      <c r="E1793" s="6" t="s">
        <v>16</v>
      </c>
      <c r="F1793" t="s">
        <v>45</v>
      </c>
      <c r="G1793" s="3" t="s">
        <v>46</v>
      </c>
      <c r="H1793">
        <v>7.7</v>
      </c>
      <c r="I1793">
        <v>25.58</v>
      </c>
      <c r="J1793">
        <v>196.97</v>
      </c>
      <c r="K1793" t="s">
        <v>32</v>
      </c>
      <c r="L1793" t="b">
        <v>0</v>
      </c>
    </row>
    <row r="1794" spans="1:13" ht="34" x14ac:dyDescent="0.2">
      <c r="A1794" t="s">
        <v>2200</v>
      </c>
      <c r="B1794" t="s">
        <v>617</v>
      </c>
      <c r="C1794" t="s">
        <v>39</v>
      </c>
      <c r="D1794" s="1">
        <v>45406</v>
      </c>
      <c r="E1794" s="6" t="s">
        <v>16</v>
      </c>
      <c r="F1794" t="s">
        <v>54</v>
      </c>
      <c r="G1794" s="3" t="s">
        <v>55</v>
      </c>
      <c r="H1794">
        <v>4</v>
      </c>
      <c r="I1794">
        <v>50.15</v>
      </c>
      <c r="J1794">
        <v>200.6</v>
      </c>
      <c r="K1794" t="s">
        <v>82</v>
      </c>
      <c r="L1794" t="b">
        <v>0</v>
      </c>
    </row>
    <row r="1795" spans="1:13" ht="34" x14ac:dyDescent="0.2">
      <c r="A1795" t="s">
        <v>2201</v>
      </c>
      <c r="B1795" t="s">
        <v>345</v>
      </c>
      <c r="C1795" t="s">
        <v>127</v>
      </c>
      <c r="D1795" s="1">
        <v>45423</v>
      </c>
      <c r="E1795" s="6" t="s">
        <v>78</v>
      </c>
      <c r="F1795" t="s">
        <v>61</v>
      </c>
      <c r="G1795" s="3" t="s">
        <v>62</v>
      </c>
      <c r="H1795">
        <v>6.6</v>
      </c>
      <c r="I1795">
        <v>66.430000000000007</v>
      </c>
      <c r="J1795">
        <v>438.45</v>
      </c>
      <c r="K1795" t="s">
        <v>19</v>
      </c>
      <c r="L1795" t="b">
        <v>1</v>
      </c>
      <c r="M1795" s="3" t="s">
        <v>102</v>
      </c>
    </row>
    <row r="1796" spans="1:13" ht="34" x14ac:dyDescent="0.2">
      <c r="A1796" t="s">
        <v>2202</v>
      </c>
      <c r="B1796" t="s">
        <v>783</v>
      </c>
      <c r="C1796" t="s">
        <v>370</v>
      </c>
      <c r="D1796" s="1">
        <v>45247</v>
      </c>
      <c r="E1796" s="6" t="s">
        <v>44</v>
      </c>
      <c r="F1796" t="s">
        <v>54</v>
      </c>
      <c r="G1796" s="3" t="s">
        <v>55</v>
      </c>
      <c r="H1796">
        <v>5.5</v>
      </c>
      <c r="I1796">
        <v>59.05</v>
      </c>
      <c r="J1796">
        <v>324.8</v>
      </c>
      <c r="K1796" t="s">
        <v>19</v>
      </c>
      <c r="L1796" t="b">
        <v>0</v>
      </c>
    </row>
    <row r="1797" spans="1:13" ht="68" x14ac:dyDescent="0.2">
      <c r="A1797" t="s">
        <v>2203</v>
      </c>
      <c r="B1797" t="s">
        <v>121</v>
      </c>
      <c r="C1797" t="s">
        <v>499</v>
      </c>
      <c r="D1797" s="1">
        <v>45159</v>
      </c>
      <c r="E1797" s="6" t="s">
        <v>78</v>
      </c>
      <c r="F1797" t="s">
        <v>50</v>
      </c>
      <c r="G1797" s="3" t="s">
        <v>51</v>
      </c>
      <c r="H1797">
        <v>2.9</v>
      </c>
      <c r="I1797">
        <v>82.16</v>
      </c>
      <c r="J1797">
        <v>238.26</v>
      </c>
      <c r="K1797" t="s">
        <v>92</v>
      </c>
      <c r="L1797" t="b">
        <v>0</v>
      </c>
    </row>
    <row r="1798" spans="1:13" ht="34" x14ac:dyDescent="0.2">
      <c r="A1798" t="s">
        <v>2204</v>
      </c>
      <c r="B1798" t="s">
        <v>342</v>
      </c>
      <c r="C1798" t="s">
        <v>194</v>
      </c>
      <c r="D1798" s="1">
        <v>45258</v>
      </c>
      <c r="E1798" s="6" t="s">
        <v>60</v>
      </c>
      <c r="F1798" t="s">
        <v>61</v>
      </c>
      <c r="G1798" s="3" t="s">
        <v>62</v>
      </c>
      <c r="H1798">
        <v>7.9</v>
      </c>
      <c r="I1798">
        <v>37.25</v>
      </c>
      <c r="J1798">
        <v>294.29000000000002</v>
      </c>
      <c r="K1798" t="s">
        <v>92</v>
      </c>
      <c r="L1798" t="b">
        <v>0</v>
      </c>
    </row>
    <row r="1799" spans="1:13" ht="34" x14ac:dyDescent="0.2">
      <c r="A1799" t="s">
        <v>2205</v>
      </c>
      <c r="B1799" t="s">
        <v>231</v>
      </c>
      <c r="C1799" t="s">
        <v>127</v>
      </c>
      <c r="D1799" s="1">
        <v>45491</v>
      </c>
      <c r="E1799" s="6" t="s">
        <v>44</v>
      </c>
      <c r="F1799" t="s">
        <v>90</v>
      </c>
      <c r="G1799" s="3" t="s">
        <v>91</v>
      </c>
      <c r="H1799">
        <v>5.2</v>
      </c>
      <c r="I1799">
        <v>36.299999999999997</v>
      </c>
      <c r="J1799">
        <v>188.76</v>
      </c>
      <c r="K1799" t="s">
        <v>19</v>
      </c>
      <c r="L1799" t="b">
        <v>0</v>
      </c>
    </row>
    <row r="1800" spans="1:13" ht="34" x14ac:dyDescent="0.2">
      <c r="A1800" t="s">
        <v>2206</v>
      </c>
      <c r="B1800" t="s">
        <v>112</v>
      </c>
      <c r="C1800" t="s">
        <v>293</v>
      </c>
      <c r="D1800" s="1">
        <v>45073</v>
      </c>
      <c r="E1800" s="6" t="s">
        <v>78</v>
      </c>
      <c r="F1800" t="s">
        <v>54</v>
      </c>
      <c r="G1800" s="3" t="s">
        <v>55</v>
      </c>
      <c r="H1800">
        <v>5.4</v>
      </c>
      <c r="I1800">
        <v>52.09</v>
      </c>
      <c r="J1800">
        <v>281.3</v>
      </c>
      <c r="K1800" t="s">
        <v>113</v>
      </c>
      <c r="L1800" t="b">
        <v>0</v>
      </c>
    </row>
    <row r="1801" spans="1:13" ht="34" x14ac:dyDescent="0.2">
      <c r="A1801" t="s">
        <v>2207</v>
      </c>
      <c r="B1801" t="s">
        <v>1483</v>
      </c>
      <c r="C1801" t="s">
        <v>353</v>
      </c>
      <c r="D1801" s="1">
        <v>45121</v>
      </c>
      <c r="E1801" s="6" t="s">
        <v>23</v>
      </c>
      <c r="F1801" t="s">
        <v>90</v>
      </c>
      <c r="G1801" s="3" t="s">
        <v>91</v>
      </c>
      <c r="H1801">
        <v>3</v>
      </c>
      <c r="I1801">
        <v>65.489999999999995</v>
      </c>
      <c r="J1801">
        <v>196.48</v>
      </c>
      <c r="K1801" t="s">
        <v>36</v>
      </c>
      <c r="L1801" t="b">
        <v>0</v>
      </c>
    </row>
    <row r="1802" spans="1:13" ht="34" x14ac:dyDescent="0.2">
      <c r="A1802" t="s">
        <v>2208</v>
      </c>
      <c r="B1802" t="s">
        <v>336</v>
      </c>
      <c r="C1802" t="s">
        <v>207</v>
      </c>
      <c r="D1802" s="1">
        <v>44938</v>
      </c>
      <c r="E1802" s="6" t="s">
        <v>44</v>
      </c>
      <c r="F1802" t="s">
        <v>24</v>
      </c>
      <c r="G1802" s="3" t="s">
        <v>25</v>
      </c>
      <c r="H1802">
        <v>7</v>
      </c>
      <c r="I1802">
        <v>61.2</v>
      </c>
      <c r="J1802">
        <v>428.41</v>
      </c>
      <c r="K1802" t="s">
        <v>56</v>
      </c>
      <c r="L1802" t="b">
        <v>0</v>
      </c>
    </row>
    <row r="1803" spans="1:13" ht="68" x14ac:dyDescent="0.2">
      <c r="A1803" t="s">
        <v>2209</v>
      </c>
      <c r="B1803" t="s">
        <v>617</v>
      </c>
      <c r="C1803" t="s">
        <v>68</v>
      </c>
      <c r="D1803" s="1">
        <v>45494</v>
      </c>
      <c r="E1803" s="6" t="s">
        <v>60</v>
      </c>
      <c r="F1803" t="s">
        <v>50</v>
      </c>
      <c r="G1803" s="3" t="s">
        <v>51</v>
      </c>
      <c r="H1803">
        <v>3.2</v>
      </c>
      <c r="I1803">
        <v>79.680000000000007</v>
      </c>
      <c r="J1803">
        <v>254.98</v>
      </c>
      <c r="K1803" t="s">
        <v>82</v>
      </c>
      <c r="L1803" t="b">
        <v>0</v>
      </c>
    </row>
    <row r="1804" spans="1:13" ht="34" x14ac:dyDescent="0.2">
      <c r="A1804" t="s">
        <v>2210</v>
      </c>
      <c r="B1804" t="s">
        <v>121</v>
      </c>
      <c r="C1804" t="s">
        <v>71</v>
      </c>
      <c r="D1804" s="1">
        <v>44999</v>
      </c>
      <c r="E1804" s="6" t="s">
        <v>89</v>
      </c>
      <c r="F1804" t="s">
        <v>45</v>
      </c>
      <c r="G1804" s="3" t="s">
        <v>46</v>
      </c>
      <c r="H1804">
        <v>11.8</v>
      </c>
      <c r="I1804">
        <v>42.47</v>
      </c>
      <c r="J1804">
        <v>500</v>
      </c>
      <c r="K1804" t="s">
        <v>92</v>
      </c>
      <c r="L1804" t="b">
        <v>1</v>
      </c>
      <c r="M1804" s="3" t="s">
        <v>40</v>
      </c>
    </row>
    <row r="1805" spans="1:13" ht="34" x14ac:dyDescent="0.2">
      <c r="A1805" t="s">
        <v>2211</v>
      </c>
      <c r="B1805" t="s">
        <v>703</v>
      </c>
      <c r="C1805" t="s">
        <v>43</v>
      </c>
      <c r="D1805" s="1">
        <v>45273</v>
      </c>
      <c r="E1805" s="6" t="s">
        <v>44</v>
      </c>
      <c r="F1805" t="s">
        <v>90</v>
      </c>
      <c r="G1805" s="3" t="s">
        <v>91</v>
      </c>
      <c r="H1805">
        <v>4.7</v>
      </c>
      <c r="I1805">
        <v>47.12</v>
      </c>
      <c r="J1805">
        <v>221.46</v>
      </c>
      <c r="K1805" t="s">
        <v>92</v>
      </c>
      <c r="L1805" t="b">
        <v>0</v>
      </c>
    </row>
    <row r="1806" spans="1:13" ht="68" x14ac:dyDescent="0.2">
      <c r="A1806" t="s">
        <v>2212</v>
      </c>
      <c r="B1806" t="s">
        <v>970</v>
      </c>
      <c r="C1806" t="s">
        <v>35</v>
      </c>
      <c r="D1806" s="1">
        <v>45412</v>
      </c>
      <c r="E1806" s="6" t="s">
        <v>60</v>
      </c>
      <c r="F1806" t="s">
        <v>50</v>
      </c>
      <c r="G1806" s="3" t="s">
        <v>51</v>
      </c>
      <c r="H1806">
        <v>4</v>
      </c>
      <c r="I1806">
        <v>79.59</v>
      </c>
      <c r="J1806">
        <v>318.35000000000002</v>
      </c>
      <c r="K1806" t="s">
        <v>19</v>
      </c>
      <c r="L1806" t="b">
        <v>0</v>
      </c>
    </row>
    <row r="1807" spans="1:13" ht="68" x14ac:dyDescent="0.2">
      <c r="A1807" t="s">
        <v>2213</v>
      </c>
      <c r="B1807" t="s">
        <v>34</v>
      </c>
      <c r="C1807" t="s">
        <v>207</v>
      </c>
      <c r="D1807" s="1">
        <v>45207</v>
      </c>
      <c r="E1807" s="6" t="s">
        <v>60</v>
      </c>
      <c r="F1807" t="s">
        <v>50</v>
      </c>
      <c r="G1807" s="3" t="s">
        <v>51</v>
      </c>
      <c r="H1807">
        <v>21.1</v>
      </c>
      <c r="I1807">
        <v>32.75</v>
      </c>
      <c r="J1807">
        <v>691.03</v>
      </c>
      <c r="K1807" t="s">
        <v>36</v>
      </c>
      <c r="L1807" t="b">
        <v>1</v>
      </c>
      <c r="M1807" s="3" t="s">
        <v>79</v>
      </c>
    </row>
    <row r="1808" spans="1:13" ht="34" x14ac:dyDescent="0.2">
      <c r="A1808" t="s">
        <v>2214</v>
      </c>
      <c r="B1808" t="s">
        <v>1058</v>
      </c>
      <c r="C1808" t="s">
        <v>156</v>
      </c>
      <c r="D1808" s="1">
        <v>49749</v>
      </c>
      <c r="E1808" s="6" t="s">
        <v>23</v>
      </c>
      <c r="F1808" t="s">
        <v>17</v>
      </c>
      <c r="G1808" s="3" t="s">
        <v>18</v>
      </c>
      <c r="H1808">
        <v>6.5</v>
      </c>
      <c r="I1808">
        <v>48.34</v>
      </c>
      <c r="J1808">
        <v>314.20999999999998</v>
      </c>
      <c r="K1808" t="s">
        <v>96</v>
      </c>
      <c r="L1808" t="b">
        <v>1</v>
      </c>
      <c r="M1808" s="3" t="s">
        <v>99</v>
      </c>
    </row>
    <row r="1809" spans="1:13" ht="68" x14ac:dyDescent="0.2">
      <c r="A1809" t="s">
        <v>2215</v>
      </c>
      <c r="B1809" t="s">
        <v>129</v>
      </c>
      <c r="C1809" t="s">
        <v>380</v>
      </c>
      <c r="D1809" s="1">
        <v>44934</v>
      </c>
      <c r="E1809" s="6" t="s">
        <v>16</v>
      </c>
      <c r="F1809" t="s">
        <v>50</v>
      </c>
      <c r="G1809" s="3" t="s">
        <v>51</v>
      </c>
      <c r="H1809">
        <v>7.2</v>
      </c>
      <c r="I1809">
        <v>43.59</v>
      </c>
      <c r="J1809">
        <v>313.82</v>
      </c>
      <c r="K1809" t="s">
        <v>32</v>
      </c>
      <c r="L1809" t="b">
        <v>0</v>
      </c>
    </row>
    <row r="1810" spans="1:13" ht="17" x14ac:dyDescent="0.2">
      <c r="A1810" t="s">
        <v>2216</v>
      </c>
      <c r="B1810" t="s">
        <v>414</v>
      </c>
      <c r="C1810" t="s">
        <v>450</v>
      </c>
      <c r="D1810" s="1">
        <v>45641</v>
      </c>
      <c r="E1810" s="6" t="s">
        <v>78</v>
      </c>
      <c r="F1810" t="s">
        <v>17</v>
      </c>
      <c r="G1810" s="3" t="s">
        <v>18</v>
      </c>
      <c r="H1810">
        <v>3</v>
      </c>
      <c r="I1810">
        <v>59.51</v>
      </c>
      <c r="J1810">
        <v>178.52</v>
      </c>
      <c r="K1810" t="s">
        <v>56</v>
      </c>
      <c r="L1810" t="b">
        <v>0</v>
      </c>
    </row>
    <row r="1811" spans="1:13" ht="17" x14ac:dyDescent="0.2">
      <c r="A1811" t="s">
        <v>2217</v>
      </c>
      <c r="B1811" t="s">
        <v>709</v>
      </c>
      <c r="C1811" t="s">
        <v>124</v>
      </c>
      <c r="D1811" s="1">
        <v>45440</v>
      </c>
      <c r="E1811" s="6" t="s">
        <v>78</v>
      </c>
      <c r="F1811" t="s">
        <v>30</v>
      </c>
      <c r="G1811" s="3" t="s">
        <v>31</v>
      </c>
      <c r="H1811">
        <v>5</v>
      </c>
      <c r="I1811">
        <v>66.09</v>
      </c>
      <c r="J1811">
        <v>330.45</v>
      </c>
      <c r="K1811" t="s">
        <v>56</v>
      </c>
      <c r="L1811" t="b">
        <v>0</v>
      </c>
    </row>
    <row r="1812" spans="1:13" ht="17" x14ac:dyDescent="0.2">
      <c r="A1812" t="s">
        <v>2218</v>
      </c>
      <c r="B1812" t="s">
        <v>142</v>
      </c>
      <c r="C1812" t="s">
        <v>49</v>
      </c>
      <c r="D1812" s="1">
        <v>45481</v>
      </c>
      <c r="E1812" s="6" t="s">
        <v>44</v>
      </c>
      <c r="F1812" t="s">
        <v>30</v>
      </c>
      <c r="G1812" s="3" t="s">
        <v>31</v>
      </c>
      <c r="H1812">
        <v>2</v>
      </c>
      <c r="I1812">
        <v>33.56</v>
      </c>
      <c r="J1812">
        <v>67.12</v>
      </c>
      <c r="K1812" t="s">
        <v>19</v>
      </c>
      <c r="L1812" t="b">
        <v>0</v>
      </c>
    </row>
    <row r="1813" spans="1:13" ht="34" x14ac:dyDescent="0.2">
      <c r="A1813" t="s">
        <v>2219</v>
      </c>
      <c r="B1813" t="s">
        <v>476</v>
      </c>
      <c r="C1813" t="s">
        <v>391</v>
      </c>
      <c r="D1813" s="1">
        <v>45468</v>
      </c>
      <c r="E1813" s="6" t="s">
        <v>78</v>
      </c>
      <c r="F1813" t="s">
        <v>61</v>
      </c>
      <c r="G1813" s="3" t="s">
        <v>62</v>
      </c>
      <c r="H1813">
        <v>5.6</v>
      </c>
      <c r="I1813">
        <v>39.81</v>
      </c>
      <c r="J1813">
        <v>222.94</v>
      </c>
      <c r="K1813" t="s">
        <v>105</v>
      </c>
      <c r="L1813" t="b">
        <v>0</v>
      </c>
    </row>
    <row r="1814" spans="1:13" ht="17" x14ac:dyDescent="0.2">
      <c r="A1814" t="s">
        <v>2220</v>
      </c>
      <c r="B1814" t="s">
        <v>1198</v>
      </c>
      <c r="C1814" t="s">
        <v>365</v>
      </c>
      <c r="D1814" s="1">
        <v>44983</v>
      </c>
      <c r="E1814" s="6" t="s">
        <v>16</v>
      </c>
      <c r="F1814" t="s">
        <v>17</v>
      </c>
      <c r="G1814" s="3" t="s">
        <v>18</v>
      </c>
      <c r="H1814">
        <v>4.8</v>
      </c>
      <c r="I1814">
        <v>59.57</v>
      </c>
      <c r="J1814">
        <v>285.93</v>
      </c>
      <c r="K1814" t="s">
        <v>113</v>
      </c>
      <c r="L1814" t="b">
        <v>0</v>
      </c>
    </row>
    <row r="1815" spans="1:13" ht="34" x14ac:dyDescent="0.2">
      <c r="A1815" t="s">
        <v>2221</v>
      </c>
      <c r="B1815" t="s">
        <v>991</v>
      </c>
      <c r="C1815" t="s">
        <v>189</v>
      </c>
      <c r="D1815" s="1">
        <v>45053</v>
      </c>
      <c r="E1815" s="6" t="s">
        <v>60</v>
      </c>
      <c r="F1815" t="s">
        <v>90</v>
      </c>
      <c r="G1815" s="3" t="s">
        <v>91</v>
      </c>
      <c r="H1815">
        <v>3.7</v>
      </c>
      <c r="I1815">
        <v>77.86</v>
      </c>
      <c r="J1815">
        <v>288.08</v>
      </c>
      <c r="K1815" t="s">
        <v>82</v>
      </c>
      <c r="L1815" t="b">
        <v>0</v>
      </c>
    </row>
    <row r="1816" spans="1:13" ht="34" x14ac:dyDescent="0.2">
      <c r="A1816" t="s">
        <v>2222</v>
      </c>
      <c r="B1816" t="s">
        <v>484</v>
      </c>
      <c r="C1816" t="s">
        <v>450</v>
      </c>
      <c r="D1816" s="1">
        <v>44958</v>
      </c>
      <c r="E1816" s="6" t="s">
        <v>78</v>
      </c>
      <c r="F1816" t="s">
        <v>54</v>
      </c>
      <c r="G1816" s="3" t="s">
        <v>55</v>
      </c>
      <c r="H1816">
        <v>6.2</v>
      </c>
      <c r="I1816">
        <v>67.7</v>
      </c>
      <c r="J1816">
        <v>419.73</v>
      </c>
      <c r="K1816" t="s">
        <v>26</v>
      </c>
      <c r="L1816" t="b">
        <v>0</v>
      </c>
    </row>
    <row r="1817" spans="1:13" ht="34" x14ac:dyDescent="0.2">
      <c r="A1817" t="s">
        <v>2223</v>
      </c>
      <c r="B1817" t="s">
        <v>598</v>
      </c>
      <c r="C1817" t="s">
        <v>127</v>
      </c>
      <c r="D1817" s="1">
        <v>45017</v>
      </c>
      <c r="E1817" s="6" t="s">
        <v>23</v>
      </c>
      <c r="F1817" t="s">
        <v>61</v>
      </c>
      <c r="G1817" s="3" t="s">
        <v>62</v>
      </c>
      <c r="H1817">
        <v>5.7</v>
      </c>
      <c r="I1817">
        <v>73.599999999999994</v>
      </c>
      <c r="J1817">
        <v>419.51</v>
      </c>
      <c r="K1817" t="s">
        <v>19</v>
      </c>
      <c r="L1817" t="b">
        <v>0</v>
      </c>
    </row>
    <row r="1818" spans="1:13" ht="34" x14ac:dyDescent="0.2">
      <c r="A1818" t="s">
        <v>2224</v>
      </c>
      <c r="B1818" t="s">
        <v>630</v>
      </c>
      <c r="C1818" t="s">
        <v>280</v>
      </c>
      <c r="D1818" s="1">
        <v>45124</v>
      </c>
      <c r="E1818" s="6" t="s">
        <v>16</v>
      </c>
      <c r="F1818" t="s">
        <v>61</v>
      </c>
      <c r="G1818" s="3" t="s">
        <v>62</v>
      </c>
      <c r="H1818">
        <v>3.5</v>
      </c>
      <c r="I1818">
        <v>79</v>
      </c>
      <c r="J1818">
        <v>276.49</v>
      </c>
      <c r="K1818" t="s">
        <v>32</v>
      </c>
      <c r="L1818" t="b">
        <v>0</v>
      </c>
    </row>
    <row r="1819" spans="1:13" ht="34" x14ac:dyDescent="0.2">
      <c r="A1819" t="s">
        <v>2225</v>
      </c>
      <c r="B1819" t="s">
        <v>666</v>
      </c>
      <c r="C1819" t="s">
        <v>88</v>
      </c>
      <c r="D1819" s="1">
        <v>45385</v>
      </c>
      <c r="E1819" s="6" t="s">
        <v>23</v>
      </c>
      <c r="F1819" t="s">
        <v>61</v>
      </c>
      <c r="G1819" s="3" t="s">
        <v>62</v>
      </c>
      <c r="H1819">
        <v>4.7</v>
      </c>
      <c r="I1819">
        <v>79.650000000000006</v>
      </c>
      <c r="J1819">
        <v>374.35</v>
      </c>
      <c r="K1819" t="s">
        <v>113</v>
      </c>
      <c r="L1819" t="b">
        <v>0</v>
      </c>
    </row>
    <row r="1820" spans="1:13" ht="34" x14ac:dyDescent="0.2">
      <c r="A1820" t="s">
        <v>2226</v>
      </c>
      <c r="B1820" t="s">
        <v>21</v>
      </c>
      <c r="C1820" t="s">
        <v>59</v>
      </c>
      <c r="D1820" s="1">
        <v>45344</v>
      </c>
      <c r="E1820" s="6" t="s">
        <v>23</v>
      </c>
      <c r="F1820" t="s">
        <v>90</v>
      </c>
      <c r="G1820" s="3" t="s">
        <v>91</v>
      </c>
      <c r="H1820">
        <v>22.5</v>
      </c>
      <c r="I1820">
        <v>81.739999999999995</v>
      </c>
      <c r="J1820">
        <v>1839.15</v>
      </c>
      <c r="K1820" t="s">
        <v>26</v>
      </c>
      <c r="L1820" t="b">
        <v>1</v>
      </c>
      <c r="M1820" s="3" t="s">
        <v>79</v>
      </c>
    </row>
    <row r="1821" spans="1:13" ht="68" x14ac:dyDescent="0.2">
      <c r="A1821" t="s">
        <v>2227</v>
      </c>
      <c r="B1821" t="s">
        <v>67</v>
      </c>
      <c r="C1821" t="s">
        <v>450</v>
      </c>
      <c r="D1821" s="1">
        <v>45127</v>
      </c>
      <c r="E1821" s="6" t="s">
        <v>78</v>
      </c>
      <c r="F1821" t="s">
        <v>50</v>
      </c>
      <c r="G1821" s="3" t="s">
        <v>51</v>
      </c>
      <c r="H1821">
        <v>3.6</v>
      </c>
      <c r="I1821">
        <v>62.68</v>
      </c>
      <c r="J1821">
        <v>225.67</v>
      </c>
      <c r="K1821" t="s">
        <v>56</v>
      </c>
      <c r="L1821" t="b">
        <v>0</v>
      </c>
    </row>
    <row r="1822" spans="1:13" ht="34" x14ac:dyDescent="0.2">
      <c r="A1822" t="s">
        <v>2228</v>
      </c>
      <c r="B1822" t="s">
        <v>613</v>
      </c>
      <c r="C1822" t="s">
        <v>370</v>
      </c>
      <c r="D1822" s="1">
        <v>45414</v>
      </c>
      <c r="E1822" s="6" t="s">
        <v>23</v>
      </c>
      <c r="F1822" t="s">
        <v>90</v>
      </c>
      <c r="G1822" s="3" t="s">
        <v>91</v>
      </c>
      <c r="H1822">
        <v>6.2</v>
      </c>
      <c r="I1822">
        <v>68.34</v>
      </c>
      <c r="J1822">
        <v>423.74</v>
      </c>
      <c r="K1822" t="s">
        <v>26</v>
      </c>
      <c r="L1822" t="b">
        <v>0</v>
      </c>
    </row>
    <row r="1823" spans="1:13" ht="17" x14ac:dyDescent="0.2">
      <c r="A1823" t="s">
        <v>2229</v>
      </c>
      <c r="B1823" t="s">
        <v>118</v>
      </c>
      <c r="C1823" t="s">
        <v>266</v>
      </c>
      <c r="D1823" s="1">
        <v>45247</v>
      </c>
      <c r="E1823" s="6" t="s">
        <v>44</v>
      </c>
      <c r="F1823" t="s">
        <v>17</v>
      </c>
      <c r="G1823" s="3" t="s">
        <v>18</v>
      </c>
      <c r="H1823">
        <v>4.5</v>
      </c>
      <c r="I1823">
        <v>70.709999999999994</v>
      </c>
      <c r="J1823">
        <v>318.2</v>
      </c>
      <c r="K1823" t="s">
        <v>26</v>
      </c>
      <c r="L1823" t="b">
        <v>0</v>
      </c>
    </row>
    <row r="1824" spans="1:13" ht="34" x14ac:dyDescent="0.2">
      <c r="A1824" t="s">
        <v>2230</v>
      </c>
      <c r="B1824" t="s">
        <v>270</v>
      </c>
      <c r="C1824" t="s">
        <v>35</v>
      </c>
      <c r="D1824" s="1">
        <v>45468</v>
      </c>
      <c r="E1824" s="6" t="s">
        <v>78</v>
      </c>
      <c r="F1824" t="s">
        <v>54</v>
      </c>
      <c r="G1824" s="3" t="s">
        <v>55</v>
      </c>
      <c r="H1824">
        <v>2.5</v>
      </c>
      <c r="I1824">
        <v>31.31</v>
      </c>
      <c r="J1824">
        <v>78.28</v>
      </c>
      <c r="K1824" t="s">
        <v>26</v>
      </c>
      <c r="L1824" t="b">
        <v>0</v>
      </c>
    </row>
    <row r="1825" spans="1:13" ht="34" x14ac:dyDescent="0.2">
      <c r="A1825" t="s">
        <v>2231</v>
      </c>
      <c r="B1825" t="s">
        <v>1413</v>
      </c>
      <c r="C1825" t="s">
        <v>49</v>
      </c>
      <c r="D1825" s="1">
        <v>45365</v>
      </c>
      <c r="E1825" s="6" t="s">
        <v>89</v>
      </c>
      <c r="F1825" t="s">
        <v>61</v>
      </c>
      <c r="G1825" s="3" t="s">
        <v>62</v>
      </c>
      <c r="H1825">
        <v>49.8</v>
      </c>
      <c r="I1825">
        <v>40.17</v>
      </c>
      <c r="J1825">
        <v>2000</v>
      </c>
      <c r="K1825" t="s">
        <v>32</v>
      </c>
      <c r="L1825" t="b">
        <v>1</v>
      </c>
      <c r="M1825" s="3" t="s">
        <v>40</v>
      </c>
    </row>
    <row r="1826" spans="1:13" ht="34" x14ac:dyDescent="0.2">
      <c r="A1826" t="s">
        <v>2232</v>
      </c>
      <c r="B1826" t="s">
        <v>1093</v>
      </c>
      <c r="C1826" t="s">
        <v>365</v>
      </c>
      <c r="D1826" s="1">
        <v>45249</v>
      </c>
      <c r="E1826" s="6" t="s">
        <v>16</v>
      </c>
      <c r="F1826" t="s">
        <v>24</v>
      </c>
      <c r="G1826" s="3" t="s">
        <v>25</v>
      </c>
      <c r="H1826">
        <v>4.8</v>
      </c>
      <c r="I1826">
        <v>29.39</v>
      </c>
      <c r="J1826">
        <v>141.08000000000001</v>
      </c>
      <c r="K1826" t="s">
        <v>19</v>
      </c>
      <c r="L1826" t="b">
        <v>0</v>
      </c>
    </row>
    <row r="1827" spans="1:13" ht="17" x14ac:dyDescent="0.2">
      <c r="A1827" t="s">
        <v>2233</v>
      </c>
      <c r="B1827" t="s">
        <v>970</v>
      </c>
      <c r="C1827" t="s">
        <v>350</v>
      </c>
      <c r="D1827" s="1">
        <v>45497</v>
      </c>
      <c r="E1827" s="6" t="s">
        <v>23</v>
      </c>
      <c r="F1827" t="s">
        <v>17</v>
      </c>
      <c r="G1827" s="3" t="s">
        <v>18</v>
      </c>
      <c r="H1827">
        <v>4.3</v>
      </c>
      <c r="I1827">
        <v>69.760000000000005</v>
      </c>
      <c r="J1827">
        <v>299.95999999999998</v>
      </c>
      <c r="K1827" t="s">
        <v>19</v>
      </c>
      <c r="L1827" t="b">
        <v>0</v>
      </c>
    </row>
    <row r="1828" spans="1:13" ht="34" x14ac:dyDescent="0.2">
      <c r="A1828" t="s">
        <v>2234</v>
      </c>
      <c r="B1828" t="s">
        <v>252</v>
      </c>
      <c r="C1828" t="s">
        <v>194</v>
      </c>
      <c r="D1828" s="1">
        <v>44940</v>
      </c>
      <c r="E1828" s="6" t="s">
        <v>16</v>
      </c>
      <c r="F1828" t="s">
        <v>61</v>
      </c>
      <c r="G1828" s="3" t="s">
        <v>62</v>
      </c>
      <c r="H1828">
        <v>2.2000000000000002</v>
      </c>
      <c r="I1828">
        <v>40.04</v>
      </c>
      <c r="J1828">
        <v>88.08</v>
      </c>
      <c r="K1828" t="s">
        <v>113</v>
      </c>
      <c r="L1828" t="b">
        <v>0</v>
      </c>
    </row>
    <row r="1829" spans="1:13" ht="68" x14ac:dyDescent="0.2">
      <c r="A1829" t="s">
        <v>2235</v>
      </c>
      <c r="B1829" t="s">
        <v>1008</v>
      </c>
      <c r="C1829" t="s">
        <v>186</v>
      </c>
      <c r="D1829" s="1">
        <v>45572</v>
      </c>
      <c r="E1829" s="6" t="s">
        <v>60</v>
      </c>
      <c r="F1829" t="s">
        <v>50</v>
      </c>
      <c r="G1829" s="3" t="s">
        <v>51</v>
      </c>
      <c r="H1829">
        <v>35.799999999999997</v>
      </c>
      <c r="I1829">
        <v>69.92</v>
      </c>
      <c r="J1829">
        <v>2500</v>
      </c>
      <c r="K1829" t="s">
        <v>82</v>
      </c>
      <c r="L1829" t="b">
        <v>1</v>
      </c>
      <c r="M1829" s="3" t="s">
        <v>40</v>
      </c>
    </row>
    <row r="1830" spans="1:13" ht="17" x14ac:dyDescent="0.2">
      <c r="A1830" t="s">
        <v>2236</v>
      </c>
      <c r="B1830" t="s">
        <v>369</v>
      </c>
      <c r="C1830" t="s">
        <v>343</v>
      </c>
      <c r="D1830" s="1">
        <v>45213</v>
      </c>
      <c r="E1830" s="6" t="s">
        <v>23</v>
      </c>
      <c r="F1830" t="s">
        <v>17</v>
      </c>
      <c r="G1830" s="3" t="s">
        <v>18</v>
      </c>
      <c r="H1830">
        <v>2.4</v>
      </c>
      <c r="I1830">
        <v>57.91</v>
      </c>
      <c r="J1830">
        <v>138.97</v>
      </c>
      <c r="K1830" t="s">
        <v>82</v>
      </c>
      <c r="L1830" t="b">
        <v>0</v>
      </c>
    </row>
    <row r="1831" spans="1:13" ht="34" x14ac:dyDescent="0.2">
      <c r="A1831" t="s">
        <v>2237</v>
      </c>
      <c r="B1831" t="s">
        <v>231</v>
      </c>
      <c r="C1831" t="s">
        <v>196</v>
      </c>
      <c r="D1831" s="1">
        <v>45375</v>
      </c>
      <c r="E1831" s="6" t="s">
        <v>23</v>
      </c>
      <c r="F1831" t="s">
        <v>17</v>
      </c>
      <c r="G1831" s="3" t="s">
        <v>18</v>
      </c>
      <c r="H1831">
        <v>26.9</v>
      </c>
      <c r="I1831">
        <v>74.23</v>
      </c>
      <c r="J1831">
        <v>2000</v>
      </c>
      <c r="K1831" t="s">
        <v>19</v>
      </c>
      <c r="L1831" t="b">
        <v>1</v>
      </c>
      <c r="M1831" s="3" t="s">
        <v>40</v>
      </c>
    </row>
    <row r="1832" spans="1:13" ht="68" x14ac:dyDescent="0.2">
      <c r="A1832" t="s">
        <v>2238</v>
      </c>
      <c r="B1832" t="s">
        <v>327</v>
      </c>
      <c r="C1832" t="s">
        <v>266</v>
      </c>
      <c r="D1832" s="1">
        <v>45637</v>
      </c>
      <c r="E1832" s="6" t="s">
        <v>23</v>
      </c>
      <c r="F1832" t="s">
        <v>50</v>
      </c>
      <c r="G1832" s="3" t="s">
        <v>51</v>
      </c>
      <c r="H1832">
        <v>7</v>
      </c>
      <c r="I1832">
        <v>61.42</v>
      </c>
      <c r="J1832">
        <v>429.94</v>
      </c>
      <c r="K1832" t="s">
        <v>105</v>
      </c>
      <c r="L1832" t="b">
        <v>0</v>
      </c>
    </row>
    <row r="1833" spans="1:13" ht="34" x14ac:dyDescent="0.2">
      <c r="A1833" t="s">
        <v>2239</v>
      </c>
      <c r="B1833" t="s">
        <v>1179</v>
      </c>
      <c r="C1833" t="s">
        <v>119</v>
      </c>
      <c r="D1833" s="1">
        <v>45031</v>
      </c>
      <c r="E1833" s="6" t="s">
        <v>23</v>
      </c>
      <c r="F1833" t="s">
        <v>45</v>
      </c>
      <c r="G1833" s="3" t="s">
        <v>46</v>
      </c>
      <c r="H1833">
        <v>2.7</v>
      </c>
      <c r="I1833">
        <v>69.489999999999995</v>
      </c>
      <c r="J1833">
        <v>187.61</v>
      </c>
      <c r="K1833" t="s">
        <v>32</v>
      </c>
      <c r="L1833" t="b">
        <v>0</v>
      </c>
    </row>
    <row r="1834" spans="1:13" ht="34" x14ac:dyDescent="0.2">
      <c r="A1834" t="s">
        <v>2240</v>
      </c>
      <c r="B1834" t="s">
        <v>525</v>
      </c>
      <c r="C1834" t="s">
        <v>186</v>
      </c>
      <c r="D1834" s="1">
        <v>45612</v>
      </c>
      <c r="E1834" s="6" t="s">
        <v>78</v>
      </c>
      <c r="F1834" t="s">
        <v>90</v>
      </c>
      <c r="G1834" s="3" t="s">
        <v>91</v>
      </c>
      <c r="H1834">
        <v>6</v>
      </c>
      <c r="I1834">
        <v>25.67</v>
      </c>
      <c r="J1834">
        <v>154.04</v>
      </c>
      <c r="K1834" t="s">
        <v>32</v>
      </c>
      <c r="L1834" t="b">
        <v>0</v>
      </c>
    </row>
    <row r="1835" spans="1:13" ht="68" x14ac:dyDescent="0.2">
      <c r="A1835" t="s">
        <v>2241</v>
      </c>
      <c r="B1835" t="s">
        <v>104</v>
      </c>
      <c r="C1835" t="s">
        <v>274</v>
      </c>
      <c r="D1835" s="1">
        <v>44936</v>
      </c>
      <c r="E1835" s="6" t="s">
        <v>16</v>
      </c>
      <c r="F1835" t="s">
        <v>50</v>
      </c>
      <c r="G1835" s="3" t="s">
        <v>51</v>
      </c>
      <c r="H1835">
        <v>4.5999999999999996</v>
      </c>
      <c r="I1835">
        <v>35.68</v>
      </c>
      <c r="J1835">
        <v>164.11</v>
      </c>
      <c r="K1835" t="s">
        <v>105</v>
      </c>
      <c r="L1835" t="b">
        <v>0</v>
      </c>
    </row>
    <row r="1836" spans="1:13" ht="34" x14ac:dyDescent="0.2">
      <c r="A1836" t="s">
        <v>2242</v>
      </c>
      <c r="B1836" t="s">
        <v>58</v>
      </c>
      <c r="C1836" t="s">
        <v>59</v>
      </c>
      <c r="D1836" s="1">
        <v>45323</v>
      </c>
      <c r="E1836" s="6" t="s">
        <v>60</v>
      </c>
      <c r="F1836" t="s">
        <v>24</v>
      </c>
      <c r="G1836" s="3" t="s">
        <v>25</v>
      </c>
      <c r="H1836">
        <v>7.4</v>
      </c>
      <c r="I1836">
        <v>56.94</v>
      </c>
      <c r="J1836">
        <v>421.34</v>
      </c>
      <c r="K1836" t="s">
        <v>26</v>
      </c>
      <c r="L1836" t="b">
        <v>0</v>
      </c>
    </row>
    <row r="1837" spans="1:13" ht="34" x14ac:dyDescent="0.2">
      <c r="A1837" t="s">
        <v>2243</v>
      </c>
      <c r="B1837" t="s">
        <v>586</v>
      </c>
      <c r="C1837" t="s">
        <v>183</v>
      </c>
      <c r="D1837" s="1">
        <v>45392</v>
      </c>
      <c r="E1837" s="6" t="s">
        <v>16</v>
      </c>
      <c r="F1837" t="s">
        <v>24</v>
      </c>
      <c r="G1837" s="3" t="s">
        <v>25</v>
      </c>
      <c r="H1837">
        <v>7</v>
      </c>
      <c r="I1837">
        <v>73.69</v>
      </c>
      <c r="J1837">
        <v>515.83000000000004</v>
      </c>
      <c r="K1837" t="s">
        <v>19</v>
      </c>
      <c r="L1837" t="b">
        <v>0</v>
      </c>
    </row>
    <row r="1838" spans="1:13" ht="34" x14ac:dyDescent="0.2">
      <c r="A1838" t="s">
        <v>2244</v>
      </c>
      <c r="B1838" t="s">
        <v>460</v>
      </c>
      <c r="C1838" t="s">
        <v>391</v>
      </c>
      <c r="D1838" s="1">
        <v>38353</v>
      </c>
      <c r="E1838" s="6" t="s">
        <v>44</v>
      </c>
      <c r="F1838" t="s">
        <v>90</v>
      </c>
      <c r="G1838" s="3" t="s">
        <v>91</v>
      </c>
      <c r="H1838">
        <v>4.3</v>
      </c>
      <c r="I1838">
        <v>43.5</v>
      </c>
      <c r="J1838">
        <v>187.05</v>
      </c>
      <c r="K1838" t="s">
        <v>19</v>
      </c>
      <c r="L1838" t="b">
        <v>1</v>
      </c>
      <c r="M1838" s="3" t="s">
        <v>99</v>
      </c>
    </row>
    <row r="1839" spans="1:13" ht="34" x14ac:dyDescent="0.2">
      <c r="A1839" t="s">
        <v>2245</v>
      </c>
      <c r="B1839" t="s">
        <v>278</v>
      </c>
      <c r="C1839" t="s">
        <v>145</v>
      </c>
      <c r="D1839" s="1">
        <v>45005</v>
      </c>
      <c r="E1839" s="6" t="s">
        <v>23</v>
      </c>
      <c r="F1839" t="s">
        <v>24</v>
      </c>
      <c r="G1839" s="3" t="s">
        <v>25</v>
      </c>
      <c r="H1839">
        <v>2.2999999999999998</v>
      </c>
      <c r="I1839">
        <v>47.64</v>
      </c>
      <c r="J1839">
        <v>109.58</v>
      </c>
      <c r="K1839" t="s">
        <v>32</v>
      </c>
      <c r="L1839" t="b">
        <v>0</v>
      </c>
    </row>
    <row r="1840" spans="1:13" ht="17" x14ac:dyDescent="0.2">
      <c r="A1840" t="s">
        <v>2246</v>
      </c>
      <c r="B1840" t="s">
        <v>442</v>
      </c>
      <c r="C1840" t="s">
        <v>499</v>
      </c>
      <c r="D1840" s="1">
        <v>44929</v>
      </c>
      <c r="E1840" s="6" t="s">
        <v>44</v>
      </c>
      <c r="F1840" t="s">
        <v>30</v>
      </c>
      <c r="G1840" s="3" t="s">
        <v>31</v>
      </c>
      <c r="H1840">
        <v>4.2</v>
      </c>
      <c r="I1840">
        <v>39.31</v>
      </c>
      <c r="J1840">
        <v>165.11</v>
      </c>
      <c r="K1840" t="s">
        <v>56</v>
      </c>
      <c r="L1840" t="b">
        <v>0</v>
      </c>
    </row>
    <row r="1841" spans="1:13" ht="34" x14ac:dyDescent="0.2">
      <c r="A1841" t="s">
        <v>2247</v>
      </c>
      <c r="B1841" t="s">
        <v>863</v>
      </c>
      <c r="C1841" t="s">
        <v>145</v>
      </c>
      <c r="D1841" s="1">
        <v>45360</v>
      </c>
      <c r="E1841" s="6" t="s">
        <v>78</v>
      </c>
      <c r="F1841" t="s">
        <v>24</v>
      </c>
      <c r="G1841" s="3" t="s">
        <v>25</v>
      </c>
      <c r="H1841">
        <v>4.5</v>
      </c>
      <c r="I1841">
        <v>84.36</v>
      </c>
      <c r="J1841">
        <v>379.61</v>
      </c>
      <c r="K1841" t="s">
        <v>36</v>
      </c>
      <c r="L1841" t="b">
        <v>0</v>
      </c>
    </row>
    <row r="1842" spans="1:13" ht="34" x14ac:dyDescent="0.2">
      <c r="A1842" t="s">
        <v>2248</v>
      </c>
      <c r="B1842" t="s">
        <v>502</v>
      </c>
      <c r="C1842" t="s">
        <v>380</v>
      </c>
      <c r="D1842" s="1">
        <v>45033</v>
      </c>
      <c r="E1842" s="6" t="s">
        <v>44</v>
      </c>
      <c r="F1842" t="s">
        <v>30</v>
      </c>
      <c r="G1842" s="3" t="s">
        <v>31</v>
      </c>
      <c r="H1842">
        <v>34.700000000000003</v>
      </c>
      <c r="I1842">
        <v>28.79</v>
      </c>
      <c r="J1842">
        <v>1000</v>
      </c>
      <c r="K1842" t="s">
        <v>96</v>
      </c>
      <c r="L1842" t="b">
        <v>1</v>
      </c>
      <c r="M1842" s="3" t="s">
        <v>40</v>
      </c>
    </row>
    <row r="1843" spans="1:13" ht="68" x14ac:dyDescent="0.2">
      <c r="A1843" t="s">
        <v>2249</v>
      </c>
      <c r="B1843" t="s">
        <v>290</v>
      </c>
      <c r="C1843" t="s">
        <v>159</v>
      </c>
      <c r="D1843" s="1">
        <v>45122</v>
      </c>
      <c r="E1843" s="6" t="s">
        <v>89</v>
      </c>
      <c r="F1843" t="s">
        <v>50</v>
      </c>
      <c r="G1843" s="3" t="s">
        <v>51</v>
      </c>
      <c r="H1843">
        <v>6.3</v>
      </c>
      <c r="I1843">
        <v>27.64</v>
      </c>
      <c r="J1843">
        <v>174.14</v>
      </c>
      <c r="K1843" t="s">
        <v>92</v>
      </c>
      <c r="L1843" t="b">
        <v>0</v>
      </c>
    </row>
    <row r="1844" spans="1:13" ht="34" x14ac:dyDescent="0.2">
      <c r="A1844" t="s">
        <v>2250</v>
      </c>
      <c r="B1844" t="s">
        <v>107</v>
      </c>
      <c r="C1844" t="s">
        <v>122</v>
      </c>
      <c r="D1844" s="1">
        <v>45613</v>
      </c>
      <c r="E1844" s="6" t="s">
        <v>16</v>
      </c>
      <c r="F1844" t="s">
        <v>90</v>
      </c>
      <c r="G1844" s="3" t="s">
        <v>91</v>
      </c>
      <c r="H1844">
        <v>6.9</v>
      </c>
      <c r="I1844">
        <v>44.36</v>
      </c>
      <c r="J1844">
        <v>306.08999999999997</v>
      </c>
      <c r="K1844" t="s">
        <v>92</v>
      </c>
      <c r="L1844" t="b">
        <v>0</v>
      </c>
    </row>
    <row r="1845" spans="1:13" ht="17" x14ac:dyDescent="0.2">
      <c r="A1845" t="s">
        <v>2251</v>
      </c>
      <c r="B1845" t="s">
        <v>278</v>
      </c>
      <c r="C1845" t="s">
        <v>350</v>
      </c>
      <c r="D1845" s="1">
        <v>45517</v>
      </c>
      <c r="E1845" s="6" t="s">
        <v>60</v>
      </c>
      <c r="F1845" t="s">
        <v>30</v>
      </c>
      <c r="G1845" s="3" t="s">
        <v>31</v>
      </c>
      <c r="H1845">
        <v>5.7</v>
      </c>
      <c r="I1845">
        <v>81.06</v>
      </c>
      <c r="J1845">
        <v>462.04</v>
      </c>
      <c r="K1845" t="s">
        <v>32</v>
      </c>
      <c r="L1845" t="b">
        <v>0</v>
      </c>
    </row>
    <row r="1846" spans="1:13" ht="34" x14ac:dyDescent="0.2">
      <c r="A1846" t="s">
        <v>2252</v>
      </c>
      <c r="B1846" t="s">
        <v>352</v>
      </c>
      <c r="C1846" t="s">
        <v>95</v>
      </c>
      <c r="D1846" s="1">
        <v>45508</v>
      </c>
      <c r="E1846" s="6" t="s">
        <v>78</v>
      </c>
      <c r="F1846" t="s">
        <v>61</v>
      </c>
      <c r="G1846" s="3" t="s">
        <v>62</v>
      </c>
      <c r="H1846">
        <v>2.7</v>
      </c>
      <c r="I1846">
        <v>37.83</v>
      </c>
      <c r="J1846">
        <v>102.13</v>
      </c>
      <c r="K1846" t="s">
        <v>56</v>
      </c>
      <c r="L1846" t="b">
        <v>0</v>
      </c>
    </row>
    <row r="1847" spans="1:13" ht="34" x14ac:dyDescent="0.2">
      <c r="A1847" t="s">
        <v>2253</v>
      </c>
      <c r="B1847" t="s">
        <v>42</v>
      </c>
      <c r="C1847" t="s">
        <v>353</v>
      </c>
      <c r="D1847" s="1">
        <v>45590</v>
      </c>
      <c r="E1847" s="6" t="s">
        <v>78</v>
      </c>
      <c r="F1847" t="s">
        <v>54</v>
      </c>
      <c r="G1847" s="3" t="s">
        <v>55</v>
      </c>
      <c r="H1847">
        <v>3</v>
      </c>
      <c r="I1847">
        <v>49.13</v>
      </c>
      <c r="J1847">
        <v>147.38999999999999</v>
      </c>
      <c r="K1847" t="s">
        <v>19</v>
      </c>
      <c r="L1847" t="b">
        <v>0</v>
      </c>
    </row>
    <row r="1848" spans="1:13" ht="34" x14ac:dyDescent="0.2">
      <c r="A1848" t="s">
        <v>2254</v>
      </c>
      <c r="B1848" t="s">
        <v>695</v>
      </c>
      <c r="C1848" t="s">
        <v>219</v>
      </c>
      <c r="D1848" s="1">
        <v>45385</v>
      </c>
      <c r="E1848" s="6" t="s">
        <v>44</v>
      </c>
      <c r="F1848" t="s">
        <v>24</v>
      </c>
      <c r="G1848" s="3" t="s">
        <v>25</v>
      </c>
      <c r="H1848">
        <v>4.3</v>
      </c>
      <c r="I1848">
        <v>52.53</v>
      </c>
      <c r="J1848">
        <v>225.86</v>
      </c>
      <c r="K1848" t="s">
        <v>26</v>
      </c>
      <c r="L1848" t="b">
        <v>0</v>
      </c>
    </row>
    <row r="1849" spans="1:13" ht="34" x14ac:dyDescent="0.2">
      <c r="A1849" t="s">
        <v>2255</v>
      </c>
      <c r="B1849" t="s">
        <v>302</v>
      </c>
      <c r="C1849" t="s">
        <v>207</v>
      </c>
      <c r="D1849" s="1">
        <v>45538</v>
      </c>
      <c r="E1849" s="6" t="s">
        <v>44</v>
      </c>
      <c r="F1849" t="s">
        <v>45</v>
      </c>
      <c r="G1849" s="3" t="s">
        <v>46</v>
      </c>
      <c r="H1849">
        <v>5.9</v>
      </c>
      <c r="I1849">
        <v>47.14</v>
      </c>
      <c r="J1849">
        <v>278.12</v>
      </c>
      <c r="K1849" t="s">
        <v>96</v>
      </c>
      <c r="L1849" t="b">
        <v>0</v>
      </c>
    </row>
    <row r="1850" spans="1:13" ht="17" x14ac:dyDescent="0.2">
      <c r="A1850" t="s">
        <v>2256</v>
      </c>
      <c r="B1850" t="s">
        <v>14</v>
      </c>
      <c r="C1850" t="s">
        <v>85</v>
      </c>
      <c r="D1850" s="1">
        <v>45171</v>
      </c>
      <c r="E1850" s="6" t="s">
        <v>60</v>
      </c>
      <c r="F1850" t="s">
        <v>30</v>
      </c>
      <c r="G1850" s="3" t="s">
        <v>31</v>
      </c>
      <c r="H1850">
        <v>4.5</v>
      </c>
      <c r="I1850">
        <v>71.05</v>
      </c>
      <c r="J1850">
        <v>319.74</v>
      </c>
      <c r="K1850" t="s">
        <v>19</v>
      </c>
      <c r="L1850" t="b">
        <v>0</v>
      </c>
    </row>
    <row r="1851" spans="1:13" ht="34" x14ac:dyDescent="0.2">
      <c r="A1851" t="s">
        <v>2257</v>
      </c>
      <c r="B1851" t="s">
        <v>404</v>
      </c>
      <c r="C1851" t="s">
        <v>43</v>
      </c>
      <c r="D1851" s="1">
        <v>45411</v>
      </c>
      <c r="E1851" s="6" t="s">
        <v>89</v>
      </c>
      <c r="F1851" t="s">
        <v>90</v>
      </c>
      <c r="G1851" s="3" t="s">
        <v>91</v>
      </c>
      <c r="H1851">
        <v>6.3</v>
      </c>
      <c r="I1851">
        <v>72.48</v>
      </c>
      <c r="J1851">
        <v>456.6</v>
      </c>
      <c r="K1851" t="s">
        <v>92</v>
      </c>
      <c r="L1851" t="b">
        <v>0</v>
      </c>
    </row>
    <row r="1852" spans="1:13" ht="68" x14ac:dyDescent="0.2">
      <c r="A1852" t="s">
        <v>2258</v>
      </c>
      <c r="B1852" t="s">
        <v>64</v>
      </c>
      <c r="C1852" t="s">
        <v>39</v>
      </c>
      <c r="D1852" s="1">
        <v>45041</v>
      </c>
      <c r="E1852" s="6" t="s">
        <v>78</v>
      </c>
      <c r="F1852" t="s">
        <v>50</v>
      </c>
      <c r="G1852" s="3" t="s">
        <v>51</v>
      </c>
      <c r="H1852">
        <v>16.3</v>
      </c>
      <c r="I1852">
        <v>30.68</v>
      </c>
      <c r="J1852">
        <v>500</v>
      </c>
      <c r="K1852" t="s">
        <v>32</v>
      </c>
      <c r="L1852" t="b">
        <v>1</v>
      </c>
      <c r="M1852" s="3" t="s">
        <v>40</v>
      </c>
    </row>
    <row r="1853" spans="1:13" ht="34" x14ac:dyDescent="0.2">
      <c r="A1853" t="s">
        <v>2259</v>
      </c>
      <c r="B1853" t="s">
        <v>216</v>
      </c>
      <c r="C1853" t="s">
        <v>343</v>
      </c>
      <c r="D1853" s="1">
        <v>44997</v>
      </c>
      <c r="E1853" s="6" t="s">
        <v>16</v>
      </c>
      <c r="F1853" t="s">
        <v>61</v>
      </c>
      <c r="G1853" s="3" t="s">
        <v>62</v>
      </c>
      <c r="H1853">
        <v>6.1</v>
      </c>
      <c r="I1853">
        <v>83.34</v>
      </c>
      <c r="J1853">
        <v>508.39</v>
      </c>
      <c r="K1853" t="s">
        <v>92</v>
      </c>
      <c r="L1853" t="b">
        <v>0</v>
      </c>
    </row>
    <row r="1854" spans="1:13" ht="68" x14ac:dyDescent="0.2">
      <c r="A1854" t="s">
        <v>2260</v>
      </c>
      <c r="B1854" t="s">
        <v>338</v>
      </c>
      <c r="C1854" t="s">
        <v>280</v>
      </c>
      <c r="D1854" s="1">
        <v>45333</v>
      </c>
      <c r="E1854" s="6" t="s">
        <v>16</v>
      </c>
      <c r="F1854" t="s">
        <v>50</v>
      </c>
      <c r="G1854" s="3" t="s">
        <v>51</v>
      </c>
      <c r="H1854">
        <v>4</v>
      </c>
      <c r="I1854">
        <v>63.12</v>
      </c>
      <c r="J1854">
        <v>252.48</v>
      </c>
      <c r="K1854" t="s">
        <v>92</v>
      </c>
      <c r="L1854" t="b">
        <v>0</v>
      </c>
    </row>
    <row r="1855" spans="1:13" ht="34" x14ac:dyDescent="0.2">
      <c r="A1855" t="s">
        <v>2261</v>
      </c>
      <c r="B1855" t="s">
        <v>549</v>
      </c>
      <c r="C1855" t="s">
        <v>59</v>
      </c>
      <c r="D1855" s="1">
        <v>45612</v>
      </c>
      <c r="E1855" s="6" t="s">
        <v>44</v>
      </c>
      <c r="F1855" t="s">
        <v>54</v>
      </c>
      <c r="G1855" s="3" t="s">
        <v>55</v>
      </c>
      <c r="H1855">
        <v>7.9</v>
      </c>
      <c r="I1855">
        <v>64.98</v>
      </c>
      <c r="J1855">
        <v>513.36</v>
      </c>
      <c r="K1855" t="s">
        <v>36</v>
      </c>
      <c r="L1855" t="b">
        <v>0</v>
      </c>
    </row>
    <row r="1856" spans="1:13" ht="34" x14ac:dyDescent="0.2">
      <c r="A1856" t="s">
        <v>2262</v>
      </c>
      <c r="B1856" t="s">
        <v>1075</v>
      </c>
      <c r="C1856" t="s">
        <v>207</v>
      </c>
      <c r="D1856" s="1">
        <v>45132</v>
      </c>
      <c r="E1856" s="6" t="s">
        <v>60</v>
      </c>
      <c r="F1856" t="s">
        <v>54</v>
      </c>
      <c r="G1856" s="3" t="s">
        <v>55</v>
      </c>
      <c r="H1856">
        <v>2.1</v>
      </c>
      <c r="I1856">
        <v>79.73</v>
      </c>
      <c r="J1856">
        <v>167.43</v>
      </c>
      <c r="K1856" t="s">
        <v>92</v>
      </c>
      <c r="L1856" t="b">
        <v>0</v>
      </c>
    </row>
    <row r="1857" spans="1:13" ht="34" x14ac:dyDescent="0.2">
      <c r="A1857" t="s">
        <v>2263</v>
      </c>
      <c r="B1857" t="s">
        <v>602</v>
      </c>
      <c r="C1857" t="s">
        <v>59</v>
      </c>
      <c r="D1857" s="1">
        <v>45313</v>
      </c>
      <c r="E1857" s="6" t="s">
        <v>89</v>
      </c>
      <c r="F1857" t="s">
        <v>61</v>
      </c>
      <c r="G1857" s="3" t="s">
        <v>62</v>
      </c>
      <c r="H1857">
        <v>5.0999999999999996</v>
      </c>
      <c r="I1857">
        <v>69.510000000000005</v>
      </c>
      <c r="J1857">
        <v>354.5</v>
      </c>
      <c r="K1857" t="s">
        <v>56</v>
      </c>
      <c r="L1857" t="b">
        <v>0</v>
      </c>
    </row>
    <row r="1858" spans="1:13" ht="34" x14ac:dyDescent="0.2">
      <c r="A1858" t="s">
        <v>2264</v>
      </c>
      <c r="B1858" t="s">
        <v>884</v>
      </c>
      <c r="C1858" t="s">
        <v>43</v>
      </c>
      <c r="D1858" s="1">
        <v>45228</v>
      </c>
      <c r="E1858" s="6" t="s">
        <v>44</v>
      </c>
      <c r="F1858" t="s">
        <v>24</v>
      </c>
      <c r="G1858" s="3" t="s">
        <v>25</v>
      </c>
      <c r="H1858">
        <v>3.4</v>
      </c>
      <c r="I1858">
        <v>61.98</v>
      </c>
      <c r="J1858">
        <v>210.74</v>
      </c>
      <c r="K1858" t="s">
        <v>96</v>
      </c>
      <c r="L1858" t="b">
        <v>0</v>
      </c>
    </row>
    <row r="1859" spans="1:13" ht="34" x14ac:dyDescent="0.2">
      <c r="A1859" t="s">
        <v>2265</v>
      </c>
      <c r="B1859" t="s">
        <v>452</v>
      </c>
      <c r="C1859" t="s">
        <v>194</v>
      </c>
      <c r="D1859" s="1">
        <v>45290</v>
      </c>
      <c r="E1859" s="6" t="s">
        <v>23</v>
      </c>
      <c r="F1859" t="s">
        <v>45</v>
      </c>
      <c r="G1859" s="3" t="s">
        <v>46</v>
      </c>
      <c r="H1859">
        <v>3.4</v>
      </c>
      <c r="I1859">
        <v>50.71</v>
      </c>
      <c r="J1859">
        <v>172.41</v>
      </c>
      <c r="K1859" t="s">
        <v>82</v>
      </c>
      <c r="L1859" t="b">
        <v>0</v>
      </c>
    </row>
    <row r="1860" spans="1:13" ht="34" x14ac:dyDescent="0.2">
      <c r="A1860" t="s">
        <v>2266</v>
      </c>
      <c r="B1860" t="s">
        <v>819</v>
      </c>
      <c r="C1860" t="s">
        <v>293</v>
      </c>
      <c r="D1860" s="1">
        <v>45422</v>
      </c>
      <c r="E1860" s="6" t="s">
        <v>78</v>
      </c>
      <c r="F1860" t="s">
        <v>90</v>
      </c>
      <c r="G1860" s="3" t="s">
        <v>91</v>
      </c>
      <c r="H1860">
        <v>2.4</v>
      </c>
      <c r="I1860">
        <v>47.47</v>
      </c>
      <c r="J1860">
        <v>113.93</v>
      </c>
      <c r="K1860" t="s">
        <v>105</v>
      </c>
      <c r="L1860" t="b">
        <v>0</v>
      </c>
    </row>
    <row r="1861" spans="1:13" ht="17" x14ac:dyDescent="0.2">
      <c r="A1861" t="s">
        <v>2267</v>
      </c>
      <c r="B1861" t="s">
        <v>334</v>
      </c>
      <c r="C1861" t="s">
        <v>35</v>
      </c>
      <c r="D1861" s="1">
        <v>45023</v>
      </c>
      <c r="E1861" s="6" t="s">
        <v>44</v>
      </c>
      <c r="F1861" t="s">
        <v>30</v>
      </c>
      <c r="G1861" s="3" t="s">
        <v>31</v>
      </c>
      <c r="H1861">
        <v>2.9</v>
      </c>
      <c r="I1861">
        <v>37.26</v>
      </c>
      <c r="J1861">
        <v>108.06</v>
      </c>
      <c r="K1861" t="s">
        <v>113</v>
      </c>
      <c r="L1861" t="b">
        <v>0</v>
      </c>
    </row>
    <row r="1862" spans="1:13" ht="17" x14ac:dyDescent="0.2">
      <c r="A1862" t="s">
        <v>2268</v>
      </c>
      <c r="B1862" t="s">
        <v>1638</v>
      </c>
      <c r="C1862" t="s">
        <v>156</v>
      </c>
      <c r="D1862" s="1">
        <v>45443</v>
      </c>
      <c r="E1862" s="6" t="s">
        <v>60</v>
      </c>
      <c r="F1862" t="s">
        <v>30</v>
      </c>
      <c r="G1862" s="3" t="s">
        <v>31</v>
      </c>
      <c r="H1862">
        <v>7.5</v>
      </c>
      <c r="I1862">
        <v>60.88</v>
      </c>
      <c r="J1862">
        <v>456.63</v>
      </c>
      <c r="K1862" t="s">
        <v>113</v>
      </c>
      <c r="L1862" t="b">
        <v>0</v>
      </c>
    </row>
    <row r="1863" spans="1:13" ht="34" x14ac:dyDescent="0.2">
      <c r="A1863" t="s">
        <v>2269</v>
      </c>
      <c r="B1863" t="s">
        <v>525</v>
      </c>
      <c r="C1863" t="s">
        <v>350</v>
      </c>
      <c r="D1863" s="1">
        <v>45114</v>
      </c>
      <c r="E1863" s="6" t="s">
        <v>44</v>
      </c>
      <c r="F1863" t="s">
        <v>54</v>
      </c>
      <c r="G1863" s="3" t="s">
        <v>55</v>
      </c>
      <c r="H1863">
        <v>2.8</v>
      </c>
      <c r="I1863">
        <v>44.05</v>
      </c>
      <c r="J1863">
        <v>123.35</v>
      </c>
      <c r="K1863" t="s">
        <v>32</v>
      </c>
      <c r="L1863" t="b">
        <v>0</v>
      </c>
    </row>
    <row r="1864" spans="1:13" ht="34" x14ac:dyDescent="0.2">
      <c r="A1864" t="s">
        <v>2270</v>
      </c>
      <c r="B1864" t="s">
        <v>129</v>
      </c>
      <c r="C1864" t="s">
        <v>68</v>
      </c>
      <c r="D1864" s="1">
        <v>45474</v>
      </c>
      <c r="E1864" s="6" t="s">
        <v>44</v>
      </c>
      <c r="F1864" t="s">
        <v>61</v>
      </c>
      <c r="G1864" s="3" t="s">
        <v>62</v>
      </c>
      <c r="H1864">
        <v>5.9</v>
      </c>
      <c r="I1864">
        <v>42.31</v>
      </c>
      <c r="J1864">
        <v>249.61</v>
      </c>
      <c r="K1864" t="s">
        <v>32</v>
      </c>
      <c r="L1864" t="b">
        <v>1</v>
      </c>
      <c r="M1864" s="3" t="s">
        <v>102</v>
      </c>
    </row>
    <row r="1865" spans="1:13" ht="17" x14ac:dyDescent="0.2">
      <c r="A1865" t="s">
        <v>2271</v>
      </c>
      <c r="B1865" t="s">
        <v>470</v>
      </c>
      <c r="C1865" t="s">
        <v>43</v>
      </c>
      <c r="D1865" s="1">
        <v>45333</v>
      </c>
      <c r="E1865" s="6" t="s">
        <v>23</v>
      </c>
      <c r="F1865" t="s">
        <v>30</v>
      </c>
      <c r="G1865" s="3" t="s">
        <v>31</v>
      </c>
      <c r="H1865">
        <v>7.1</v>
      </c>
      <c r="I1865">
        <v>44.88</v>
      </c>
      <c r="J1865">
        <v>318.62</v>
      </c>
      <c r="K1865" t="s">
        <v>19</v>
      </c>
      <c r="L1865" t="b">
        <v>0</v>
      </c>
    </row>
    <row r="1866" spans="1:13" ht="17" x14ac:dyDescent="0.2">
      <c r="A1866" t="s">
        <v>2272</v>
      </c>
      <c r="B1866" t="s">
        <v>28</v>
      </c>
      <c r="C1866" t="s">
        <v>189</v>
      </c>
      <c r="D1866" s="1">
        <v>45578</v>
      </c>
      <c r="E1866" s="6" t="s">
        <v>16</v>
      </c>
      <c r="F1866" t="s">
        <v>30</v>
      </c>
      <c r="G1866" s="3" t="s">
        <v>31</v>
      </c>
      <c r="H1866">
        <v>5.2</v>
      </c>
      <c r="I1866">
        <v>79.400000000000006</v>
      </c>
      <c r="J1866">
        <v>412.87</v>
      </c>
      <c r="K1866" t="s">
        <v>32</v>
      </c>
      <c r="L1866" t="b">
        <v>0</v>
      </c>
    </row>
    <row r="1867" spans="1:13" ht="17" x14ac:dyDescent="0.2">
      <c r="A1867" t="s">
        <v>2273</v>
      </c>
      <c r="B1867" t="s">
        <v>81</v>
      </c>
      <c r="C1867" t="s">
        <v>353</v>
      </c>
      <c r="D1867" s="1">
        <v>45170</v>
      </c>
      <c r="E1867" s="6" t="s">
        <v>23</v>
      </c>
      <c r="F1867" t="s">
        <v>30</v>
      </c>
      <c r="G1867" s="3" t="s">
        <v>31</v>
      </c>
      <c r="H1867">
        <v>23.2</v>
      </c>
      <c r="I1867">
        <v>66.78</v>
      </c>
      <c r="J1867">
        <v>1549.3</v>
      </c>
      <c r="K1867" t="s">
        <v>82</v>
      </c>
      <c r="L1867" t="b">
        <v>1</v>
      </c>
      <c r="M1867" s="3" t="s">
        <v>79</v>
      </c>
    </row>
    <row r="1868" spans="1:13" ht="34" x14ac:dyDescent="0.2">
      <c r="A1868" t="s">
        <v>2274</v>
      </c>
      <c r="B1868" t="s">
        <v>315</v>
      </c>
      <c r="C1868" t="s">
        <v>15</v>
      </c>
      <c r="D1868" s="1">
        <v>45101</v>
      </c>
      <c r="E1868" s="6" t="s">
        <v>16</v>
      </c>
      <c r="F1868" t="s">
        <v>61</v>
      </c>
      <c r="G1868" s="3" t="s">
        <v>62</v>
      </c>
      <c r="H1868">
        <v>5.0999999999999996</v>
      </c>
      <c r="I1868">
        <v>36.01</v>
      </c>
      <c r="J1868">
        <v>183.66</v>
      </c>
      <c r="K1868" t="s">
        <v>36</v>
      </c>
      <c r="L1868" t="b">
        <v>0</v>
      </c>
    </row>
    <row r="1869" spans="1:13" ht="34" x14ac:dyDescent="0.2">
      <c r="A1869" t="s">
        <v>2275</v>
      </c>
      <c r="B1869" t="s">
        <v>728</v>
      </c>
      <c r="C1869" t="s">
        <v>499</v>
      </c>
      <c r="D1869" s="1">
        <v>45337</v>
      </c>
      <c r="E1869" s="6" t="s">
        <v>23</v>
      </c>
      <c r="F1869" t="s">
        <v>24</v>
      </c>
      <c r="G1869" s="3" t="s">
        <v>25</v>
      </c>
      <c r="H1869">
        <v>2.4</v>
      </c>
      <c r="I1869">
        <v>54.5</v>
      </c>
      <c r="J1869">
        <v>130.80000000000001</v>
      </c>
      <c r="K1869" t="s">
        <v>32</v>
      </c>
      <c r="L1869" t="b">
        <v>0</v>
      </c>
    </row>
    <row r="1870" spans="1:13" ht="34" x14ac:dyDescent="0.2">
      <c r="A1870" t="s">
        <v>2276</v>
      </c>
      <c r="B1870" t="s">
        <v>188</v>
      </c>
      <c r="C1870" t="s">
        <v>95</v>
      </c>
      <c r="D1870" s="1">
        <v>45328</v>
      </c>
      <c r="E1870" s="6" t="s">
        <v>23</v>
      </c>
      <c r="F1870" t="s">
        <v>24</v>
      </c>
      <c r="G1870" s="3" t="s">
        <v>25</v>
      </c>
      <c r="H1870">
        <v>5.8</v>
      </c>
      <c r="I1870">
        <v>33.49</v>
      </c>
      <c r="J1870">
        <v>194.25</v>
      </c>
      <c r="K1870" t="s">
        <v>36</v>
      </c>
      <c r="L1870" t="b">
        <v>0</v>
      </c>
    </row>
    <row r="1871" spans="1:13" ht="68" x14ac:dyDescent="0.2">
      <c r="A1871" t="s">
        <v>2277</v>
      </c>
      <c r="B1871" t="s">
        <v>659</v>
      </c>
      <c r="C1871" t="s">
        <v>156</v>
      </c>
      <c r="D1871" s="1">
        <v>45595</v>
      </c>
      <c r="E1871" s="6" t="s">
        <v>23</v>
      </c>
      <c r="F1871" t="s">
        <v>50</v>
      </c>
      <c r="G1871" s="3" t="s">
        <v>51</v>
      </c>
      <c r="H1871">
        <v>2.6</v>
      </c>
      <c r="I1871">
        <v>60.56</v>
      </c>
      <c r="J1871">
        <v>157.44999999999999</v>
      </c>
      <c r="K1871" t="s">
        <v>92</v>
      </c>
      <c r="L1871" t="b">
        <v>0</v>
      </c>
    </row>
    <row r="1872" spans="1:13" ht="34" x14ac:dyDescent="0.2">
      <c r="A1872" t="s">
        <v>2278</v>
      </c>
      <c r="B1872" t="s">
        <v>193</v>
      </c>
      <c r="C1872" t="s">
        <v>365</v>
      </c>
      <c r="D1872" s="1">
        <v>45417</v>
      </c>
      <c r="E1872" s="6" t="s">
        <v>60</v>
      </c>
      <c r="F1872" t="s">
        <v>30</v>
      </c>
      <c r="G1872" s="3" t="s">
        <v>31</v>
      </c>
      <c r="H1872">
        <v>9.9</v>
      </c>
      <c r="I1872">
        <v>50.57</v>
      </c>
      <c r="J1872">
        <v>500</v>
      </c>
      <c r="K1872" t="s">
        <v>113</v>
      </c>
      <c r="L1872" t="b">
        <v>1</v>
      </c>
      <c r="M1872" s="3" t="s">
        <v>40</v>
      </c>
    </row>
    <row r="1873" spans="1:13" ht="34" x14ac:dyDescent="0.2">
      <c r="A1873" t="s">
        <v>2279</v>
      </c>
      <c r="B1873" t="s">
        <v>466</v>
      </c>
      <c r="C1873" t="s">
        <v>280</v>
      </c>
      <c r="D1873" s="1">
        <v>45122</v>
      </c>
      <c r="E1873" s="6" t="s">
        <v>60</v>
      </c>
      <c r="F1873" t="s">
        <v>45</v>
      </c>
      <c r="G1873" s="3" t="s">
        <v>46</v>
      </c>
      <c r="H1873">
        <v>40.700000000000003</v>
      </c>
      <c r="I1873">
        <v>36.85</v>
      </c>
      <c r="J1873">
        <v>1500</v>
      </c>
      <c r="K1873" t="s">
        <v>113</v>
      </c>
      <c r="L1873" t="b">
        <v>1</v>
      </c>
      <c r="M1873" s="3" t="s">
        <v>40</v>
      </c>
    </row>
    <row r="1874" spans="1:13" ht="68" x14ac:dyDescent="0.2">
      <c r="A1874" t="s">
        <v>2280</v>
      </c>
      <c r="B1874" t="s">
        <v>132</v>
      </c>
      <c r="C1874" t="s">
        <v>391</v>
      </c>
      <c r="D1874" s="1">
        <v>45293</v>
      </c>
      <c r="E1874" s="6" t="s">
        <v>89</v>
      </c>
      <c r="F1874" t="s">
        <v>50</v>
      </c>
      <c r="G1874" s="3" t="s">
        <v>51</v>
      </c>
      <c r="H1874">
        <v>5.6</v>
      </c>
      <c r="I1874">
        <v>43.19</v>
      </c>
      <c r="J1874">
        <v>241.84</v>
      </c>
      <c r="K1874" t="s">
        <v>96</v>
      </c>
      <c r="L1874" t="b">
        <v>0</v>
      </c>
    </row>
    <row r="1875" spans="1:13" ht="17" x14ac:dyDescent="0.2">
      <c r="A1875" t="s">
        <v>2281</v>
      </c>
      <c r="B1875" t="s">
        <v>454</v>
      </c>
      <c r="C1875" t="s">
        <v>380</v>
      </c>
      <c r="D1875" s="1">
        <v>45212</v>
      </c>
      <c r="E1875" s="6" t="s">
        <v>60</v>
      </c>
      <c r="F1875" t="s">
        <v>17</v>
      </c>
      <c r="G1875" s="3" t="s">
        <v>18</v>
      </c>
      <c r="H1875">
        <v>7.8</v>
      </c>
      <c r="I1875">
        <v>37.08</v>
      </c>
      <c r="J1875">
        <v>289.26</v>
      </c>
      <c r="K1875" t="s">
        <v>26</v>
      </c>
      <c r="L1875" t="b">
        <v>0</v>
      </c>
    </row>
    <row r="1876" spans="1:13" ht="34" x14ac:dyDescent="0.2">
      <c r="A1876" t="s">
        <v>2282</v>
      </c>
      <c r="B1876" t="s">
        <v>286</v>
      </c>
      <c r="C1876" t="s">
        <v>153</v>
      </c>
      <c r="D1876" s="1">
        <v>45420</v>
      </c>
      <c r="E1876" s="6" t="s">
        <v>60</v>
      </c>
      <c r="F1876" t="s">
        <v>90</v>
      </c>
      <c r="G1876" s="3" t="s">
        <v>91</v>
      </c>
      <c r="H1876">
        <v>7.7</v>
      </c>
      <c r="I1876">
        <v>46.57</v>
      </c>
      <c r="J1876">
        <v>358.63</v>
      </c>
      <c r="K1876" t="s">
        <v>19</v>
      </c>
      <c r="L1876" t="b">
        <v>0</v>
      </c>
    </row>
    <row r="1877" spans="1:13" ht="68" x14ac:dyDescent="0.2">
      <c r="A1877" t="s">
        <v>2283</v>
      </c>
      <c r="B1877" t="s">
        <v>635</v>
      </c>
      <c r="C1877" t="s">
        <v>124</v>
      </c>
      <c r="D1877" s="1">
        <v>45623</v>
      </c>
      <c r="E1877" s="6" t="s">
        <v>89</v>
      </c>
      <c r="F1877" t="s">
        <v>50</v>
      </c>
      <c r="G1877" s="3" t="s">
        <v>51</v>
      </c>
      <c r="H1877">
        <v>4.8</v>
      </c>
      <c r="I1877">
        <v>50.36</v>
      </c>
      <c r="J1877">
        <v>241.74</v>
      </c>
      <c r="K1877" t="s">
        <v>56</v>
      </c>
      <c r="L1877" t="b">
        <v>0</v>
      </c>
    </row>
    <row r="1878" spans="1:13" ht="34" x14ac:dyDescent="0.2">
      <c r="A1878" t="s">
        <v>2284</v>
      </c>
      <c r="B1878" t="s">
        <v>488</v>
      </c>
      <c r="C1878" t="s">
        <v>159</v>
      </c>
      <c r="D1878" s="1">
        <v>44990</v>
      </c>
      <c r="E1878" s="6" t="s">
        <v>60</v>
      </c>
      <c r="F1878" t="s">
        <v>61</v>
      </c>
      <c r="G1878" s="3" t="s">
        <v>62</v>
      </c>
      <c r="H1878">
        <v>6.6</v>
      </c>
      <c r="I1878">
        <v>74.180000000000007</v>
      </c>
      <c r="J1878">
        <v>489.56</v>
      </c>
      <c r="K1878" t="s">
        <v>56</v>
      </c>
      <c r="L1878" t="b">
        <v>0</v>
      </c>
    </row>
    <row r="1879" spans="1:13" ht="34" x14ac:dyDescent="0.2">
      <c r="A1879" t="s">
        <v>2285</v>
      </c>
      <c r="B1879" t="s">
        <v>1638</v>
      </c>
      <c r="C1879" t="s">
        <v>49</v>
      </c>
      <c r="D1879" s="1">
        <v>45349</v>
      </c>
      <c r="E1879" s="6" t="s">
        <v>44</v>
      </c>
      <c r="F1879" t="s">
        <v>24</v>
      </c>
      <c r="G1879" s="3" t="s">
        <v>25</v>
      </c>
      <c r="H1879">
        <v>6.6</v>
      </c>
      <c r="I1879">
        <v>50.64</v>
      </c>
      <c r="J1879">
        <v>334.25</v>
      </c>
      <c r="K1879" t="s">
        <v>113</v>
      </c>
      <c r="L1879" t="b">
        <v>0</v>
      </c>
    </row>
    <row r="1880" spans="1:13" ht="34" x14ac:dyDescent="0.2">
      <c r="A1880" t="s">
        <v>2286</v>
      </c>
      <c r="B1880" t="s">
        <v>695</v>
      </c>
      <c r="C1880" t="s">
        <v>183</v>
      </c>
      <c r="D1880" s="1">
        <v>45265</v>
      </c>
      <c r="E1880" s="6" t="s">
        <v>16</v>
      </c>
      <c r="F1880" t="s">
        <v>45</v>
      </c>
      <c r="G1880" s="3" t="s">
        <v>46</v>
      </c>
      <c r="H1880">
        <v>5.6</v>
      </c>
      <c r="I1880">
        <v>34.17</v>
      </c>
      <c r="J1880">
        <v>191.34</v>
      </c>
      <c r="K1880" t="s">
        <v>26</v>
      </c>
      <c r="L1880" t="b">
        <v>0</v>
      </c>
    </row>
    <row r="1881" spans="1:13" ht="68" x14ac:dyDescent="0.2">
      <c r="A1881" t="s">
        <v>2287</v>
      </c>
      <c r="B1881" t="s">
        <v>1008</v>
      </c>
      <c r="C1881" t="s">
        <v>127</v>
      </c>
      <c r="D1881" s="1">
        <v>45115</v>
      </c>
      <c r="E1881" s="6" t="s">
        <v>60</v>
      </c>
      <c r="F1881" t="s">
        <v>50</v>
      </c>
      <c r="G1881" s="3" t="s">
        <v>51</v>
      </c>
      <c r="H1881">
        <v>3.5</v>
      </c>
      <c r="I1881">
        <v>52.82</v>
      </c>
      <c r="J1881">
        <v>184.87</v>
      </c>
      <c r="K1881" t="s">
        <v>82</v>
      </c>
      <c r="L1881" t="b">
        <v>0</v>
      </c>
    </row>
    <row r="1882" spans="1:13" ht="34" x14ac:dyDescent="0.2">
      <c r="A1882" t="s">
        <v>2288</v>
      </c>
      <c r="B1882" t="s">
        <v>174</v>
      </c>
      <c r="C1882" t="s">
        <v>280</v>
      </c>
      <c r="D1882" s="1">
        <v>45297</v>
      </c>
      <c r="E1882" s="6" t="s">
        <v>44</v>
      </c>
      <c r="F1882" t="s">
        <v>45</v>
      </c>
      <c r="G1882" s="3" t="s">
        <v>46</v>
      </c>
      <c r="H1882">
        <v>18.5</v>
      </c>
      <c r="I1882">
        <v>61.36</v>
      </c>
      <c r="J1882">
        <v>1135.1600000000001</v>
      </c>
      <c r="K1882" t="s">
        <v>113</v>
      </c>
      <c r="L1882" t="b">
        <v>1</v>
      </c>
      <c r="M1882" s="3" t="s">
        <v>79</v>
      </c>
    </row>
    <row r="1883" spans="1:13" ht="34" x14ac:dyDescent="0.2">
      <c r="A1883" t="s">
        <v>2289</v>
      </c>
      <c r="B1883" t="s">
        <v>595</v>
      </c>
      <c r="C1883" t="s">
        <v>323</v>
      </c>
      <c r="D1883" s="1">
        <v>45221</v>
      </c>
      <c r="E1883" s="6" t="s">
        <v>23</v>
      </c>
      <c r="F1883" t="s">
        <v>54</v>
      </c>
      <c r="G1883" s="3" t="s">
        <v>55</v>
      </c>
      <c r="H1883">
        <v>2.8</v>
      </c>
      <c r="I1883">
        <v>53.16</v>
      </c>
      <c r="J1883">
        <v>148.84</v>
      </c>
      <c r="K1883" t="s">
        <v>36</v>
      </c>
      <c r="L1883" t="b">
        <v>0</v>
      </c>
    </row>
    <row r="1884" spans="1:13" ht="17" x14ac:dyDescent="0.2">
      <c r="A1884" t="s">
        <v>2290</v>
      </c>
      <c r="B1884" t="s">
        <v>624</v>
      </c>
      <c r="C1884" t="s">
        <v>219</v>
      </c>
      <c r="D1884" s="1">
        <v>45192</v>
      </c>
      <c r="E1884" s="6" t="s">
        <v>16</v>
      </c>
      <c r="F1884" t="s">
        <v>30</v>
      </c>
      <c r="G1884" s="3" t="s">
        <v>31</v>
      </c>
      <c r="H1884">
        <v>2</v>
      </c>
      <c r="I1884">
        <v>76.7</v>
      </c>
      <c r="J1884">
        <v>153.4</v>
      </c>
      <c r="K1884" t="s">
        <v>19</v>
      </c>
      <c r="L1884" t="b">
        <v>0</v>
      </c>
    </row>
    <row r="1885" spans="1:13" ht="34" x14ac:dyDescent="0.2">
      <c r="A1885" t="s">
        <v>2291</v>
      </c>
      <c r="B1885" t="s">
        <v>685</v>
      </c>
      <c r="C1885" t="s">
        <v>280</v>
      </c>
      <c r="D1885" s="1">
        <v>44967</v>
      </c>
      <c r="E1885" s="6" t="s">
        <v>60</v>
      </c>
      <c r="F1885" t="s">
        <v>54</v>
      </c>
      <c r="G1885" s="3" t="s">
        <v>55</v>
      </c>
      <c r="H1885">
        <v>4.9000000000000004</v>
      </c>
      <c r="I1885">
        <v>80.540000000000006</v>
      </c>
      <c r="J1885">
        <v>394.65</v>
      </c>
      <c r="K1885" t="s">
        <v>92</v>
      </c>
      <c r="L1885" t="b">
        <v>0</v>
      </c>
    </row>
    <row r="1886" spans="1:13" ht="34" x14ac:dyDescent="0.2">
      <c r="A1886" t="s">
        <v>2292</v>
      </c>
      <c r="B1886" t="s">
        <v>28</v>
      </c>
      <c r="C1886" t="s">
        <v>370</v>
      </c>
      <c r="D1886" s="1">
        <v>45294</v>
      </c>
      <c r="E1886" s="6" t="s">
        <v>89</v>
      </c>
      <c r="F1886" t="s">
        <v>54</v>
      </c>
      <c r="G1886" s="3" t="s">
        <v>55</v>
      </c>
      <c r="H1886">
        <v>4.3</v>
      </c>
      <c r="I1886">
        <v>43.47</v>
      </c>
      <c r="J1886">
        <v>186.92</v>
      </c>
      <c r="K1886" t="s">
        <v>32</v>
      </c>
      <c r="L1886" t="b">
        <v>0</v>
      </c>
    </row>
    <row r="1887" spans="1:13" ht="34" x14ac:dyDescent="0.2">
      <c r="A1887" t="s">
        <v>2293</v>
      </c>
      <c r="B1887" t="s">
        <v>132</v>
      </c>
      <c r="C1887" t="s">
        <v>332</v>
      </c>
      <c r="D1887" s="1">
        <v>45464</v>
      </c>
      <c r="E1887" s="6" t="s">
        <v>44</v>
      </c>
      <c r="F1887" t="s">
        <v>90</v>
      </c>
      <c r="G1887" s="3" t="s">
        <v>91</v>
      </c>
      <c r="H1887">
        <v>27.4</v>
      </c>
      <c r="I1887">
        <v>27.33</v>
      </c>
      <c r="J1887">
        <v>750</v>
      </c>
      <c r="K1887" t="s">
        <v>96</v>
      </c>
      <c r="L1887" t="b">
        <v>1</v>
      </c>
      <c r="M1887" s="3" t="s">
        <v>40</v>
      </c>
    </row>
    <row r="1888" spans="1:13" ht="34" x14ac:dyDescent="0.2">
      <c r="A1888" t="s">
        <v>2294</v>
      </c>
      <c r="B1888" t="s">
        <v>64</v>
      </c>
      <c r="C1888" t="s">
        <v>159</v>
      </c>
      <c r="D1888" s="1">
        <v>45057</v>
      </c>
      <c r="E1888" s="6" t="s">
        <v>60</v>
      </c>
      <c r="F1888" t="s">
        <v>61</v>
      </c>
      <c r="G1888" s="3" t="s">
        <v>62</v>
      </c>
      <c r="H1888">
        <v>7.6</v>
      </c>
      <c r="I1888">
        <v>34.74</v>
      </c>
      <c r="J1888">
        <v>264.04000000000002</v>
      </c>
      <c r="K1888" t="s">
        <v>32</v>
      </c>
      <c r="L1888" t="b">
        <v>0</v>
      </c>
    </row>
    <row r="1889" spans="1:13" ht="34" x14ac:dyDescent="0.2">
      <c r="A1889" t="s">
        <v>2295</v>
      </c>
      <c r="B1889" t="s">
        <v>188</v>
      </c>
      <c r="C1889" t="s">
        <v>110</v>
      </c>
      <c r="D1889" s="1">
        <v>45262</v>
      </c>
      <c r="E1889" s="6" t="s">
        <v>78</v>
      </c>
      <c r="F1889" t="s">
        <v>45</v>
      </c>
      <c r="G1889" s="3" t="s">
        <v>46</v>
      </c>
      <c r="H1889">
        <v>6.6</v>
      </c>
      <c r="I1889">
        <v>70.09</v>
      </c>
      <c r="J1889">
        <v>462.62</v>
      </c>
      <c r="K1889" t="s">
        <v>36</v>
      </c>
      <c r="L1889" t="b">
        <v>0</v>
      </c>
    </row>
    <row r="1890" spans="1:13" ht="17" x14ac:dyDescent="0.2">
      <c r="A1890" t="s">
        <v>2296</v>
      </c>
      <c r="B1890" t="s">
        <v>21</v>
      </c>
      <c r="C1890" t="s">
        <v>219</v>
      </c>
      <c r="D1890" s="1">
        <v>45412</v>
      </c>
      <c r="E1890" s="6" t="s">
        <v>44</v>
      </c>
      <c r="F1890" t="s">
        <v>17</v>
      </c>
      <c r="G1890" s="3" t="s">
        <v>18</v>
      </c>
      <c r="H1890">
        <v>5.8</v>
      </c>
      <c r="I1890">
        <v>47.09</v>
      </c>
      <c r="J1890">
        <v>273.13</v>
      </c>
      <c r="K1890" t="s">
        <v>26</v>
      </c>
      <c r="L1890" t="b">
        <v>0</v>
      </c>
    </row>
    <row r="1891" spans="1:13" ht="34" x14ac:dyDescent="0.2">
      <c r="A1891" t="s">
        <v>2297</v>
      </c>
      <c r="B1891" t="s">
        <v>384</v>
      </c>
      <c r="C1891" t="s">
        <v>127</v>
      </c>
      <c r="D1891" s="1">
        <v>45067</v>
      </c>
      <c r="E1891" s="6" t="s">
        <v>23</v>
      </c>
      <c r="F1891" t="s">
        <v>61</v>
      </c>
      <c r="G1891" s="3" t="s">
        <v>62</v>
      </c>
      <c r="H1891">
        <v>7.6</v>
      </c>
      <c r="I1891">
        <v>69.14</v>
      </c>
      <c r="J1891">
        <v>525.46</v>
      </c>
      <c r="K1891" t="s">
        <v>92</v>
      </c>
      <c r="L1891" t="b">
        <v>0</v>
      </c>
    </row>
    <row r="1892" spans="1:13" ht="34" x14ac:dyDescent="0.2">
      <c r="A1892" t="s">
        <v>2298</v>
      </c>
      <c r="B1892" t="s">
        <v>245</v>
      </c>
      <c r="C1892" t="s">
        <v>219</v>
      </c>
      <c r="D1892" s="1">
        <v>45519</v>
      </c>
      <c r="E1892" s="6" t="s">
        <v>16</v>
      </c>
      <c r="F1892" t="s">
        <v>17</v>
      </c>
      <c r="G1892" s="3" t="s">
        <v>18</v>
      </c>
      <c r="H1892">
        <v>27.1</v>
      </c>
      <c r="I1892">
        <v>73.790000000000006</v>
      </c>
      <c r="J1892">
        <v>2000</v>
      </c>
      <c r="K1892" t="s">
        <v>32</v>
      </c>
      <c r="L1892" t="b">
        <v>1</v>
      </c>
      <c r="M1892" s="3" t="s">
        <v>40</v>
      </c>
    </row>
    <row r="1893" spans="1:13" ht="34" x14ac:dyDescent="0.2">
      <c r="A1893" t="s">
        <v>2299</v>
      </c>
      <c r="B1893" t="s">
        <v>75</v>
      </c>
      <c r="C1893" t="s">
        <v>186</v>
      </c>
      <c r="D1893" s="1">
        <v>45333</v>
      </c>
      <c r="E1893" s="6" t="s">
        <v>78</v>
      </c>
      <c r="F1893" t="s">
        <v>24</v>
      </c>
      <c r="G1893" s="3" t="s">
        <v>25</v>
      </c>
      <c r="H1893">
        <v>23.4</v>
      </c>
      <c r="I1893">
        <v>63.72</v>
      </c>
      <c r="J1893">
        <v>1491.05</v>
      </c>
      <c r="K1893" t="s">
        <v>36</v>
      </c>
      <c r="L1893" t="b">
        <v>1</v>
      </c>
      <c r="M1893" s="3" t="s">
        <v>79</v>
      </c>
    </row>
    <row r="1894" spans="1:13" ht="17" x14ac:dyDescent="0.2">
      <c r="A1894" t="s">
        <v>2300</v>
      </c>
      <c r="B1894" t="s">
        <v>736</v>
      </c>
      <c r="C1894" t="s">
        <v>116</v>
      </c>
      <c r="D1894" s="1">
        <v>45215</v>
      </c>
      <c r="E1894" s="6" t="s">
        <v>23</v>
      </c>
      <c r="F1894" t="s">
        <v>17</v>
      </c>
      <c r="G1894" s="3" t="s">
        <v>18</v>
      </c>
      <c r="H1894">
        <v>7.7</v>
      </c>
      <c r="I1894">
        <v>33.840000000000003</v>
      </c>
      <c r="J1894">
        <v>260.58</v>
      </c>
      <c r="K1894" t="s">
        <v>96</v>
      </c>
      <c r="L1894" t="b">
        <v>0</v>
      </c>
    </row>
    <row r="1895" spans="1:13" ht="68" x14ac:dyDescent="0.2">
      <c r="A1895" t="s">
        <v>2301</v>
      </c>
      <c r="B1895" t="s">
        <v>582</v>
      </c>
      <c r="C1895" t="s">
        <v>95</v>
      </c>
      <c r="D1895" s="1">
        <v>44942</v>
      </c>
      <c r="E1895" s="6" t="s">
        <v>16</v>
      </c>
      <c r="F1895" t="s">
        <v>50</v>
      </c>
      <c r="G1895" s="3" t="s">
        <v>51</v>
      </c>
      <c r="H1895">
        <v>2.1</v>
      </c>
      <c r="I1895">
        <v>71.260000000000005</v>
      </c>
      <c r="J1895">
        <v>149.63999999999999</v>
      </c>
      <c r="K1895" t="s">
        <v>36</v>
      </c>
      <c r="L1895" t="b">
        <v>0</v>
      </c>
    </row>
    <row r="1896" spans="1:13" ht="34" x14ac:dyDescent="0.2">
      <c r="A1896" t="s">
        <v>2302</v>
      </c>
      <c r="B1896" t="s">
        <v>214</v>
      </c>
      <c r="C1896" t="s">
        <v>196</v>
      </c>
      <c r="D1896" s="1">
        <v>45254</v>
      </c>
      <c r="E1896" s="6" t="s">
        <v>44</v>
      </c>
      <c r="F1896" t="s">
        <v>61</v>
      </c>
      <c r="G1896" s="3" t="s">
        <v>62</v>
      </c>
      <c r="H1896">
        <v>4.4000000000000004</v>
      </c>
      <c r="I1896">
        <v>60.17</v>
      </c>
      <c r="J1896">
        <v>264.75</v>
      </c>
      <c r="K1896" t="s">
        <v>96</v>
      </c>
      <c r="L1896" t="b">
        <v>0</v>
      </c>
    </row>
    <row r="1897" spans="1:13" ht="34" x14ac:dyDescent="0.2">
      <c r="A1897" t="s">
        <v>2303</v>
      </c>
      <c r="B1897" t="s">
        <v>417</v>
      </c>
      <c r="C1897" t="s">
        <v>39</v>
      </c>
      <c r="D1897" s="1">
        <v>45260</v>
      </c>
      <c r="E1897" s="6" t="s">
        <v>60</v>
      </c>
      <c r="F1897" t="s">
        <v>30</v>
      </c>
      <c r="G1897" s="3" t="s">
        <v>31</v>
      </c>
      <c r="H1897">
        <v>7.3</v>
      </c>
      <c r="I1897">
        <v>34.950000000000003</v>
      </c>
      <c r="J1897">
        <v>255.13</v>
      </c>
      <c r="K1897" t="s">
        <v>56</v>
      </c>
      <c r="L1897" t="b">
        <v>1</v>
      </c>
      <c r="M1897" s="3" t="s">
        <v>102</v>
      </c>
    </row>
    <row r="1898" spans="1:13" ht="34" x14ac:dyDescent="0.2">
      <c r="A1898" t="s">
        <v>2304</v>
      </c>
      <c r="B1898" t="s">
        <v>1075</v>
      </c>
      <c r="C1898" t="s">
        <v>323</v>
      </c>
      <c r="D1898" s="1">
        <v>45339</v>
      </c>
      <c r="E1898" s="6" t="s">
        <v>89</v>
      </c>
      <c r="F1898" t="s">
        <v>45</v>
      </c>
      <c r="G1898" s="3" t="s">
        <v>46</v>
      </c>
      <c r="H1898">
        <v>6.2</v>
      </c>
      <c r="I1898">
        <v>55.04</v>
      </c>
      <c r="J1898">
        <v>341.24</v>
      </c>
      <c r="K1898" t="s">
        <v>92</v>
      </c>
      <c r="L1898" t="b">
        <v>0</v>
      </c>
    </row>
    <row r="1899" spans="1:13" ht="34" x14ac:dyDescent="0.2">
      <c r="A1899" t="s">
        <v>2305</v>
      </c>
      <c r="B1899" t="s">
        <v>214</v>
      </c>
      <c r="C1899" t="s">
        <v>88</v>
      </c>
      <c r="D1899" s="1">
        <v>45129</v>
      </c>
      <c r="E1899" s="6" t="s">
        <v>16</v>
      </c>
      <c r="F1899" t="s">
        <v>61</v>
      </c>
      <c r="G1899" s="3" t="s">
        <v>62</v>
      </c>
      <c r="H1899">
        <v>5.5</v>
      </c>
      <c r="I1899">
        <v>69.040000000000006</v>
      </c>
      <c r="J1899">
        <v>379.7</v>
      </c>
      <c r="K1899" t="s">
        <v>96</v>
      </c>
      <c r="L1899" t="b">
        <v>0</v>
      </c>
    </row>
    <row r="1900" spans="1:13" ht="34" x14ac:dyDescent="0.2">
      <c r="A1900" t="s">
        <v>2306</v>
      </c>
      <c r="B1900" t="s">
        <v>1096</v>
      </c>
      <c r="C1900" t="s">
        <v>145</v>
      </c>
      <c r="D1900" s="1">
        <v>45562</v>
      </c>
      <c r="E1900" s="6" t="s">
        <v>78</v>
      </c>
      <c r="F1900" t="s">
        <v>90</v>
      </c>
      <c r="G1900" s="3" t="s">
        <v>91</v>
      </c>
      <c r="H1900">
        <v>2.7</v>
      </c>
      <c r="I1900">
        <v>59.36</v>
      </c>
      <c r="J1900">
        <v>160.26</v>
      </c>
      <c r="K1900" t="s">
        <v>113</v>
      </c>
      <c r="L1900" t="b">
        <v>0</v>
      </c>
    </row>
    <row r="1901" spans="1:13" ht="68" x14ac:dyDescent="0.2">
      <c r="A1901" t="s">
        <v>2307</v>
      </c>
      <c r="B1901" t="s">
        <v>265</v>
      </c>
      <c r="C1901" t="s">
        <v>332</v>
      </c>
      <c r="D1901" s="1">
        <v>45463</v>
      </c>
      <c r="E1901" s="6" t="s">
        <v>16</v>
      </c>
      <c r="F1901" t="s">
        <v>50</v>
      </c>
      <c r="G1901" s="3" t="s">
        <v>51</v>
      </c>
      <c r="H1901">
        <v>3.6</v>
      </c>
      <c r="I1901">
        <v>37.57</v>
      </c>
      <c r="J1901">
        <v>135.26</v>
      </c>
      <c r="K1901" t="s">
        <v>26</v>
      </c>
      <c r="L1901" t="b">
        <v>0</v>
      </c>
    </row>
    <row r="1902" spans="1:13" ht="34" x14ac:dyDescent="0.2">
      <c r="A1902" t="s">
        <v>2308</v>
      </c>
      <c r="B1902" t="s">
        <v>649</v>
      </c>
      <c r="C1902" t="s">
        <v>88</v>
      </c>
      <c r="D1902" s="1">
        <v>44976</v>
      </c>
      <c r="E1902" s="6" t="s">
        <v>23</v>
      </c>
      <c r="F1902" t="s">
        <v>61</v>
      </c>
      <c r="G1902" s="3" t="s">
        <v>62</v>
      </c>
      <c r="H1902">
        <v>6.2</v>
      </c>
      <c r="I1902">
        <v>25.39</v>
      </c>
      <c r="J1902">
        <v>157.38999999999999</v>
      </c>
      <c r="K1902" t="s">
        <v>26</v>
      </c>
      <c r="L1902" t="b">
        <v>0</v>
      </c>
    </row>
    <row r="1903" spans="1:13" ht="17" x14ac:dyDescent="0.2">
      <c r="A1903" t="s">
        <v>2309</v>
      </c>
      <c r="B1903" t="s">
        <v>1261</v>
      </c>
      <c r="C1903" t="s">
        <v>22</v>
      </c>
      <c r="D1903" s="1">
        <v>44996</v>
      </c>
      <c r="E1903" s="6" t="s">
        <v>16</v>
      </c>
      <c r="F1903" t="s">
        <v>17</v>
      </c>
      <c r="G1903" s="3" t="s">
        <v>18</v>
      </c>
      <c r="H1903">
        <v>2</v>
      </c>
      <c r="I1903">
        <v>29.19</v>
      </c>
      <c r="J1903">
        <v>58.38</v>
      </c>
      <c r="K1903" t="s">
        <v>96</v>
      </c>
      <c r="L1903" t="b">
        <v>0</v>
      </c>
    </row>
    <row r="1904" spans="1:13" ht="34" x14ac:dyDescent="0.2">
      <c r="A1904" t="s">
        <v>2310</v>
      </c>
      <c r="B1904" t="s">
        <v>1485</v>
      </c>
      <c r="C1904" t="s">
        <v>391</v>
      </c>
      <c r="D1904" s="1">
        <v>44927</v>
      </c>
      <c r="E1904" s="6" t="s">
        <v>16</v>
      </c>
      <c r="F1904" t="s">
        <v>61</v>
      </c>
      <c r="G1904" s="3" t="s">
        <v>62</v>
      </c>
      <c r="H1904">
        <v>38.9</v>
      </c>
      <c r="I1904">
        <v>64.27</v>
      </c>
      <c r="J1904">
        <v>2500</v>
      </c>
      <c r="K1904" t="s">
        <v>56</v>
      </c>
      <c r="L1904" t="b">
        <v>1</v>
      </c>
      <c r="M1904" s="3" t="s">
        <v>40</v>
      </c>
    </row>
    <row r="1905" spans="1:13" ht="34" x14ac:dyDescent="0.2">
      <c r="A1905" t="s">
        <v>2311</v>
      </c>
      <c r="B1905" t="s">
        <v>67</v>
      </c>
      <c r="C1905" t="s">
        <v>268</v>
      </c>
      <c r="D1905" s="1">
        <v>45000</v>
      </c>
      <c r="E1905" s="6" t="s">
        <v>16</v>
      </c>
      <c r="F1905" t="s">
        <v>61</v>
      </c>
      <c r="G1905" s="3" t="s">
        <v>62</v>
      </c>
      <c r="H1905">
        <v>20.5</v>
      </c>
      <c r="I1905">
        <v>47.48</v>
      </c>
      <c r="J1905">
        <v>973.34</v>
      </c>
      <c r="K1905" t="s">
        <v>56</v>
      </c>
      <c r="L1905" t="b">
        <v>1</v>
      </c>
      <c r="M1905" s="3" t="s">
        <v>79</v>
      </c>
    </row>
    <row r="1906" spans="1:13" ht="68" x14ac:dyDescent="0.2">
      <c r="A1906" t="s">
        <v>2312</v>
      </c>
      <c r="B1906" t="s">
        <v>58</v>
      </c>
      <c r="C1906" t="s">
        <v>71</v>
      </c>
      <c r="D1906" s="1">
        <v>45445</v>
      </c>
      <c r="E1906" s="6" t="s">
        <v>44</v>
      </c>
      <c r="F1906" t="s">
        <v>50</v>
      </c>
      <c r="G1906" s="3" t="s">
        <v>51</v>
      </c>
      <c r="H1906">
        <v>3.2</v>
      </c>
      <c r="I1906">
        <v>35.92</v>
      </c>
      <c r="J1906">
        <v>114.94</v>
      </c>
      <c r="K1906" t="s">
        <v>26</v>
      </c>
      <c r="L1906" t="b">
        <v>0</v>
      </c>
    </row>
    <row r="1907" spans="1:13" ht="34" x14ac:dyDescent="0.2">
      <c r="A1907" t="s">
        <v>2313</v>
      </c>
      <c r="B1907" t="s">
        <v>1142</v>
      </c>
      <c r="C1907" t="s">
        <v>172</v>
      </c>
      <c r="D1907" s="1">
        <v>45282</v>
      </c>
      <c r="E1907" s="6" t="s">
        <v>23</v>
      </c>
      <c r="F1907" t="s">
        <v>17</v>
      </c>
      <c r="G1907" s="3" t="s">
        <v>18</v>
      </c>
      <c r="H1907">
        <v>26.5</v>
      </c>
      <c r="I1907">
        <v>37.75</v>
      </c>
      <c r="J1907">
        <v>1000</v>
      </c>
      <c r="K1907" t="s">
        <v>113</v>
      </c>
      <c r="L1907" t="b">
        <v>1</v>
      </c>
      <c r="M1907" s="3" t="s">
        <v>40</v>
      </c>
    </row>
    <row r="1908" spans="1:13" ht="34" x14ac:dyDescent="0.2">
      <c r="A1908" t="s">
        <v>2314</v>
      </c>
      <c r="B1908" t="s">
        <v>204</v>
      </c>
      <c r="C1908" t="s">
        <v>353</v>
      </c>
      <c r="D1908" s="1">
        <v>45075</v>
      </c>
      <c r="E1908" s="6" t="s">
        <v>23</v>
      </c>
      <c r="F1908" t="s">
        <v>24</v>
      </c>
      <c r="G1908" s="3" t="s">
        <v>25</v>
      </c>
      <c r="H1908">
        <v>6.5</v>
      </c>
      <c r="I1908">
        <v>73.55</v>
      </c>
      <c r="J1908">
        <v>478.08</v>
      </c>
      <c r="K1908" t="s">
        <v>113</v>
      </c>
      <c r="L1908" t="b">
        <v>0</v>
      </c>
    </row>
    <row r="1909" spans="1:13" ht="34" x14ac:dyDescent="0.2">
      <c r="A1909" t="s">
        <v>2315</v>
      </c>
      <c r="B1909" t="s">
        <v>1237</v>
      </c>
      <c r="C1909" t="s">
        <v>130</v>
      </c>
      <c r="D1909" s="1">
        <v>45426</v>
      </c>
      <c r="E1909" s="6" t="s">
        <v>60</v>
      </c>
      <c r="F1909" t="s">
        <v>45</v>
      </c>
      <c r="G1909" s="3" t="s">
        <v>46</v>
      </c>
      <c r="H1909">
        <v>7.9</v>
      </c>
      <c r="I1909">
        <v>77.3</v>
      </c>
      <c r="J1909">
        <v>610.65</v>
      </c>
      <c r="K1909" t="s">
        <v>36</v>
      </c>
      <c r="L1909" t="b">
        <v>0</v>
      </c>
    </row>
    <row r="1910" spans="1:13" ht="34" x14ac:dyDescent="0.2">
      <c r="A1910" t="s">
        <v>2316</v>
      </c>
      <c r="B1910" t="s">
        <v>325</v>
      </c>
      <c r="C1910" t="s">
        <v>110</v>
      </c>
      <c r="D1910" s="1">
        <v>44948</v>
      </c>
      <c r="E1910" s="6" t="s">
        <v>78</v>
      </c>
      <c r="F1910" t="s">
        <v>90</v>
      </c>
      <c r="G1910" s="3" t="s">
        <v>91</v>
      </c>
      <c r="H1910">
        <v>7.2</v>
      </c>
      <c r="I1910">
        <v>34.97</v>
      </c>
      <c r="J1910">
        <v>251.77</v>
      </c>
      <c r="K1910" t="s">
        <v>36</v>
      </c>
      <c r="L1910" t="b">
        <v>0</v>
      </c>
    </row>
    <row r="1911" spans="1:13" ht="34" x14ac:dyDescent="0.2">
      <c r="A1911" t="s">
        <v>2317</v>
      </c>
      <c r="B1911" t="s">
        <v>410</v>
      </c>
      <c r="C1911" t="s">
        <v>85</v>
      </c>
      <c r="D1911" s="1">
        <v>45187</v>
      </c>
      <c r="E1911" s="6" t="s">
        <v>78</v>
      </c>
      <c r="F1911" t="s">
        <v>90</v>
      </c>
      <c r="G1911" s="3" t="s">
        <v>91</v>
      </c>
      <c r="H1911">
        <v>19.8</v>
      </c>
      <c r="I1911">
        <v>41.61</v>
      </c>
      <c r="J1911">
        <v>823.88</v>
      </c>
      <c r="K1911" t="s">
        <v>96</v>
      </c>
      <c r="L1911" t="b">
        <v>1</v>
      </c>
      <c r="M1911" s="3" t="s">
        <v>79</v>
      </c>
    </row>
    <row r="1912" spans="1:13" ht="34" x14ac:dyDescent="0.2">
      <c r="A1912" t="s">
        <v>2318</v>
      </c>
      <c r="B1912" t="s">
        <v>863</v>
      </c>
      <c r="C1912" t="s">
        <v>153</v>
      </c>
      <c r="D1912" s="1">
        <v>45405</v>
      </c>
      <c r="E1912" s="6" t="s">
        <v>16</v>
      </c>
      <c r="F1912" t="s">
        <v>24</v>
      </c>
      <c r="G1912" s="3" t="s">
        <v>25</v>
      </c>
      <c r="H1912">
        <v>5.5</v>
      </c>
      <c r="I1912">
        <v>53.67</v>
      </c>
      <c r="J1912">
        <v>295.20999999999998</v>
      </c>
      <c r="K1912" t="s">
        <v>36</v>
      </c>
      <c r="L1912" t="b">
        <v>0</v>
      </c>
    </row>
    <row r="1913" spans="1:13" ht="34" x14ac:dyDescent="0.2">
      <c r="A1913" t="s">
        <v>2319</v>
      </c>
      <c r="B1913" t="s">
        <v>429</v>
      </c>
      <c r="C1913" t="s">
        <v>49</v>
      </c>
      <c r="D1913" s="1">
        <v>45352</v>
      </c>
      <c r="E1913" s="6" t="s">
        <v>44</v>
      </c>
      <c r="F1913" t="s">
        <v>90</v>
      </c>
      <c r="G1913" s="3" t="s">
        <v>91</v>
      </c>
      <c r="H1913">
        <v>61</v>
      </c>
      <c r="I1913">
        <v>40.96</v>
      </c>
      <c r="J1913">
        <v>2500</v>
      </c>
      <c r="K1913" t="s">
        <v>92</v>
      </c>
      <c r="L1913" t="b">
        <v>1</v>
      </c>
      <c r="M1913" s="3" t="s">
        <v>40</v>
      </c>
    </row>
    <row r="1914" spans="1:13" ht="34" x14ac:dyDescent="0.2">
      <c r="A1914" t="s">
        <v>2320</v>
      </c>
      <c r="B1914" t="s">
        <v>135</v>
      </c>
      <c r="C1914" t="s">
        <v>295</v>
      </c>
      <c r="D1914" s="1">
        <v>45408</v>
      </c>
      <c r="E1914" s="6" t="s">
        <v>44</v>
      </c>
      <c r="F1914" t="s">
        <v>24</v>
      </c>
      <c r="G1914" s="3" t="s">
        <v>25</v>
      </c>
      <c r="H1914">
        <v>2.6</v>
      </c>
      <c r="I1914">
        <v>56.34</v>
      </c>
      <c r="J1914">
        <v>146.47999999999999</v>
      </c>
      <c r="K1914" t="s">
        <v>113</v>
      </c>
      <c r="L1914" t="b">
        <v>0</v>
      </c>
    </row>
    <row r="1915" spans="1:13" ht="34" x14ac:dyDescent="0.2">
      <c r="A1915" t="s">
        <v>2321</v>
      </c>
      <c r="B1915" t="s">
        <v>770</v>
      </c>
      <c r="C1915" t="s">
        <v>39</v>
      </c>
      <c r="D1915" s="1">
        <v>45473</v>
      </c>
      <c r="E1915" s="6" t="s">
        <v>78</v>
      </c>
      <c r="F1915" t="s">
        <v>61</v>
      </c>
      <c r="G1915" s="3" t="s">
        <v>62</v>
      </c>
      <c r="H1915">
        <v>5.6</v>
      </c>
      <c r="I1915">
        <v>84.21</v>
      </c>
      <c r="J1915">
        <v>471.6</v>
      </c>
      <c r="K1915" t="s">
        <v>96</v>
      </c>
      <c r="L1915" t="b">
        <v>0</v>
      </c>
    </row>
    <row r="1916" spans="1:13" ht="17" x14ac:dyDescent="0.2">
      <c r="A1916" t="s">
        <v>2322</v>
      </c>
      <c r="B1916" t="s">
        <v>504</v>
      </c>
      <c r="C1916" t="s">
        <v>353</v>
      </c>
      <c r="D1916" s="1">
        <v>44957</v>
      </c>
      <c r="E1916" s="6" t="s">
        <v>60</v>
      </c>
      <c r="F1916" t="s">
        <v>17</v>
      </c>
      <c r="G1916" s="3" t="s">
        <v>18</v>
      </c>
      <c r="H1916">
        <v>4.8</v>
      </c>
      <c r="I1916">
        <v>45.22</v>
      </c>
      <c r="J1916">
        <v>217.06</v>
      </c>
      <c r="K1916" t="s">
        <v>105</v>
      </c>
      <c r="L1916" t="b">
        <v>0</v>
      </c>
    </row>
    <row r="1917" spans="1:13" ht="34" x14ac:dyDescent="0.2">
      <c r="A1917" t="s">
        <v>2323</v>
      </c>
      <c r="B1917" t="s">
        <v>414</v>
      </c>
      <c r="C1917" t="s">
        <v>166</v>
      </c>
      <c r="D1917" s="1">
        <v>45598</v>
      </c>
      <c r="E1917" s="6" t="s">
        <v>78</v>
      </c>
      <c r="F1917" t="s">
        <v>54</v>
      </c>
      <c r="G1917" s="3" t="s">
        <v>55</v>
      </c>
      <c r="H1917">
        <v>25.5</v>
      </c>
      <c r="I1917">
        <v>78.41</v>
      </c>
      <c r="J1917">
        <v>2000</v>
      </c>
      <c r="K1917" t="s">
        <v>56</v>
      </c>
      <c r="L1917" t="b">
        <v>1</v>
      </c>
      <c r="M1917" s="3" t="s">
        <v>40</v>
      </c>
    </row>
    <row r="1918" spans="1:13" ht="17" x14ac:dyDescent="0.2">
      <c r="A1918" t="s">
        <v>2324</v>
      </c>
      <c r="B1918" t="s">
        <v>302</v>
      </c>
      <c r="C1918" t="s">
        <v>71</v>
      </c>
      <c r="D1918" s="1">
        <v>45218</v>
      </c>
      <c r="E1918" s="6" t="s">
        <v>60</v>
      </c>
      <c r="F1918" t="s">
        <v>30</v>
      </c>
      <c r="G1918" s="3" t="s">
        <v>31</v>
      </c>
      <c r="H1918">
        <v>7.6</v>
      </c>
      <c r="I1918">
        <v>64.900000000000006</v>
      </c>
      <c r="J1918">
        <v>493.28</v>
      </c>
      <c r="K1918" t="s">
        <v>96</v>
      </c>
      <c r="L1918" t="b">
        <v>0</v>
      </c>
    </row>
    <row r="1919" spans="1:13" ht="34" x14ac:dyDescent="0.2">
      <c r="A1919" t="s">
        <v>2325</v>
      </c>
      <c r="B1919" t="s">
        <v>1167</v>
      </c>
      <c r="C1919" t="s">
        <v>49</v>
      </c>
      <c r="D1919" s="1">
        <v>44984</v>
      </c>
      <c r="E1919" s="6" t="s">
        <v>44</v>
      </c>
      <c r="F1919" t="s">
        <v>24</v>
      </c>
      <c r="G1919" s="3" t="s">
        <v>25</v>
      </c>
      <c r="H1919">
        <v>7.9</v>
      </c>
      <c r="I1919">
        <v>77.38</v>
      </c>
      <c r="J1919">
        <v>611.34</v>
      </c>
      <c r="K1919" t="s">
        <v>96</v>
      </c>
      <c r="L1919" t="b">
        <v>0</v>
      </c>
    </row>
    <row r="1920" spans="1:13" ht="34" x14ac:dyDescent="0.2">
      <c r="A1920" t="s">
        <v>2326</v>
      </c>
      <c r="B1920" t="s">
        <v>115</v>
      </c>
      <c r="C1920" t="s">
        <v>256</v>
      </c>
      <c r="D1920" s="1">
        <v>45483</v>
      </c>
      <c r="E1920" s="6" t="s">
        <v>16</v>
      </c>
      <c r="F1920" t="s">
        <v>24</v>
      </c>
      <c r="G1920" s="3" t="s">
        <v>25</v>
      </c>
      <c r="H1920">
        <v>4.7</v>
      </c>
      <c r="I1920">
        <v>66.900000000000006</v>
      </c>
      <c r="J1920">
        <v>314.42</v>
      </c>
      <c r="K1920" t="s">
        <v>26</v>
      </c>
      <c r="L1920" t="b">
        <v>0</v>
      </c>
    </row>
    <row r="1921" spans="1:13" ht="68" x14ac:dyDescent="0.2">
      <c r="A1921" t="s">
        <v>2327</v>
      </c>
      <c r="B1921" t="s">
        <v>975</v>
      </c>
      <c r="C1921" t="s">
        <v>119</v>
      </c>
      <c r="D1921" s="1">
        <v>45179</v>
      </c>
      <c r="E1921" s="6" t="s">
        <v>89</v>
      </c>
      <c r="F1921" t="s">
        <v>50</v>
      </c>
      <c r="G1921" s="3" t="s">
        <v>51</v>
      </c>
      <c r="H1921">
        <v>2.2000000000000002</v>
      </c>
      <c r="I1921">
        <v>32.369999999999997</v>
      </c>
      <c r="J1921">
        <v>71.22</v>
      </c>
      <c r="K1921" t="s">
        <v>19</v>
      </c>
      <c r="L1921" t="b">
        <v>0</v>
      </c>
    </row>
    <row r="1922" spans="1:13" ht="34" x14ac:dyDescent="0.2">
      <c r="A1922" t="s">
        <v>2328</v>
      </c>
      <c r="B1922" t="s">
        <v>369</v>
      </c>
      <c r="C1922" t="s">
        <v>293</v>
      </c>
      <c r="D1922" s="1">
        <v>45079</v>
      </c>
      <c r="E1922" s="6" t="s">
        <v>23</v>
      </c>
      <c r="F1922" t="s">
        <v>45</v>
      </c>
      <c r="G1922" s="3" t="s">
        <v>46</v>
      </c>
      <c r="H1922">
        <v>7.7</v>
      </c>
      <c r="I1922">
        <v>70.09</v>
      </c>
      <c r="J1922">
        <v>539.66999999999996</v>
      </c>
      <c r="K1922" t="s">
        <v>82</v>
      </c>
      <c r="L1922" t="b">
        <v>0</v>
      </c>
    </row>
    <row r="1923" spans="1:13" ht="34" x14ac:dyDescent="0.2">
      <c r="A1923" t="s">
        <v>2329</v>
      </c>
      <c r="B1923" t="s">
        <v>456</v>
      </c>
      <c r="C1923" t="s">
        <v>323</v>
      </c>
      <c r="D1923" s="1">
        <v>45351</v>
      </c>
      <c r="E1923" s="6" t="s">
        <v>60</v>
      </c>
      <c r="F1923" t="s">
        <v>54</v>
      </c>
      <c r="G1923" s="3" t="s">
        <v>55</v>
      </c>
      <c r="H1923">
        <v>4.7</v>
      </c>
      <c r="I1923">
        <v>66.17</v>
      </c>
      <c r="J1923">
        <v>311</v>
      </c>
      <c r="K1923" t="s">
        <v>92</v>
      </c>
      <c r="L1923" t="b">
        <v>0</v>
      </c>
    </row>
    <row r="1924" spans="1:13" ht="34" x14ac:dyDescent="0.2">
      <c r="A1924" t="s">
        <v>2330</v>
      </c>
      <c r="B1924" t="s">
        <v>842</v>
      </c>
      <c r="C1924" t="s">
        <v>153</v>
      </c>
      <c r="D1924" s="1">
        <v>45029</v>
      </c>
      <c r="E1924" s="6" t="s">
        <v>16</v>
      </c>
      <c r="F1924" t="s">
        <v>61</v>
      </c>
      <c r="G1924" s="3" t="s">
        <v>62</v>
      </c>
      <c r="H1924">
        <v>6</v>
      </c>
      <c r="I1924">
        <v>25.19</v>
      </c>
      <c r="J1924">
        <v>151.13</v>
      </c>
      <c r="K1924" t="s">
        <v>92</v>
      </c>
      <c r="L1924" t="b">
        <v>0</v>
      </c>
    </row>
    <row r="1925" spans="1:13" ht="34" x14ac:dyDescent="0.2">
      <c r="A1925" t="s">
        <v>2331</v>
      </c>
      <c r="B1925" t="s">
        <v>188</v>
      </c>
      <c r="C1925" t="s">
        <v>186</v>
      </c>
      <c r="D1925" s="1">
        <v>45218</v>
      </c>
      <c r="E1925" s="6" t="s">
        <v>44</v>
      </c>
      <c r="F1925" t="s">
        <v>54</v>
      </c>
      <c r="G1925" s="3" t="s">
        <v>55</v>
      </c>
      <c r="H1925">
        <v>2.1</v>
      </c>
      <c r="I1925">
        <v>46.61</v>
      </c>
      <c r="J1925">
        <v>97.89</v>
      </c>
      <c r="K1925" t="s">
        <v>36</v>
      </c>
      <c r="L1925" t="b">
        <v>0</v>
      </c>
    </row>
    <row r="1926" spans="1:13" ht="34" x14ac:dyDescent="0.2">
      <c r="A1926" t="s">
        <v>2332</v>
      </c>
      <c r="B1926" t="s">
        <v>944</v>
      </c>
      <c r="C1926" t="s">
        <v>219</v>
      </c>
      <c r="D1926" s="1">
        <v>45338</v>
      </c>
      <c r="E1926" s="6" t="s">
        <v>60</v>
      </c>
      <c r="F1926" t="s">
        <v>54</v>
      </c>
      <c r="G1926" s="3" t="s">
        <v>55</v>
      </c>
      <c r="H1926">
        <v>6.1</v>
      </c>
      <c r="I1926">
        <v>39.01</v>
      </c>
      <c r="J1926">
        <v>237.98</v>
      </c>
      <c r="K1926" t="s">
        <v>113</v>
      </c>
      <c r="L1926" t="b">
        <v>0</v>
      </c>
    </row>
    <row r="1927" spans="1:13" ht="34" x14ac:dyDescent="0.2">
      <c r="A1927" t="s">
        <v>2333</v>
      </c>
      <c r="B1927" t="s">
        <v>238</v>
      </c>
      <c r="C1927" t="s">
        <v>153</v>
      </c>
      <c r="D1927" s="1">
        <v>45313</v>
      </c>
      <c r="E1927" s="6" t="s">
        <v>78</v>
      </c>
      <c r="F1927" t="s">
        <v>61</v>
      </c>
      <c r="G1927" s="3" t="s">
        <v>62</v>
      </c>
      <c r="H1927">
        <v>6.4</v>
      </c>
      <c r="I1927">
        <v>72.64</v>
      </c>
      <c r="J1927">
        <v>464.88</v>
      </c>
      <c r="K1927" t="s">
        <v>105</v>
      </c>
      <c r="L1927" t="b">
        <v>0</v>
      </c>
    </row>
    <row r="1928" spans="1:13" ht="34" x14ac:dyDescent="0.2">
      <c r="A1928" t="s">
        <v>2334</v>
      </c>
      <c r="B1928" t="s">
        <v>104</v>
      </c>
      <c r="C1928" t="s">
        <v>156</v>
      </c>
      <c r="D1928" s="1">
        <v>45271</v>
      </c>
      <c r="E1928" s="6" t="s">
        <v>60</v>
      </c>
      <c r="F1928" t="s">
        <v>61</v>
      </c>
      <c r="G1928" s="3" t="s">
        <v>62</v>
      </c>
      <c r="H1928">
        <v>7.6</v>
      </c>
      <c r="I1928">
        <v>81.489999999999995</v>
      </c>
      <c r="J1928">
        <v>619.30999999999995</v>
      </c>
      <c r="K1928" t="s">
        <v>105</v>
      </c>
      <c r="L1928" t="b">
        <v>0</v>
      </c>
    </row>
    <row r="1929" spans="1:13" ht="34" x14ac:dyDescent="0.2">
      <c r="A1929" t="s">
        <v>2335</v>
      </c>
      <c r="B1929" t="s">
        <v>388</v>
      </c>
      <c r="C1929" t="s">
        <v>85</v>
      </c>
      <c r="D1929" s="1">
        <v>45016</v>
      </c>
      <c r="E1929" s="6" t="s">
        <v>23</v>
      </c>
      <c r="F1929" t="s">
        <v>90</v>
      </c>
      <c r="G1929" s="3" t="s">
        <v>91</v>
      </c>
      <c r="H1929">
        <v>6.4</v>
      </c>
      <c r="I1929">
        <v>42.63</v>
      </c>
      <c r="J1929">
        <v>272.83999999999997</v>
      </c>
      <c r="K1929" t="s">
        <v>56</v>
      </c>
      <c r="L1929" t="b">
        <v>0</v>
      </c>
    </row>
    <row r="1930" spans="1:13" ht="68" x14ac:dyDescent="0.2">
      <c r="A1930" t="s">
        <v>2336</v>
      </c>
      <c r="B1930" t="s">
        <v>14</v>
      </c>
      <c r="C1930" t="s">
        <v>65</v>
      </c>
      <c r="D1930" s="1">
        <v>45431</v>
      </c>
      <c r="E1930" s="6" t="s">
        <v>16</v>
      </c>
      <c r="F1930" t="s">
        <v>50</v>
      </c>
      <c r="G1930" s="3" t="s">
        <v>51</v>
      </c>
      <c r="H1930">
        <v>22.2</v>
      </c>
      <c r="I1930">
        <v>77.569999999999993</v>
      </c>
      <c r="J1930">
        <v>1722.05</v>
      </c>
      <c r="K1930" t="s">
        <v>19</v>
      </c>
      <c r="L1930" t="b">
        <v>1</v>
      </c>
      <c r="M1930" s="3" t="s">
        <v>79</v>
      </c>
    </row>
    <row r="1931" spans="1:13" ht="34" x14ac:dyDescent="0.2">
      <c r="A1931" t="s">
        <v>2337</v>
      </c>
      <c r="B1931" t="s">
        <v>21</v>
      </c>
      <c r="C1931" t="s">
        <v>68</v>
      </c>
      <c r="D1931" s="1">
        <v>45279</v>
      </c>
      <c r="E1931" s="6" t="s">
        <v>78</v>
      </c>
      <c r="F1931" t="s">
        <v>24</v>
      </c>
      <c r="G1931" s="3" t="s">
        <v>25</v>
      </c>
      <c r="H1931">
        <v>2.8</v>
      </c>
      <c r="I1931">
        <v>72.81</v>
      </c>
      <c r="J1931">
        <v>203.87</v>
      </c>
      <c r="K1931" t="s">
        <v>26</v>
      </c>
      <c r="L1931" t="b">
        <v>0</v>
      </c>
    </row>
    <row r="1932" spans="1:13" ht="17" x14ac:dyDescent="0.2">
      <c r="A1932" t="s">
        <v>2338</v>
      </c>
      <c r="B1932" t="s">
        <v>101</v>
      </c>
      <c r="C1932" t="s">
        <v>295</v>
      </c>
      <c r="D1932" s="1">
        <v>45147</v>
      </c>
      <c r="E1932" s="6" t="s">
        <v>44</v>
      </c>
      <c r="F1932" t="s">
        <v>17</v>
      </c>
      <c r="G1932" s="3" t="s">
        <v>18</v>
      </c>
      <c r="H1932">
        <v>3</v>
      </c>
      <c r="I1932">
        <v>51.78</v>
      </c>
      <c r="J1932">
        <v>155.33000000000001</v>
      </c>
      <c r="K1932" t="s">
        <v>36</v>
      </c>
      <c r="L1932" t="b">
        <v>0</v>
      </c>
    </row>
    <row r="1933" spans="1:13" ht="17" x14ac:dyDescent="0.2">
      <c r="A1933" t="s">
        <v>2339</v>
      </c>
      <c r="B1933" t="s">
        <v>288</v>
      </c>
      <c r="C1933" t="s">
        <v>22</v>
      </c>
      <c r="D1933" s="1">
        <v>45087</v>
      </c>
      <c r="E1933" s="6" t="s">
        <v>23</v>
      </c>
      <c r="F1933" t="s">
        <v>17</v>
      </c>
      <c r="G1933" s="3" t="s">
        <v>18</v>
      </c>
      <c r="H1933">
        <v>6</v>
      </c>
      <c r="I1933">
        <v>39.450000000000003</v>
      </c>
      <c r="J1933">
        <v>236.72</v>
      </c>
      <c r="K1933" t="s">
        <v>32</v>
      </c>
      <c r="L1933" t="b">
        <v>0</v>
      </c>
    </row>
    <row r="1934" spans="1:13" ht="68" x14ac:dyDescent="0.2">
      <c r="A1934" t="s">
        <v>2340</v>
      </c>
      <c r="B1934" t="s">
        <v>364</v>
      </c>
      <c r="C1934" t="s">
        <v>130</v>
      </c>
      <c r="D1934" s="1">
        <v>45324</v>
      </c>
      <c r="E1934" s="6" t="s">
        <v>44</v>
      </c>
      <c r="F1934" t="s">
        <v>50</v>
      </c>
      <c r="G1934" s="3" t="s">
        <v>51</v>
      </c>
      <c r="H1934">
        <v>6.5</v>
      </c>
      <c r="I1934">
        <v>64.58</v>
      </c>
      <c r="J1934">
        <v>419.8</v>
      </c>
      <c r="K1934" t="s">
        <v>96</v>
      </c>
      <c r="L1934" t="b">
        <v>0</v>
      </c>
    </row>
    <row r="1935" spans="1:13" ht="34" x14ac:dyDescent="0.2">
      <c r="A1935" t="s">
        <v>2341</v>
      </c>
      <c r="B1935" t="s">
        <v>218</v>
      </c>
      <c r="C1935" t="s">
        <v>71</v>
      </c>
      <c r="D1935" s="1">
        <v>45360</v>
      </c>
      <c r="E1935" s="6" t="s">
        <v>23</v>
      </c>
      <c r="F1935" t="s">
        <v>90</v>
      </c>
      <c r="G1935" s="3" t="s">
        <v>91</v>
      </c>
      <c r="H1935">
        <v>4.5999999999999996</v>
      </c>
      <c r="I1935">
        <v>67.95</v>
      </c>
      <c r="J1935">
        <v>312.55</v>
      </c>
      <c r="K1935" t="s">
        <v>19</v>
      </c>
      <c r="L1935" t="b">
        <v>0</v>
      </c>
    </row>
    <row r="1936" spans="1:13" ht="34" x14ac:dyDescent="0.2">
      <c r="A1936" t="s">
        <v>2342</v>
      </c>
      <c r="B1936" t="s">
        <v>378</v>
      </c>
      <c r="C1936" t="s">
        <v>15</v>
      </c>
      <c r="D1936" s="1">
        <v>45427</v>
      </c>
      <c r="E1936" s="6" t="s">
        <v>23</v>
      </c>
      <c r="F1936" t="s">
        <v>54</v>
      </c>
      <c r="G1936" s="3" t="s">
        <v>55</v>
      </c>
      <c r="H1936">
        <v>7.4</v>
      </c>
      <c r="I1936">
        <v>70.98</v>
      </c>
      <c r="J1936">
        <v>525.24</v>
      </c>
      <c r="K1936" t="s">
        <v>26</v>
      </c>
      <c r="L1936" t="b">
        <v>0</v>
      </c>
    </row>
    <row r="1937" spans="1:13" ht="34" x14ac:dyDescent="0.2">
      <c r="A1937" t="s">
        <v>2343</v>
      </c>
      <c r="B1937" t="s">
        <v>1105</v>
      </c>
      <c r="C1937" t="s">
        <v>183</v>
      </c>
      <c r="D1937" s="1">
        <v>44931</v>
      </c>
      <c r="E1937" s="6" t="s">
        <v>16</v>
      </c>
      <c r="F1937" t="s">
        <v>45</v>
      </c>
      <c r="G1937" s="3" t="s">
        <v>46</v>
      </c>
      <c r="H1937">
        <v>23.3</v>
      </c>
      <c r="I1937">
        <v>82.09</v>
      </c>
      <c r="J1937">
        <v>1912.7</v>
      </c>
      <c r="K1937" t="s">
        <v>92</v>
      </c>
      <c r="L1937" t="b">
        <v>1</v>
      </c>
      <c r="M1937" s="3" t="s">
        <v>79</v>
      </c>
    </row>
    <row r="1938" spans="1:13" ht="34" x14ac:dyDescent="0.2">
      <c r="A1938" t="s">
        <v>2344</v>
      </c>
      <c r="B1938" t="s">
        <v>356</v>
      </c>
      <c r="C1938" t="s">
        <v>365</v>
      </c>
      <c r="D1938" s="1">
        <v>45124</v>
      </c>
      <c r="E1938" s="6" t="s">
        <v>16</v>
      </c>
      <c r="F1938" t="s">
        <v>90</v>
      </c>
      <c r="G1938" s="3" t="s">
        <v>91</v>
      </c>
      <c r="H1938">
        <v>6</v>
      </c>
      <c r="I1938">
        <v>80.36</v>
      </c>
      <c r="J1938">
        <v>482.19</v>
      </c>
      <c r="K1938" t="s">
        <v>82</v>
      </c>
      <c r="L1938" t="b">
        <v>0</v>
      </c>
    </row>
    <row r="1939" spans="1:13" ht="17" x14ac:dyDescent="0.2">
      <c r="A1939" t="s">
        <v>2345</v>
      </c>
      <c r="B1939" t="s">
        <v>221</v>
      </c>
      <c r="C1939" t="s">
        <v>178</v>
      </c>
      <c r="D1939" s="1">
        <v>45285</v>
      </c>
      <c r="E1939" s="6" t="s">
        <v>23</v>
      </c>
      <c r="F1939" t="s">
        <v>17</v>
      </c>
      <c r="G1939" s="3" t="s">
        <v>18</v>
      </c>
      <c r="H1939">
        <v>2.5</v>
      </c>
      <c r="I1939">
        <v>66.510000000000005</v>
      </c>
      <c r="J1939">
        <v>166.27</v>
      </c>
      <c r="K1939" t="s">
        <v>36</v>
      </c>
      <c r="L1939" t="b">
        <v>0</v>
      </c>
    </row>
    <row r="1940" spans="1:13" ht="34" x14ac:dyDescent="0.2">
      <c r="A1940" t="s">
        <v>2346</v>
      </c>
      <c r="B1940" t="s">
        <v>1024</v>
      </c>
      <c r="C1940" t="s">
        <v>110</v>
      </c>
      <c r="D1940" s="1">
        <v>42810</v>
      </c>
      <c r="E1940" s="6" t="s">
        <v>16</v>
      </c>
      <c r="F1940" t="s">
        <v>90</v>
      </c>
      <c r="G1940" s="3" t="s">
        <v>91</v>
      </c>
      <c r="H1940">
        <v>5.9</v>
      </c>
      <c r="I1940">
        <v>47.62</v>
      </c>
      <c r="J1940">
        <v>280.95999999999998</v>
      </c>
      <c r="K1940" t="s">
        <v>113</v>
      </c>
      <c r="L1940" t="b">
        <v>1</v>
      </c>
      <c r="M1940" s="3" t="s">
        <v>99</v>
      </c>
    </row>
    <row r="1941" spans="1:13" ht="34" x14ac:dyDescent="0.2">
      <c r="A1941" t="s">
        <v>2347</v>
      </c>
      <c r="B1941" t="s">
        <v>132</v>
      </c>
      <c r="C1941" t="s">
        <v>148</v>
      </c>
      <c r="D1941" s="1">
        <v>44970</v>
      </c>
      <c r="E1941" s="6" t="s">
        <v>60</v>
      </c>
      <c r="F1941" t="s">
        <v>61</v>
      </c>
      <c r="G1941" s="3" t="s">
        <v>62</v>
      </c>
      <c r="H1941">
        <v>5.9</v>
      </c>
      <c r="I1941">
        <v>72.099999999999994</v>
      </c>
      <c r="J1941">
        <v>425.42</v>
      </c>
      <c r="K1941" t="s">
        <v>96</v>
      </c>
      <c r="L1941" t="b">
        <v>0</v>
      </c>
    </row>
    <row r="1942" spans="1:13" ht="17" x14ac:dyDescent="0.2">
      <c r="A1942" t="s">
        <v>2348</v>
      </c>
      <c r="B1942" t="s">
        <v>899</v>
      </c>
      <c r="C1942" t="s">
        <v>145</v>
      </c>
      <c r="D1942" s="1">
        <v>45357</v>
      </c>
      <c r="E1942" s="6" t="s">
        <v>44</v>
      </c>
      <c r="F1942" t="s">
        <v>30</v>
      </c>
      <c r="G1942" s="3" t="s">
        <v>31</v>
      </c>
      <c r="H1942">
        <v>19.399999999999999</v>
      </c>
      <c r="I1942">
        <v>31.94</v>
      </c>
      <c r="J1942">
        <v>619.64</v>
      </c>
      <c r="K1942" t="s">
        <v>113</v>
      </c>
      <c r="L1942" t="b">
        <v>1</v>
      </c>
      <c r="M1942" s="3" t="s">
        <v>79</v>
      </c>
    </row>
    <row r="1943" spans="1:13" ht="34" x14ac:dyDescent="0.2">
      <c r="A1943" t="s">
        <v>2349</v>
      </c>
      <c r="B1943" t="s">
        <v>64</v>
      </c>
      <c r="C1943" t="s">
        <v>353</v>
      </c>
      <c r="D1943" s="1">
        <v>45336</v>
      </c>
      <c r="E1943" s="6" t="s">
        <v>23</v>
      </c>
      <c r="F1943" t="s">
        <v>90</v>
      </c>
      <c r="G1943" s="3" t="s">
        <v>91</v>
      </c>
      <c r="H1943">
        <v>2.5</v>
      </c>
      <c r="I1943">
        <v>69.430000000000007</v>
      </c>
      <c r="J1943">
        <v>173.59</v>
      </c>
      <c r="K1943" t="s">
        <v>32</v>
      </c>
      <c r="L1943" t="b">
        <v>0</v>
      </c>
    </row>
    <row r="1944" spans="1:13" ht="34" x14ac:dyDescent="0.2">
      <c r="A1944" t="s">
        <v>2350</v>
      </c>
      <c r="B1944" t="s">
        <v>168</v>
      </c>
      <c r="C1944" t="s">
        <v>191</v>
      </c>
      <c r="D1944" s="1">
        <v>45079</v>
      </c>
      <c r="E1944" s="6" t="s">
        <v>78</v>
      </c>
      <c r="F1944" t="s">
        <v>90</v>
      </c>
      <c r="G1944" s="3" t="s">
        <v>91</v>
      </c>
      <c r="H1944">
        <v>21</v>
      </c>
      <c r="I1944">
        <v>32.65</v>
      </c>
      <c r="J1944">
        <v>685.65</v>
      </c>
      <c r="K1944" t="s">
        <v>113</v>
      </c>
      <c r="L1944" t="b">
        <v>1</v>
      </c>
      <c r="M1944" s="3" t="s">
        <v>79</v>
      </c>
    </row>
    <row r="1945" spans="1:13" ht="34" x14ac:dyDescent="0.2">
      <c r="A1945" t="s">
        <v>2351</v>
      </c>
      <c r="B1945" t="s">
        <v>613</v>
      </c>
      <c r="C1945" t="s">
        <v>191</v>
      </c>
      <c r="D1945" s="1">
        <v>45232</v>
      </c>
      <c r="E1945" s="6" t="s">
        <v>44</v>
      </c>
      <c r="F1945" t="s">
        <v>61</v>
      </c>
      <c r="G1945" s="3" t="s">
        <v>62</v>
      </c>
      <c r="H1945">
        <v>5.5</v>
      </c>
      <c r="I1945">
        <v>25.1</v>
      </c>
      <c r="J1945">
        <v>138.05000000000001</v>
      </c>
      <c r="K1945" t="s">
        <v>26</v>
      </c>
      <c r="L1945" t="b">
        <v>0</v>
      </c>
    </row>
    <row r="1946" spans="1:13" ht="17" x14ac:dyDescent="0.2">
      <c r="A1946" t="s">
        <v>2352</v>
      </c>
      <c r="B1946" t="s">
        <v>221</v>
      </c>
      <c r="C1946" t="s">
        <v>39</v>
      </c>
      <c r="D1946" s="1">
        <v>45520</v>
      </c>
      <c r="E1946" s="6" t="s">
        <v>78</v>
      </c>
      <c r="F1946" t="s">
        <v>30</v>
      </c>
      <c r="G1946" s="3" t="s">
        <v>31</v>
      </c>
      <c r="H1946">
        <v>7.1</v>
      </c>
      <c r="I1946">
        <v>83.79</v>
      </c>
      <c r="J1946">
        <v>594.91999999999996</v>
      </c>
      <c r="K1946" t="s">
        <v>36</v>
      </c>
      <c r="L1946" t="b">
        <v>0</v>
      </c>
    </row>
    <row r="1947" spans="1:13" ht="34" x14ac:dyDescent="0.2">
      <c r="A1947" t="s">
        <v>2353</v>
      </c>
      <c r="B1947" t="s">
        <v>1217</v>
      </c>
      <c r="C1947" t="s">
        <v>274</v>
      </c>
      <c r="D1947" s="1">
        <v>44944</v>
      </c>
      <c r="E1947" s="6" t="s">
        <v>23</v>
      </c>
      <c r="F1947" t="s">
        <v>54</v>
      </c>
      <c r="G1947" s="3" t="s">
        <v>55</v>
      </c>
      <c r="H1947">
        <v>6.8</v>
      </c>
      <c r="I1947">
        <v>81.040000000000006</v>
      </c>
      <c r="J1947">
        <v>551.04</v>
      </c>
      <c r="K1947" t="s">
        <v>105</v>
      </c>
      <c r="L1947" t="b">
        <v>0</v>
      </c>
    </row>
    <row r="1948" spans="1:13" ht="17" x14ac:dyDescent="0.2">
      <c r="A1948" t="s">
        <v>2354</v>
      </c>
      <c r="B1948" t="s">
        <v>331</v>
      </c>
      <c r="C1948" t="s">
        <v>365</v>
      </c>
      <c r="D1948" s="1">
        <v>45085</v>
      </c>
      <c r="E1948" s="6" t="s">
        <v>60</v>
      </c>
      <c r="F1948" t="s">
        <v>30</v>
      </c>
      <c r="G1948" s="3" t="s">
        <v>31</v>
      </c>
      <c r="H1948">
        <v>2.6</v>
      </c>
      <c r="I1948">
        <v>25.55</v>
      </c>
      <c r="J1948">
        <v>66.430000000000007</v>
      </c>
      <c r="K1948" t="s">
        <v>19</v>
      </c>
      <c r="L1948" t="b">
        <v>0</v>
      </c>
    </row>
    <row r="1949" spans="1:13" ht="34" x14ac:dyDescent="0.2">
      <c r="A1949" t="s">
        <v>2355</v>
      </c>
      <c r="B1949" t="s">
        <v>897</v>
      </c>
      <c r="C1949" t="s">
        <v>156</v>
      </c>
      <c r="D1949" s="1">
        <v>45487</v>
      </c>
      <c r="E1949" s="6" t="s">
        <v>23</v>
      </c>
      <c r="F1949" t="s">
        <v>54</v>
      </c>
      <c r="G1949" s="3" t="s">
        <v>55</v>
      </c>
      <c r="H1949">
        <v>6.1</v>
      </c>
      <c r="I1949">
        <v>81.569999999999993</v>
      </c>
      <c r="J1949">
        <v>500</v>
      </c>
      <c r="K1949" t="s">
        <v>36</v>
      </c>
      <c r="L1949" t="b">
        <v>1</v>
      </c>
      <c r="M1949" s="3" t="s">
        <v>40</v>
      </c>
    </row>
    <row r="1950" spans="1:13" ht="17" x14ac:dyDescent="0.2">
      <c r="A1950" t="s">
        <v>2356</v>
      </c>
      <c r="B1950" t="s">
        <v>690</v>
      </c>
      <c r="C1950" t="s">
        <v>499</v>
      </c>
      <c r="D1950" s="1">
        <v>45053</v>
      </c>
      <c r="E1950" s="6" t="s">
        <v>78</v>
      </c>
      <c r="F1950" t="s">
        <v>17</v>
      </c>
      <c r="G1950" s="3" t="s">
        <v>18</v>
      </c>
      <c r="H1950">
        <v>6.1</v>
      </c>
      <c r="I1950">
        <v>33.85</v>
      </c>
      <c r="J1950">
        <v>206.46</v>
      </c>
      <c r="K1950" t="s">
        <v>82</v>
      </c>
      <c r="L1950" t="b">
        <v>0</v>
      </c>
    </row>
    <row r="1951" spans="1:13" ht="68" x14ac:dyDescent="0.2">
      <c r="A1951" t="s">
        <v>2357</v>
      </c>
      <c r="B1951" t="s">
        <v>1093</v>
      </c>
      <c r="C1951" t="s">
        <v>39</v>
      </c>
      <c r="D1951" s="1">
        <v>45613</v>
      </c>
      <c r="E1951" s="6" t="s">
        <v>16</v>
      </c>
      <c r="F1951" t="s">
        <v>50</v>
      </c>
      <c r="G1951" s="3" t="s">
        <v>51</v>
      </c>
      <c r="H1951">
        <v>6.5</v>
      </c>
      <c r="I1951">
        <v>75.95</v>
      </c>
      <c r="J1951">
        <v>493.66</v>
      </c>
      <c r="K1951" t="s">
        <v>19</v>
      </c>
      <c r="L1951" t="b">
        <v>1</v>
      </c>
      <c r="M1951" s="3" t="s">
        <v>102</v>
      </c>
    </row>
    <row r="1952" spans="1:13" ht="34" x14ac:dyDescent="0.2">
      <c r="A1952" t="s">
        <v>2358</v>
      </c>
      <c r="B1952" t="s">
        <v>2359</v>
      </c>
      <c r="C1952" t="s">
        <v>499</v>
      </c>
      <c r="D1952" s="1">
        <v>44974</v>
      </c>
      <c r="E1952" s="6" t="s">
        <v>16</v>
      </c>
      <c r="F1952" t="s">
        <v>24</v>
      </c>
      <c r="G1952" s="3" t="s">
        <v>25</v>
      </c>
      <c r="H1952">
        <v>19.7</v>
      </c>
      <c r="I1952">
        <v>43.53</v>
      </c>
      <c r="J1952">
        <v>857.54</v>
      </c>
      <c r="K1952" t="s">
        <v>56</v>
      </c>
      <c r="L1952" t="b">
        <v>1</v>
      </c>
      <c r="M1952" s="3" t="s">
        <v>79</v>
      </c>
    </row>
    <row r="1953" spans="1:13" ht="34" x14ac:dyDescent="0.2">
      <c r="A1953" t="s">
        <v>2360</v>
      </c>
      <c r="B1953" t="s">
        <v>384</v>
      </c>
      <c r="C1953" t="s">
        <v>219</v>
      </c>
      <c r="D1953" s="1">
        <v>45596</v>
      </c>
      <c r="E1953" s="6" t="s">
        <v>89</v>
      </c>
      <c r="F1953" t="s">
        <v>90</v>
      </c>
      <c r="G1953" s="3" t="s">
        <v>91</v>
      </c>
      <c r="H1953">
        <v>3.6</v>
      </c>
      <c r="I1953">
        <v>75.86</v>
      </c>
      <c r="J1953">
        <v>273.10000000000002</v>
      </c>
      <c r="K1953" t="s">
        <v>92</v>
      </c>
      <c r="L1953" t="b">
        <v>0</v>
      </c>
    </row>
    <row r="1954" spans="1:13" ht="17" x14ac:dyDescent="0.2">
      <c r="A1954" t="s">
        <v>2361</v>
      </c>
      <c r="B1954" t="s">
        <v>429</v>
      </c>
      <c r="C1954" t="s">
        <v>145</v>
      </c>
      <c r="D1954" s="1">
        <v>45529</v>
      </c>
      <c r="E1954" s="6" t="s">
        <v>78</v>
      </c>
      <c r="F1954" t="s">
        <v>17</v>
      </c>
      <c r="G1954" s="3" t="s">
        <v>18</v>
      </c>
      <c r="H1954">
        <v>5.8</v>
      </c>
      <c r="I1954">
        <v>37.94</v>
      </c>
      <c r="J1954">
        <v>220.07</v>
      </c>
      <c r="K1954" t="s">
        <v>92</v>
      </c>
      <c r="L1954" t="b">
        <v>0</v>
      </c>
    </row>
    <row r="1955" spans="1:13" ht="34" x14ac:dyDescent="0.2">
      <c r="A1955" t="s">
        <v>2362</v>
      </c>
      <c r="B1955" t="s">
        <v>372</v>
      </c>
      <c r="C1955" t="s">
        <v>183</v>
      </c>
      <c r="D1955" s="1">
        <v>45013</v>
      </c>
      <c r="E1955" s="6" t="s">
        <v>23</v>
      </c>
      <c r="F1955" t="s">
        <v>61</v>
      </c>
      <c r="G1955" s="3" t="s">
        <v>62</v>
      </c>
      <c r="H1955">
        <v>2.4</v>
      </c>
      <c r="I1955">
        <v>73.61</v>
      </c>
      <c r="J1955">
        <v>176.67</v>
      </c>
      <c r="K1955" t="s">
        <v>36</v>
      </c>
      <c r="L1955" t="b">
        <v>0</v>
      </c>
    </row>
    <row r="1956" spans="1:13" ht="17" x14ac:dyDescent="0.2">
      <c r="A1956" t="s">
        <v>2363</v>
      </c>
      <c r="B1956" t="s">
        <v>352</v>
      </c>
      <c r="C1956" t="s">
        <v>280</v>
      </c>
      <c r="D1956" s="1">
        <v>45446</v>
      </c>
      <c r="E1956" s="6" t="s">
        <v>23</v>
      </c>
      <c r="F1956" t="s">
        <v>30</v>
      </c>
      <c r="G1956" s="3" t="s">
        <v>31</v>
      </c>
      <c r="H1956">
        <v>7.1</v>
      </c>
      <c r="I1956">
        <v>81.069999999999993</v>
      </c>
      <c r="J1956">
        <v>575.57000000000005</v>
      </c>
      <c r="K1956" t="s">
        <v>56</v>
      </c>
      <c r="L1956" t="b">
        <v>0</v>
      </c>
    </row>
    <row r="1957" spans="1:13" ht="34" x14ac:dyDescent="0.2">
      <c r="A1957" t="s">
        <v>2364</v>
      </c>
      <c r="B1957" t="s">
        <v>525</v>
      </c>
      <c r="C1957" t="s">
        <v>145</v>
      </c>
      <c r="D1957" s="1">
        <v>45578</v>
      </c>
      <c r="E1957" s="6" t="s">
        <v>60</v>
      </c>
      <c r="F1957" t="s">
        <v>24</v>
      </c>
      <c r="G1957" s="3" t="s">
        <v>25</v>
      </c>
      <c r="H1957">
        <v>7.5</v>
      </c>
      <c r="I1957">
        <v>71.56</v>
      </c>
      <c r="J1957">
        <v>536.72</v>
      </c>
      <c r="K1957" t="s">
        <v>32</v>
      </c>
      <c r="L1957" t="b">
        <v>0</v>
      </c>
    </row>
    <row r="1958" spans="1:13" ht="34" x14ac:dyDescent="0.2">
      <c r="A1958" t="s">
        <v>2365</v>
      </c>
      <c r="B1958" t="s">
        <v>2359</v>
      </c>
      <c r="C1958" t="s">
        <v>323</v>
      </c>
      <c r="D1958" s="1">
        <v>45157</v>
      </c>
      <c r="E1958" s="6" t="s">
        <v>23</v>
      </c>
      <c r="F1958" t="s">
        <v>61</v>
      </c>
      <c r="G1958" s="3" t="s">
        <v>62</v>
      </c>
      <c r="H1958">
        <v>3.8</v>
      </c>
      <c r="I1958">
        <v>73.900000000000006</v>
      </c>
      <c r="J1958">
        <v>280.82</v>
      </c>
      <c r="K1958" t="s">
        <v>56</v>
      </c>
      <c r="L1958" t="b">
        <v>0</v>
      </c>
    </row>
    <row r="1959" spans="1:13" ht="34" x14ac:dyDescent="0.2">
      <c r="A1959" t="s">
        <v>2366</v>
      </c>
      <c r="B1959" t="s">
        <v>429</v>
      </c>
      <c r="C1959" t="s">
        <v>127</v>
      </c>
      <c r="D1959" s="1">
        <v>45515</v>
      </c>
      <c r="E1959" s="6" t="s">
        <v>16</v>
      </c>
      <c r="F1959" t="s">
        <v>24</v>
      </c>
      <c r="G1959" s="3" t="s">
        <v>25</v>
      </c>
      <c r="H1959">
        <v>5.3</v>
      </c>
      <c r="I1959">
        <v>45.24</v>
      </c>
      <c r="J1959">
        <v>239.8</v>
      </c>
      <c r="K1959" t="s">
        <v>92</v>
      </c>
      <c r="L1959" t="b">
        <v>0</v>
      </c>
    </row>
    <row r="1960" spans="1:13" ht="17" x14ac:dyDescent="0.2">
      <c r="A1960" t="s">
        <v>2367</v>
      </c>
      <c r="B1960" t="s">
        <v>334</v>
      </c>
      <c r="C1960" t="s">
        <v>191</v>
      </c>
      <c r="D1960" s="1">
        <v>45284</v>
      </c>
      <c r="E1960" s="6" t="s">
        <v>60</v>
      </c>
      <c r="F1960" t="s">
        <v>17</v>
      </c>
      <c r="G1960" s="3" t="s">
        <v>18</v>
      </c>
      <c r="H1960">
        <v>7.9</v>
      </c>
      <c r="I1960">
        <v>70.459999999999994</v>
      </c>
      <c r="J1960">
        <v>556.66</v>
      </c>
      <c r="K1960" t="s">
        <v>113</v>
      </c>
      <c r="L1960" t="b">
        <v>0</v>
      </c>
    </row>
    <row r="1961" spans="1:13" ht="34" x14ac:dyDescent="0.2">
      <c r="A1961" t="s">
        <v>2368</v>
      </c>
      <c r="B1961" t="s">
        <v>180</v>
      </c>
      <c r="C1961" t="s">
        <v>127</v>
      </c>
      <c r="D1961" s="1">
        <v>45240</v>
      </c>
      <c r="E1961" s="6" t="s">
        <v>16</v>
      </c>
      <c r="F1961" t="s">
        <v>90</v>
      </c>
      <c r="G1961" s="3" t="s">
        <v>91</v>
      </c>
      <c r="H1961">
        <v>5.2</v>
      </c>
      <c r="I1961">
        <v>41.98</v>
      </c>
      <c r="J1961">
        <v>218.31</v>
      </c>
      <c r="K1961" t="s">
        <v>92</v>
      </c>
      <c r="L1961" t="b">
        <v>0</v>
      </c>
    </row>
    <row r="1962" spans="1:13" ht="17" x14ac:dyDescent="0.2">
      <c r="A1962" t="s">
        <v>2369</v>
      </c>
      <c r="B1962" t="s">
        <v>155</v>
      </c>
      <c r="C1962" t="s">
        <v>49</v>
      </c>
      <c r="D1962" s="1">
        <v>45116</v>
      </c>
      <c r="E1962" s="6" t="s">
        <v>44</v>
      </c>
      <c r="F1962" t="s">
        <v>30</v>
      </c>
      <c r="G1962" s="3" t="s">
        <v>31</v>
      </c>
      <c r="H1962">
        <v>6.2</v>
      </c>
      <c r="I1962">
        <v>57.88</v>
      </c>
      <c r="J1962">
        <v>358.86</v>
      </c>
      <c r="K1962" t="s">
        <v>113</v>
      </c>
      <c r="L1962" t="b">
        <v>0</v>
      </c>
    </row>
    <row r="1963" spans="1:13" ht="68" x14ac:dyDescent="0.2">
      <c r="A1963" t="s">
        <v>2370</v>
      </c>
      <c r="B1963" t="s">
        <v>1261</v>
      </c>
      <c r="C1963" t="s">
        <v>280</v>
      </c>
      <c r="D1963" s="1">
        <v>45559</v>
      </c>
      <c r="E1963" s="6" t="s">
        <v>44</v>
      </c>
      <c r="F1963" t="s">
        <v>50</v>
      </c>
      <c r="G1963" s="3" t="s">
        <v>51</v>
      </c>
      <c r="H1963">
        <v>3.9</v>
      </c>
      <c r="I1963">
        <v>72.48</v>
      </c>
      <c r="J1963">
        <v>282.66000000000003</v>
      </c>
      <c r="K1963" t="s">
        <v>96</v>
      </c>
      <c r="L1963" t="b">
        <v>0</v>
      </c>
    </row>
    <row r="1964" spans="1:13" ht="34" x14ac:dyDescent="0.2">
      <c r="A1964" t="s">
        <v>2371</v>
      </c>
      <c r="B1964" t="s">
        <v>34</v>
      </c>
      <c r="C1964" t="s">
        <v>39</v>
      </c>
      <c r="D1964" s="1">
        <v>45313</v>
      </c>
      <c r="E1964" s="6" t="s">
        <v>23</v>
      </c>
      <c r="F1964" t="s">
        <v>45</v>
      </c>
      <c r="G1964" s="3" t="s">
        <v>46</v>
      </c>
      <c r="H1964">
        <v>4.7</v>
      </c>
      <c r="I1964">
        <v>34.82</v>
      </c>
      <c r="J1964">
        <v>163.66</v>
      </c>
      <c r="K1964" t="s">
        <v>36</v>
      </c>
      <c r="L1964" t="b">
        <v>0</v>
      </c>
    </row>
    <row r="1965" spans="1:13" ht="17" x14ac:dyDescent="0.2">
      <c r="A1965" t="s">
        <v>2372</v>
      </c>
      <c r="B1965" t="s">
        <v>221</v>
      </c>
      <c r="C1965" t="s">
        <v>178</v>
      </c>
      <c r="D1965" s="1">
        <v>45633</v>
      </c>
      <c r="E1965" s="6" t="s">
        <v>23</v>
      </c>
      <c r="F1965" t="s">
        <v>17</v>
      </c>
      <c r="G1965" s="3" t="s">
        <v>18</v>
      </c>
      <c r="H1965">
        <v>6.2</v>
      </c>
      <c r="I1965">
        <v>42.46</v>
      </c>
      <c r="J1965">
        <v>263.27999999999997</v>
      </c>
      <c r="K1965" t="s">
        <v>36</v>
      </c>
      <c r="L1965" t="b">
        <v>0</v>
      </c>
    </row>
    <row r="1966" spans="1:13" ht="34" x14ac:dyDescent="0.2">
      <c r="A1966" t="s">
        <v>2373</v>
      </c>
      <c r="B1966" t="s">
        <v>241</v>
      </c>
      <c r="C1966" t="s">
        <v>119</v>
      </c>
      <c r="D1966" s="1">
        <v>45084</v>
      </c>
      <c r="E1966" s="6" t="s">
        <v>16</v>
      </c>
      <c r="F1966" t="s">
        <v>30</v>
      </c>
      <c r="G1966" s="3" t="s">
        <v>31</v>
      </c>
      <c r="H1966">
        <v>21.5</v>
      </c>
      <c r="I1966">
        <v>69.900000000000006</v>
      </c>
      <c r="J1966">
        <v>1500</v>
      </c>
      <c r="K1966" t="s">
        <v>105</v>
      </c>
      <c r="L1966" t="b">
        <v>1</v>
      </c>
      <c r="M1966" s="3" t="s">
        <v>40</v>
      </c>
    </row>
    <row r="1967" spans="1:13" ht="34" x14ac:dyDescent="0.2">
      <c r="A1967" t="s">
        <v>2374</v>
      </c>
      <c r="B1967" t="s">
        <v>53</v>
      </c>
      <c r="C1967" t="s">
        <v>189</v>
      </c>
      <c r="D1967" s="1">
        <v>45028</v>
      </c>
      <c r="E1967" s="6" t="s">
        <v>44</v>
      </c>
      <c r="F1967" t="s">
        <v>24</v>
      </c>
      <c r="G1967" s="3" t="s">
        <v>25</v>
      </c>
      <c r="H1967">
        <v>4.2</v>
      </c>
      <c r="I1967">
        <v>76.37</v>
      </c>
      <c r="J1967">
        <v>320.75</v>
      </c>
      <c r="K1967" t="s">
        <v>56</v>
      </c>
      <c r="L1967" t="b">
        <v>0</v>
      </c>
    </row>
    <row r="1968" spans="1:13" ht="68" x14ac:dyDescent="0.2">
      <c r="A1968" t="s">
        <v>2375</v>
      </c>
      <c r="B1968" t="s">
        <v>107</v>
      </c>
      <c r="C1968" t="s">
        <v>268</v>
      </c>
      <c r="D1968" s="1">
        <v>45258</v>
      </c>
      <c r="E1968" s="6" t="s">
        <v>16</v>
      </c>
      <c r="F1968" t="s">
        <v>50</v>
      </c>
      <c r="G1968" s="3" t="s">
        <v>51</v>
      </c>
      <c r="H1968">
        <v>4.3</v>
      </c>
      <c r="I1968">
        <v>83.96</v>
      </c>
      <c r="J1968">
        <v>361.04</v>
      </c>
      <c r="K1968" t="s">
        <v>92</v>
      </c>
      <c r="L1968" t="b">
        <v>0</v>
      </c>
    </row>
    <row r="1969" spans="1:13" ht="68" x14ac:dyDescent="0.2">
      <c r="A1969" t="s">
        <v>2376</v>
      </c>
      <c r="B1969" t="s">
        <v>424</v>
      </c>
      <c r="C1969" t="s">
        <v>68</v>
      </c>
      <c r="D1969" s="1">
        <v>45028</v>
      </c>
      <c r="E1969" s="6" t="s">
        <v>60</v>
      </c>
      <c r="F1969" t="s">
        <v>50</v>
      </c>
      <c r="G1969" s="3" t="s">
        <v>51</v>
      </c>
      <c r="H1969">
        <v>7.6</v>
      </c>
      <c r="I1969">
        <v>30.76</v>
      </c>
      <c r="J1969">
        <v>233.8</v>
      </c>
      <c r="K1969" t="s">
        <v>32</v>
      </c>
      <c r="L1969" t="b">
        <v>0</v>
      </c>
    </row>
    <row r="1970" spans="1:13" ht="68" x14ac:dyDescent="0.2">
      <c r="A1970" t="s">
        <v>2377</v>
      </c>
      <c r="B1970" t="s">
        <v>493</v>
      </c>
      <c r="C1970" t="s">
        <v>266</v>
      </c>
      <c r="D1970" s="1">
        <v>45113</v>
      </c>
      <c r="E1970" s="6" t="s">
        <v>89</v>
      </c>
      <c r="F1970" t="s">
        <v>50</v>
      </c>
      <c r="G1970" s="3" t="s">
        <v>51</v>
      </c>
      <c r="H1970">
        <v>7.7</v>
      </c>
      <c r="I1970">
        <v>32.04</v>
      </c>
      <c r="J1970">
        <v>246.71</v>
      </c>
      <c r="K1970" t="s">
        <v>19</v>
      </c>
      <c r="L1970" t="b">
        <v>0</v>
      </c>
    </row>
    <row r="1971" spans="1:13" ht="34" x14ac:dyDescent="0.2">
      <c r="A1971" t="s">
        <v>2378</v>
      </c>
      <c r="B1971" t="s">
        <v>227</v>
      </c>
      <c r="C1971" t="s">
        <v>189</v>
      </c>
      <c r="D1971" s="1">
        <v>45451</v>
      </c>
      <c r="E1971" s="6" t="s">
        <v>16</v>
      </c>
      <c r="F1971" t="s">
        <v>54</v>
      </c>
      <c r="G1971" s="3" t="s">
        <v>55</v>
      </c>
      <c r="H1971">
        <v>5.6</v>
      </c>
      <c r="I1971">
        <v>83.18</v>
      </c>
      <c r="J1971">
        <v>465.83</v>
      </c>
      <c r="K1971" t="s">
        <v>19</v>
      </c>
      <c r="L1971" t="b">
        <v>0</v>
      </c>
    </row>
    <row r="1972" spans="1:13" ht="34" x14ac:dyDescent="0.2">
      <c r="A1972" t="s">
        <v>2379</v>
      </c>
      <c r="B1972" t="s">
        <v>352</v>
      </c>
      <c r="C1972" t="s">
        <v>268</v>
      </c>
      <c r="D1972" s="1">
        <v>45103</v>
      </c>
      <c r="E1972" s="6" t="s">
        <v>60</v>
      </c>
      <c r="F1972" t="s">
        <v>61</v>
      </c>
      <c r="G1972" s="3" t="s">
        <v>62</v>
      </c>
      <c r="H1972">
        <v>17.3</v>
      </c>
      <c r="I1972">
        <v>32.130000000000003</v>
      </c>
      <c r="J1972">
        <v>555.85</v>
      </c>
      <c r="K1972" t="s">
        <v>56</v>
      </c>
      <c r="L1972" t="b">
        <v>1</v>
      </c>
      <c r="M1972" s="3" t="s">
        <v>79</v>
      </c>
    </row>
    <row r="1973" spans="1:13" ht="17" x14ac:dyDescent="0.2">
      <c r="A1973" t="s">
        <v>2380</v>
      </c>
      <c r="B1973" t="s">
        <v>70</v>
      </c>
      <c r="C1973" t="s">
        <v>65</v>
      </c>
      <c r="D1973" s="1">
        <v>44985</v>
      </c>
      <c r="E1973" s="6" t="s">
        <v>23</v>
      </c>
      <c r="F1973" t="s">
        <v>17</v>
      </c>
      <c r="G1973" s="3" t="s">
        <v>18</v>
      </c>
      <c r="H1973">
        <v>3.8</v>
      </c>
      <c r="I1973">
        <v>60.77</v>
      </c>
      <c r="J1973">
        <v>230.92</v>
      </c>
      <c r="K1973" t="s">
        <v>26</v>
      </c>
      <c r="L1973" t="b">
        <v>0</v>
      </c>
    </row>
    <row r="1974" spans="1:13" ht="34" x14ac:dyDescent="0.2">
      <c r="A1974" t="s">
        <v>2381</v>
      </c>
      <c r="B1974" t="s">
        <v>819</v>
      </c>
      <c r="C1974" t="s">
        <v>68</v>
      </c>
      <c r="D1974" s="1">
        <v>44992</v>
      </c>
      <c r="E1974" s="6" t="s">
        <v>16</v>
      </c>
      <c r="F1974" t="s">
        <v>61</v>
      </c>
      <c r="G1974" s="3" t="s">
        <v>62</v>
      </c>
      <c r="H1974">
        <v>6.7</v>
      </c>
      <c r="I1974">
        <v>84.47</v>
      </c>
      <c r="J1974">
        <v>565.95000000000005</v>
      </c>
      <c r="K1974" t="s">
        <v>105</v>
      </c>
      <c r="L1974" t="b">
        <v>0</v>
      </c>
    </row>
    <row r="1975" spans="1:13" ht="34" x14ac:dyDescent="0.2">
      <c r="A1975" t="s">
        <v>2382</v>
      </c>
      <c r="B1975" t="s">
        <v>369</v>
      </c>
      <c r="C1975" t="s">
        <v>133</v>
      </c>
      <c r="D1975" s="1">
        <v>45392</v>
      </c>
      <c r="E1975" s="6" t="s">
        <v>16</v>
      </c>
      <c r="F1975" t="s">
        <v>90</v>
      </c>
      <c r="G1975" s="3" t="s">
        <v>91</v>
      </c>
      <c r="H1975">
        <v>6.7</v>
      </c>
      <c r="I1975">
        <v>76.89</v>
      </c>
      <c r="J1975">
        <v>515.19000000000005</v>
      </c>
      <c r="K1975" t="s">
        <v>82</v>
      </c>
      <c r="L1975" t="b">
        <v>0</v>
      </c>
    </row>
    <row r="1976" spans="1:13" ht="34" x14ac:dyDescent="0.2">
      <c r="A1976" t="s">
        <v>2383</v>
      </c>
      <c r="B1976" t="s">
        <v>241</v>
      </c>
      <c r="C1976" t="s">
        <v>15</v>
      </c>
      <c r="D1976" s="1">
        <v>45646</v>
      </c>
      <c r="E1976" s="6" t="s">
        <v>78</v>
      </c>
      <c r="F1976" t="s">
        <v>61</v>
      </c>
      <c r="G1976" s="3" t="s">
        <v>62</v>
      </c>
      <c r="H1976">
        <v>3.7</v>
      </c>
      <c r="I1976">
        <v>64.19</v>
      </c>
      <c r="J1976">
        <v>237.51</v>
      </c>
      <c r="K1976" t="s">
        <v>105</v>
      </c>
      <c r="L1976" t="b">
        <v>1</v>
      </c>
      <c r="M1976" s="3" t="s">
        <v>102</v>
      </c>
    </row>
    <row r="1977" spans="1:13" ht="34" x14ac:dyDescent="0.2">
      <c r="A1977" t="s">
        <v>2384</v>
      </c>
      <c r="B1977" t="s">
        <v>265</v>
      </c>
      <c r="C1977" t="s">
        <v>39</v>
      </c>
      <c r="D1977" s="1">
        <v>45031</v>
      </c>
      <c r="E1977" s="6" t="s">
        <v>60</v>
      </c>
      <c r="F1977" t="s">
        <v>24</v>
      </c>
      <c r="G1977" s="3" t="s">
        <v>25</v>
      </c>
      <c r="H1977">
        <v>25</v>
      </c>
      <c r="I1977">
        <v>29.96</v>
      </c>
      <c r="J1977">
        <v>750</v>
      </c>
      <c r="K1977" t="s">
        <v>26</v>
      </c>
      <c r="L1977" t="b">
        <v>1</v>
      </c>
      <c r="M1977" s="3" t="s">
        <v>40</v>
      </c>
    </row>
    <row r="1978" spans="1:13" ht="17" x14ac:dyDescent="0.2">
      <c r="A1978" t="s">
        <v>2385</v>
      </c>
      <c r="B1978" t="s">
        <v>598</v>
      </c>
      <c r="C1978" t="s">
        <v>343</v>
      </c>
      <c r="D1978" s="1">
        <v>45215</v>
      </c>
      <c r="E1978" s="6" t="s">
        <v>89</v>
      </c>
      <c r="F1978" t="s">
        <v>30</v>
      </c>
      <c r="G1978" s="3" t="s">
        <v>31</v>
      </c>
      <c r="H1978">
        <v>2.1</v>
      </c>
      <c r="I1978">
        <v>59.38</v>
      </c>
      <c r="J1978">
        <v>124.7</v>
      </c>
      <c r="K1978" t="s">
        <v>19</v>
      </c>
      <c r="L1978" t="b">
        <v>0</v>
      </c>
    </row>
    <row r="1979" spans="1:13" ht="17" x14ac:dyDescent="0.2">
      <c r="A1979" t="s">
        <v>2386</v>
      </c>
      <c r="B1979" t="s">
        <v>980</v>
      </c>
      <c r="C1979" t="s">
        <v>391</v>
      </c>
      <c r="D1979" s="1">
        <v>44977</v>
      </c>
      <c r="E1979" s="6" t="s">
        <v>89</v>
      </c>
      <c r="F1979" t="s">
        <v>17</v>
      </c>
      <c r="G1979" s="3" t="s">
        <v>18</v>
      </c>
      <c r="H1979">
        <v>3.6</v>
      </c>
      <c r="I1979">
        <v>69.72</v>
      </c>
      <c r="J1979">
        <v>251</v>
      </c>
      <c r="K1979" t="s">
        <v>113</v>
      </c>
      <c r="L1979" t="b">
        <v>0</v>
      </c>
    </row>
    <row r="1980" spans="1:13" ht="68" x14ac:dyDescent="0.2">
      <c r="A1980" t="s">
        <v>2387</v>
      </c>
      <c r="B1980" t="s">
        <v>539</v>
      </c>
      <c r="C1980" t="s">
        <v>133</v>
      </c>
      <c r="D1980" s="1">
        <v>45202</v>
      </c>
      <c r="E1980" s="6" t="s">
        <v>16</v>
      </c>
      <c r="F1980" t="s">
        <v>50</v>
      </c>
      <c r="G1980" s="3" t="s">
        <v>51</v>
      </c>
      <c r="H1980">
        <v>4.3</v>
      </c>
      <c r="I1980">
        <v>85</v>
      </c>
      <c r="J1980">
        <v>365.49</v>
      </c>
      <c r="K1980" t="s">
        <v>82</v>
      </c>
      <c r="L1980" t="b">
        <v>0</v>
      </c>
    </row>
    <row r="1981" spans="1:13" ht="34" x14ac:dyDescent="0.2">
      <c r="A1981" t="s">
        <v>2388</v>
      </c>
      <c r="B1981" t="s">
        <v>331</v>
      </c>
      <c r="C1981" t="s">
        <v>119</v>
      </c>
      <c r="D1981" s="1">
        <v>45544</v>
      </c>
      <c r="E1981" s="6" t="s">
        <v>78</v>
      </c>
      <c r="F1981" t="s">
        <v>61</v>
      </c>
      <c r="G1981" s="3" t="s">
        <v>62</v>
      </c>
      <c r="H1981">
        <v>3.8</v>
      </c>
      <c r="I1981">
        <v>32.51</v>
      </c>
      <c r="J1981">
        <v>123.55</v>
      </c>
      <c r="K1981" t="s">
        <v>19</v>
      </c>
      <c r="L1981" t="b">
        <v>0</v>
      </c>
    </row>
    <row r="1982" spans="1:13" ht="34" x14ac:dyDescent="0.2">
      <c r="A1982" t="s">
        <v>2389</v>
      </c>
      <c r="B1982" t="s">
        <v>1124</v>
      </c>
      <c r="C1982" t="s">
        <v>274</v>
      </c>
      <c r="D1982" s="1">
        <v>45225</v>
      </c>
      <c r="E1982" s="6" t="s">
        <v>89</v>
      </c>
      <c r="F1982" t="s">
        <v>90</v>
      </c>
      <c r="G1982" s="3" t="s">
        <v>91</v>
      </c>
      <c r="H1982">
        <v>6.3</v>
      </c>
      <c r="I1982">
        <v>76.73</v>
      </c>
      <c r="J1982">
        <v>483.42</v>
      </c>
      <c r="K1982" t="s">
        <v>113</v>
      </c>
      <c r="L1982" t="b">
        <v>0</v>
      </c>
    </row>
    <row r="1983" spans="1:13" ht="68" x14ac:dyDescent="0.2">
      <c r="A1983" t="s">
        <v>2390</v>
      </c>
      <c r="B1983" t="s">
        <v>304</v>
      </c>
      <c r="C1983" t="s">
        <v>49</v>
      </c>
      <c r="D1983" s="1">
        <v>45254</v>
      </c>
      <c r="E1983" s="6" t="s">
        <v>60</v>
      </c>
      <c r="F1983" t="s">
        <v>50</v>
      </c>
      <c r="G1983" s="3" t="s">
        <v>51</v>
      </c>
      <c r="H1983">
        <v>4.4000000000000004</v>
      </c>
      <c r="I1983">
        <v>67.040000000000006</v>
      </c>
      <c r="J1983">
        <v>295</v>
      </c>
      <c r="K1983" t="s">
        <v>92</v>
      </c>
      <c r="L1983" t="b">
        <v>0</v>
      </c>
    </row>
    <row r="1984" spans="1:13" ht="34" x14ac:dyDescent="0.2">
      <c r="A1984" t="s">
        <v>2391</v>
      </c>
      <c r="B1984" t="s">
        <v>94</v>
      </c>
      <c r="C1984" t="s">
        <v>499</v>
      </c>
      <c r="D1984" s="1">
        <v>42548</v>
      </c>
      <c r="E1984" s="6" t="s">
        <v>89</v>
      </c>
      <c r="F1984" t="s">
        <v>17</v>
      </c>
      <c r="G1984" s="3" t="s">
        <v>18</v>
      </c>
      <c r="H1984">
        <v>2.4</v>
      </c>
      <c r="I1984">
        <v>75.23</v>
      </c>
      <c r="J1984">
        <v>180.55</v>
      </c>
      <c r="K1984" t="s">
        <v>56</v>
      </c>
      <c r="L1984" t="b">
        <v>1</v>
      </c>
      <c r="M1984" s="3" t="s">
        <v>99</v>
      </c>
    </row>
    <row r="1985" spans="1:13" ht="34" x14ac:dyDescent="0.2">
      <c r="A1985" t="s">
        <v>2392</v>
      </c>
      <c r="B1985" t="s">
        <v>402</v>
      </c>
      <c r="C1985" t="s">
        <v>186</v>
      </c>
      <c r="D1985" s="1">
        <v>45394</v>
      </c>
      <c r="E1985" s="6" t="s">
        <v>16</v>
      </c>
      <c r="F1985" t="s">
        <v>90</v>
      </c>
      <c r="G1985" s="3" t="s">
        <v>91</v>
      </c>
      <c r="H1985">
        <v>6.5</v>
      </c>
      <c r="I1985">
        <v>37.450000000000003</v>
      </c>
      <c r="J1985">
        <v>243.41</v>
      </c>
      <c r="K1985" t="s">
        <v>96</v>
      </c>
      <c r="L1985" t="b">
        <v>0</v>
      </c>
    </row>
    <row r="1986" spans="1:13" ht="34" x14ac:dyDescent="0.2">
      <c r="A1986" t="s">
        <v>2393</v>
      </c>
      <c r="B1986" t="s">
        <v>347</v>
      </c>
      <c r="C1986" t="s">
        <v>68</v>
      </c>
      <c r="D1986" s="1">
        <v>45059</v>
      </c>
      <c r="E1986" s="6" t="s">
        <v>23</v>
      </c>
      <c r="F1986" t="s">
        <v>90</v>
      </c>
      <c r="G1986" s="3" t="s">
        <v>91</v>
      </c>
      <c r="H1986">
        <v>3.1</v>
      </c>
      <c r="I1986">
        <v>60.95</v>
      </c>
      <c r="J1986">
        <v>188.93</v>
      </c>
      <c r="K1986" t="s">
        <v>32</v>
      </c>
      <c r="L1986" t="b">
        <v>1</v>
      </c>
      <c r="M1986" s="3" t="s">
        <v>102</v>
      </c>
    </row>
    <row r="1987" spans="1:13" ht="34" x14ac:dyDescent="0.2">
      <c r="A1987" t="s">
        <v>2394</v>
      </c>
      <c r="B1987" t="s">
        <v>656</v>
      </c>
      <c r="C1987" t="s">
        <v>178</v>
      </c>
      <c r="D1987" s="1">
        <v>45357</v>
      </c>
      <c r="E1987" s="6" t="s">
        <v>44</v>
      </c>
      <c r="F1987" t="s">
        <v>24</v>
      </c>
      <c r="G1987" s="3" t="s">
        <v>25</v>
      </c>
      <c r="H1987">
        <v>5.3</v>
      </c>
      <c r="I1987">
        <v>73.03</v>
      </c>
      <c r="J1987">
        <v>387.06</v>
      </c>
      <c r="K1987" t="s">
        <v>56</v>
      </c>
      <c r="L1987" t="b">
        <v>0</v>
      </c>
    </row>
    <row r="1988" spans="1:13" ht="34" x14ac:dyDescent="0.2">
      <c r="A1988" t="s">
        <v>2395</v>
      </c>
      <c r="B1988" t="s">
        <v>290</v>
      </c>
      <c r="C1988" t="s">
        <v>43</v>
      </c>
      <c r="D1988" s="1">
        <v>44936</v>
      </c>
      <c r="E1988" s="6" t="s">
        <v>23</v>
      </c>
      <c r="F1988" t="s">
        <v>24</v>
      </c>
      <c r="G1988" s="3" t="s">
        <v>25</v>
      </c>
      <c r="H1988">
        <v>26.8</v>
      </c>
      <c r="I1988">
        <v>37.369999999999997</v>
      </c>
      <c r="J1988">
        <v>1000</v>
      </c>
      <c r="K1988" t="s">
        <v>92</v>
      </c>
      <c r="L1988" t="b">
        <v>1</v>
      </c>
      <c r="M1988" s="3" t="s">
        <v>40</v>
      </c>
    </row>
    <row r="1989" spans="1:13" ht="34" x14ac:dyDescent="0.2">
      <c r="A1989" t="s">
        <v>2396</v>
      </c>
      <c r="B1989" t="s">
        <v>311</v>
      </c>
      <c r="C1989" t="s">
        <v>159</v>
      </c>
      <c r="D1989" s="1">
        <v>45142</v>
      </c>
      <c r="E1989" s="6" t="s">
        <v>44</v>
      </c>
      <c r="F1989" t="s">
        <v>90</v>
      </c>
      <c r="G1989" s="3" t="s">
        <v>91</v>
      </c>
      <c r="H1989">
        <v>5.4</v>
      </c>
      <c r="I1989">
        <v>76.09</v>
      </c>
      <c r="J1989">
        <v>410.87</v>
      </c>
      <c r="K1989" t="s">
        <v>19</v>
      </c>
      <c r="L1989" t="b">
        <v>0</v>
      </c>
    </row>
    <row r="1990" spans="1:13" ht="34" x14ac:dyDescent="0.2">
      <c r="A1990" t="s">
        <v>2397</v>
      </c>
      <c r="B1990" t="s">
        <v>137</v>
      </c>
      <c r="C1990" t="s">
        <v>219</v>
      </c>
      <c r="D1990" s="1">
        <v>45150</v>
      </c>
      <c r="E1990" s="6" t="s">
        <v>78</v>
      </c>
      <c r="F1990" t="s">
        <v>90</v>
      </c>
      <c r="G1990" s="3" t="s">
        <v>91</v>
      </c>
      <c r="H1990">
        <v>7.9</v>
      </c>
      <c r="I1990">
        <v>55.37</v>
      </c>
      <c r="J1990">
        <v>437.41</v>
      </c>
      <c r="K1990" t="s">
        <v>105</v>
      </c>
      <c r="L1990" t="b">
        <v>0</v>
      </c>
    </row>
    <row r="1991" spans="1:13" ht="68" x14ac:dyDescent="0.2">
      <c r="A1991" t="s">
        <v>2398</v>
      </c>
      <c r="B1991" t="s">
        <v>855</v>
      </c>
      <c r="C1991" t="s">
        <v>95</v>
      </c>
      <c r="D1991" s="1">
        <v>45549</v>
      </c>
      <c r="E1991" s="6" t="s">
        <v>44</v>
      </c>
      <c r="F1991" t="s">
        <v>50</v>
      </c>
      <c r="G1991" s="3" t="s">
        <v>51</v>
      </c>
      <c r="H1991">
        <v>4.5</v>
      </c>
      <c r="I1991">
        <v>81.709999999999994</v>
      </c>
      <c r="J1991">
        <v>367.71</v>
      </c>
      <c r="K1991" t="s">
        <v>82</v>
      </c>
      <c r="L1991" t="b">
        <v>0</v>
      </c>
    </row>
    <row r="1992" spans="1:13" ht="17" x14ac:dyDescent="0.2">
      <c r="A1992" t="s">
        <v>2399</v>
      </c>
      <c r="B1992" t="s">
        <v>292</v>
      </c>
      <c r="C1992" t="s">
        <v>130</v>
      </c>
      <c r="D1992" s="1">
        <v>45428</v>
      </c>
      <c r="E1992" s="6" t="s">
        <v>89</v>
      </c>
      <c r="F1992" t="s">
        <v>30</v>
      </c>
      <c r="G1992" s="3" t="s">
        <v>31</v>
      </c>
      <c r="H1992">
        <v>3.8</v>
      </c>
      <c r="I1992">
        <v>81.77</v>
      </c>
      <c r="J1992">
        <v>310.74</v>
      </c>
      <c r="K1992" t="s">
        <v>32</v>
      </c>
      <c r="L1992" t="b">
        <v>0</v>
      </c>
    </row>
    <row r="1993" spans="1:13" ht="34" x14ac:dyDescent="0.2">
      <c r="A1993" t="s">
        <v>2400</v>
      </c>
      <c r="B1993" t="s">
        <v>728</v>
      </c>
      <c r="C1993" t="s">
        <v>391</v>
      </c>
      <c r="D1993" s="1">
        <v>45652</v>
      </c>
      <c r="E1993" s="6" t="s">
        <v>89</v>
      </c>
      <c r="F1993" t="s">
        <v>45</v>
      </c>
      <c r="G1993" s="3" t="s">
        <v>46</v>
      </c>
      <c r="H1993">
        <v>6</v>
      </c>
      <c r="I1993">
        <v>51.7</v>
      </c>
      <c r="J1993">
        <v>310.17</v>
      </c>
      <c r="K1993" t="s">
        <v>32</v>
      </c>
      <c r="L1993" t="b">
        <v>0</v>
      </c>
    </row>
    <row r="1994" spans="1:13" ht="17" x14ac:dyDescent="0.2">
      <c r="A1994" t="s">
        <v>2401</v>
      </c>
      <c r="B1994" t="s">
        <v>64</v>
      </c>
      <c r="C1994" t="s">
        <v>49</v>
      </c>
      <c r="D1994" s="1">
        <v>44931</v>
      </c>
      <c r="E1994" s="6" t="s">
        <v>78</v>
      </c>
      <c r="F1994" t="s">
        <v>17</v>
      </c>
      <c r="G1994" s="3" t="s">
        <v>18</v>
      </c>
      <c r="H1994">
        <v>6.2</v>
      </c>
      <c r="I1994">
        <v>56.36</v>
      </c>
      <c r="J1994">
        <v>349.43</v>
      </c>
      <c r="K1994" t="s">
        <v>32</v>
      </c>
      <c r="L1994" t="b">
        <v>0</v>
      </c>
    </row>
    <row r="1995" spans="1:13" ht="17" x14ac:dyDescent="0.2">
      <c r="A1995" t="s">
        <v>2402</v>
      </c>
      <c r="B1995" t="s">
        <v>602</v>
      </c>
      <c r="C1995" t="s">
        <v>122</v>
      </c>
      <c r="D1995" s="1">
        <v>45239</v>
      </c>
      <c r="E1995" s="6" t="s">
        <v>44</v>
      </c>
      <c r="F1995" t="s">
        <v>30</v>
      </c>
      <c r="G1995" s="3" t="s">
        <v>31</v>
      </c>
      <c r="H1995">
        <v>6.1</v>
      </c>
      <c r="I1995">
        <v>64.760000000000005</v>
      </c>
      <c r="J1995">
        <v>395.02</v>
      </c>
      <c r="K1995" t="s">
        <v>56</v>
      </c>
      <c r="L1995" t="b">
        <v>0</v>
      </c>
    </row>
    <row r="1996" spans="1:13" ht="17" x14ac:dyDescent="0.2">
      <c r="A1996" t="s">
        <v>2403</v>
      </c>
      <c r="B1996" t="s">
        <v>561</v>
      </c>
      <c r="C1996" t="s">
        <v>256</v>
      </c>
      <c r="D1996" s="1">
        <v>45011</v>
      </c>
      <c r="E1996" s="6" t="s">
        <v>23</v>
      </c>
      <c r="F1996" t="s">
        <v>30</v>
      </c>
      <c r="G1996" s="3" t="s">
        <v>31</v>
      </c>
      <c r="H1996">
        <v>2.2000000000000002</v>
      </c>
      <c r="I1996">
        <v>33.5</v>
      </c>
      <c r="J1996">
        <v>73.7</v>
      </c>
      <c r="K1996" t="s">
        <v>105</v>
      </c>
      <c r="L1996" t="b">
        <v>0</v>
      </c>
    </row>
    <row r="1997" spans="1:13" ht="68" x14ac:dyDescent="0.2">
      <c r="A1997" t="s">
        <v>2404</v>
      </c>
      <c r="B1997" t="s">
        <v>484</v>
      </c>
      <c r="C1997" t="s">
        <v>153</v>
      </c>
      <c r="D1997" s="1">
        <v>45179</v>
      </c>
      <c r="E1997" s="6" t="s">
        <v>78</v>
      </c>
      <c r="F1997" t="s">
        <v>50</v>
      </c>
      <c r="G1997" s="3" t="s">
        <v>51</v>
      </c>
      <c r="H1997">
        <v>17.7</v>
      </c>
      <c r="I1997">
        <v>37.96</v>
      </c>
      <c r="J1997">
        <v>671.89</v>
      </c>
      <c r="K1997" t="s">
        <v>26</v>
      </c>
      <c r="L1997" t="b">
        <v>1</v>
      </c>
      <c r="M1997" s="3" t="s">
        <v>79</v>
      </c>
    </row>
    <row r="1998" spans="1:13" ht="34" x14ac:dyDescent="0.2">
      <c r="A1998" t="s">
        <v>2405</v>
      </c>
      <c r="B1998" t="s">
        <v>81</v>
      </c>
      <c r="C1998" t="s">
        <v>391</v>
      </c>
      <c r="D1998" s="1">
        <v>45351</v>
      </c>
      <c r="E1998" s="6" t="s">
        <v>44</v>
      </c>
      <c r="F1998" t="s">
        <v>45</v>
      </c>
      <c r="G1998" s="3" t="s">
        <v>46</v>
      </c>
      <c r="H1998">
        <v>2.8</v>
      </c>
      <c r="I1998">
        <v>62.34</v>
      </c>
      <c r="J1998">
        <v>174.55</v>
      </c>
      <c r="K1998" t="s">
        <v>82</v>
      </c>
      <c r="L1998" t="b">
        <v>0</v>
      </c>
    </row>
    <row r="1999" spans="1:13" ht="34" x14ac:dyDescent="0.2">
      <c r="A1999" t="s">
        <v>2406</v>
      </c>
      <c r="B1999" t="s">
        <v>137</v>
      </c>
      <c r="C1999" t="s">
        <v>194</v>
      </c>
      <c r="D1999" s="1">
        <v>45364</v>
      </c>
      <c r="E1999" s="6" t="s">
        <v>23</v>
      </c>
      <c r="F1999" t="s">
        <v>45</v>
      </c>
      <c r="G1999" s="3" t="s">
        <v>46</v>
      </c>
      <c r="H1999">
        <v>3.6</v>
      </c>
      <c r="I1999">
        <v>63.99</v>
      </c>
      <c r="J1999">
        <v>230.35</v>
      </c>
      <c r="K1999" t="s">
        <v>105</v>
      </c>
      <c r="L1999" t="b">
        <v>0</v>
      </c>
    </row>
    <row r="2000" spans="1:13" ht="34" x14ac:dyDescent="0.2">
      <c r="A2000" t="s">
        <v>2407</v>
      </c>
      <c r="B2000" t="s">
        <v>593</v>
      </c>
      <c r="C2000" t="s">
        <v>85</v>
      </c>
      <c r="D2000" s="1">
        <v>45009</v>
      </c>
      <c r="E2000" s="6" t="s">
        <v>16</v>
      </c>
      <c r="F2000" t="s">
        <v>61</v>
      </c>
      <c r="G2000" s="3" t="s">
        <v>62</v>
      </c>
      <c r="H2000">
        <v>4.7</v>
      </c>
      <c r="I2000">
        <v>81.680000000000007</v>
      </c>
      <c r="J2000">
        <v>383.92</v>
      </c>
      <c r="K2000" t="s">
        <v>96</v>
      </c>
      <c r="L2000" t="b">
        <v>0</v>
      </c>
    </row>
    <row r="2001" spans="1:12" ht="34" x14ac:dyDescent="0.2">
      <c r="A2001" t="s">
        <v>2408</v>
      </c>
      <c r="B2001" t="s">
        <v>1359</v>
      </c>
      <c r="C2001" t="s">
        <v>172</v>
      </c>
      <c r="D2001" s="1">
        <v>44982</v>
      </c>
      <c r="E2001" s="6" t="s">
        <v>23</v>
      </c>
      <c r="F2001" t="s">
        <v>61</v>
      </c>
      <c r="G2001" s="3" t="s">
        <v>62</v>
      </c>
      <c r="H2001">
        <v>7.6</v>
      </c>
      <c r="I2001">
        <v>33.590000000000003</v>
      </c>
      <c r="J2001">
        <v>255.32</v>
      </c>
      <c r="K2001" t="s">
        <v>113</v>
      </c>
      <c r="L2001" t="b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02AB-4CBF-C745-8B5D-235E979EF5B4}">
  <dimension ref="A1:D10"/>
  <sheetViews>
    <sheetView workbookViewId="0">
      <selection activeCell="D11" sqref="A1:D11"/>
    </sheetView>
  </sheetViews>
  <sheetFormatPr baseColWidth="10" defaultRowHeight="16" x14ac:dyDescent="0.2"/>
  <cols>
    <col min="1" max="1" width="17.33203125" customWidth="1"/>
    <col min="2" max="2" width="18.83203125" customWidth="1"/>
    <col min="3" max="3" width="25.5" style="3" customWidth="1"/>
    <col min="4" max="4" width="16.1640625" customWidth="1"/>
  </cols>
  <sheetData>
    <row r="1" spans="1:4" ht="17" x14ac:dyDescent="0.2">
      <c r="A1" s="2" t="s">
        <v>2409</v>
      </c>
      <c r="B1" s="2" t="s">
        <v>2410</v>
      </c>
      <c r="C1" s="4" t="s">
        <v>2411</v>
      </c>
      <c r="D1" s="2" t="s">
        <v>2412</v>
      </c>
    </row>
    <row r="2" spans="1:4" ht="17" x14ac:dyDescent="0.2">
      <c r="A2" t="s">
        <v>2413</v>
      </c>
      <c r="B2" t="s">
        <v>2414</v>
      </c>
      <c r="C2" s="3" t="s">
        <v>2415</v>
      </c>
      <c r="D2">
        <v>40</v>
      </c>
    </row>
    <row r="3" spans="1:4" ht="34" x14ac:dyDescent="0.2">
      <c r="A3" t="s">
        <v>2416</v>
      </c>
      <c r="B3" t="s">
        <v>2417</v>
      </c>
      <c r="C3" s="3" t="s">
        <v>2418</v>
      </c>
      <c r="D3">
        <v>30</v>
      </c>
    </row>
    <row r="4" spans="1:4" ht="34" x14ac:dyDescent="0.2">
      <c r="A4" t="s">
        <v>2419</v>
      </c>
      <c r="B4" t="s">
        <v>2420</v>
      </c>
      <c r="C4" s="3" t="s">
        <v>2421</v>
      </c>
      <c r="D4">
        <v>20</v>
      </c>
    </row>
    <row r="5" spans="1:4" ht="17" x14ac:dyDescent="0.2">
      <c r="A5" t="s">
        <v>2422</v>
      </c>
      <c r="B5" t="s">
        <v>2423</v>
      </c>
      <c r="C5" s="3" t="s">
        <v>2424</v>
      </c>
      <c r="D5">
        <v>10</v>
      </c>
    </row>
    <row r="7" spans="1:4" x14ac:dyDescent="0.2">
      <c r="A7" s="2" t="s">
        <v>2425</v>
      </c>
    </row>
    <row r="8" spans="1:4" ht="17" x14ac:dyDescent="0.25">
      <c r="A8" s="7" t="s">
        <v>2426</v>
      </c>
      <c r="B8" s="8" t="s">
        <v>2429</v>
      </c>
    </row>
    <row r="9" spans="1:4" x14ac:dyDescent="0.2">
      <c r="A9" t="s">
        <v>2427</v>
      </c>
      <c r="B9" s="9" t="s">
        <v>2430</v>
      </c>
    </row>
    <row r="10" spans="1:4" x14ac:dyDescent="0.2">
      <c r="A10" t="s">
        <v>2428</v>
      </c>
      <c r="B10" s="10" t="s">
        <v>2431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EADC-5816-0942-A012-63B27B96E0A5}">
  <dimension ref="A1:J2001"/>
  <sheetViews>
    <sheetView tabSelected="1" workbookViewId="0">
      <selection activeCell="O22" sqref="O22"/>
    </sheetView>
  </sheetViews>
  <sheetFormatPr baseColWidth="10" defaultRowHeight="16" x14ac:dyDescent="0.2"/>
  <cols>
    <col min="7" max="7" width="13" customWidth="1"/>
    <col min="10" max="10" width="12.83203125" customWidth="1"/>
  </cols>
  <sheetData>
    <row r="1" spans="1:10" s="11" customFormat="1" ht="19" x14ac:dyDescent="0.25">
      <c r="A1" s="11" t="s">
        <v>2432</v>
      </c>
      <c r="B1" s="11" t="s">
        <v>2433</v>
      </c>
      <c r="C1" s="11" t="s">
        <v>2434</v>
      </c>
      <c r="D1" s="11" t="s">
        <v>2435</v>
      </c>
      <c r="E1" s="11" t="s">
        <v>2436</v>
      </c>
      <c r="F1" s="11" t="s">
        <v>2437</v>
      </c>
      <c r="G1" s="11" t="s">
        <v>2410</v>
      </c>
      <c r="H1" s="11" t="s">
        <v>2438</v>
      </c>
      <c r="I1" s="11" t="s">
        <v>2439</v>
      </c>
      <c r="J1" s="11" t="s">
        <v>2440</v>
      </c>
    </row>
    <row r="2" spans="1:10" x14ac:dyDescent="0.2">
      <c r="A2" t="str">
        <f>'Claims Data'!A2</f>
        <v>CLM00001</v>
      </c>
      <c r="B2" t="str">
        <f>'Claims Data'!B2</f>
        <v>PAT0204</v>
      </c>
      <c r="C2" t="str">
        <f>'Claims Data'!C2</f>
        <v>PRV0059</v>
      </c>
      <c r="D2" s="1">
        <f>'Claims Data'!D2</f>
        <v>45047</v>
      </c>
      <c r="E2">
        <f>'Claims Data'!H2</f>
        <v>2.6</v>
      </c>
      <c r="F2">
        <f>'Claims Data'!J2</f>
        <v>98.09</v>
      </c>
      <c r="G2">
        <f>'Claims Data'!M2</f>
        <v>0</v>
      </c>
      <c r="H2" t="b">
        <f>'Claims Data'!L2</f>
        <v>0</v>
      </c>
      <c r="I2">
        <f>IF(E2&gt;16,40,0)+IF(MOD(F2,250)=0,30,0)+IF(H2=TRUE,10,0)</f>
        <v>0</v>
      </c>
      <c r="J2" t="str">
        <f>IF(I2&gt;=70,"High Risk",IF(I2&gt;=30,"Medium Risk","Low Risk"))</f>
        <v>Low Risk</v>
      </c>
    </row>
    <row r="3" spans="1:10" x14ac:dyDescent="0.2">
      <c r="A3" t="str">
        <f>'Claims Data'!A3</f>
        <v>CLM00002</v>
      </c>
      <c r="B3" t="str">
        <f>'Claims Data'!B3</f>
        <v>PAT0193</v>
      </c>
      <c r="C3" t="str">
        <f>'Claims Data'!C3</f>
        <v>PRV0004</v>
      </c>
      <c r="D3" s="1">
        <f>'Claims Data'!D3</f>
        <v>45232</v>
      </c>
      <c r="E3">
        <f>'Claims Data'!H3</f>
        <v>2.2999999999999998</v>
      </c>
      <c r="F3">
        <f>'Claims Data'!J3</f>
        <v>103.52</v>
      </c>
      <c r="G3">
        <f>'Claims Data'!M3</f>
        <v>0</v>
      </c>
      <c r="H3" t="b">
        <f>'Claims Data'!L3</f>
        <v>0</v>
      </c>
      <c r="I3">
        <f t="shared" ref="I3:I66" si="0">IF(E3&gt;16,40,0)+IF(MOD(F3,250)=0,30,0)+IF(H3=TRUE,10,0)</f>
        <v>0</v>
      </c>
      <c r="J3" t="str">
        <f t="shared" ref="J3:J66" si="1">IF(I3&gt;=70,"High Risk",IF(I3&gt;=30,"Medium Risk","Low Risk"))</f>
        <v>Low Risk</v>
      </c>
    </row>
    <row r="4" spans="1:10" x14ac:dyDescent="0.2">
      <c r="A4" t="str">
        <f>'Claims Data'!A4</f>
        <v>CLM00003</v>
      </c>
      <c r="B4" t="str">
        <f>'Claims Data'!B4</f>
        <v>PAT0164</v>
      </c>
      <c r="C4" t="str">
        <f>'Claims Data'!C4</f>
        <v>PRV0041</v>
      </c>
      <c r="D4" s="1">
        <f>'Claims Data'!D4</f>
        <v>45401</v>
      </c>
      <c r="E4">
        <f>'Claims Data'!H4</f>
        <v>2.4</v>
      </c>
      <c r="F4">
        <f>'Claims Data'!J4</f>
        <v>170.18</v>
      </c>
      <c r="G4">
        <f>'Claims Data'!M4</f>
        <v>0</v>
      </c>
      <c r="H4" t="b">
        <f>'Claims Data'!L4</f>
        <v>0</v>
      </c>
      <c r="I4">
        <f t="shared" si="0"/>
        <v>0</v>
      </c>
      <c r="J4" t="str">
        <f t="shared" si="1"/>
        <v>Low Risk</v>
      </c>
    </row>
    <row r="5" spans="1:10" x14ac:dyDescent="0.2">
      <c r="A5" t="str">
        <f>'Claims Data'!A5</f>
        <v>CLM00004</v>
      </c>
      <c r="B5" t="str">
        <f>'Claims Data'!B5</f>
        <v>PAT0287</v>
      </c>
      <c r="C5" t="str">
        <f>'Claims Data'!C5</f>
        <v>PRV0043</v>
      </c>
      <c r="D5" s="1">
        <f>'Claims Data'!D5</f>
        <v>45258</v>
      </c>
      <c r="E5">
        <f>'Claims Data'!H5</f>
        <v>6.9</v>
      </c>
      <c r="F5">
        <f>'Claims Data'!J5</f>
        <v>268.95999999999998</v>
      </c>
      <c r="G5">
        <f>'Claims Data'!M5</f>
        <v>0</v>
      </c>
      <c r="H5" t="b">
        <f>'Claims Data'!L5</f>
        <v>0</v>
      </c>
      <c r="I5">
        <f t="shared" si="0"/>
        <v>0</v>
      </c>
      <c r="J5" t="str">
        <f t="shared" si="1"/>
        <v>Low Risk</v>
      </c>
    </row>
    <row r="6" spans="1:10" x14ac:dyDescent="0.2">
      <c r="A6" t="str">
        <f>'Claims Data'!A6</f>
        <v>CLM00005</v>
      </c>
      <c r="B6" t="str">
        <f>'Claims Data'!B6</f>
        <v>PAT0228</v>
      </c>
      <c r="C6" t="str">
        <f>'Claims Data'!C6</f>
        <v>PRV0005</v>
      </c>
      <c r="D6" s="1">
        <f>'Claims Data'!D6</f>
        <v>45305</v>
      </c>
      <c r="E6">
        <f>'Claims Data'!H6</f>
        <v>23.8</v>
      </c>
      <c r="F6">
        <f>'Claims Data'!J6</f>
        <v>2000</v>
      </c>
      <c r="G6" t="str">
        <f>'Claims Data'!M6</f>
        <v>phantom_round_amount</v>
      </c>
      <c r="H6" t="b">
        <f>'Claims Data'!L6</f>
        <v>1</v>
      </c>
      <c r="I6">
        <f t="shared" si="0"/>
        <v>80</v>
      </c>
      <c r="J6" t="str">
        <f t="shared" si="1"/>
        <v>High Risk</v>
      </c>
    </row>
    <row r="7" spans="1:10" x14ac:dyDescent="0.2">
      <c r="A7" t="str">
        <f>'Claims Data'!A7</f>
        <v>CLM00006</v>
      </c>
      <c r="B7" t="str">
        <f>'Claims Data'!B7</f>
        <v>PAT0200</v>
      </c>
      <c r="C7" t="str">
        <f>'Claims Data'!C7</f>
        <v>PRV0014</v>
      </c>
      <c r="D7" s="1">
        <f>'Claims Data'!D7</f>
        <v>45168</v>
      </c>
      <c r="E7">
        <f>'Claims Data'!H7</f>
        <v>6.8</v>
      </c>
      <c r="F7">
        <f>'Claims Data'!J7</f>
        <v>214.85</v>
      </c>
      <c r="G7">
        <f>'Claims Data'!M7</f>
        <v>0</v>
      </c>
      <c r="H7" t="b">
        <f>'Claims Data'!L7</f>
        <v>0</v>
      </c>
      <c r="I7">
        <f t="shared" si="0"/>
        <v>0</v>
      </c>
      <c r="J7" t="str">
        <f t="shared" si="1"/>
        <v>Low Risk</v>
      </c>
    </row>
    <row r="8" spans="1:10" x14ac:dyDescent="0.2">
      <c r="A8" t="str">
        <f>'Claims Data'!A8</f>
        <v>CLM00007</v>
      </c>
      <c r="B8" t="str">
        <f>'Claims Data'!B8</f>
        <v>PAT0053</v>
      </c>
      <c r="C8" t="str">
        <f>'Claims Data'!C8</f>
        <v>PRV0053</v>
      </c>
      <c r="D8" s="1">
        <f>'Claims Data'!D8</f>
        <v>45312</v>
      </c>
      <c r="E8">
        <f>'Claims Data'!H8</f>
        <v>2.1</v>
      </c>
      <c r="F8">
        <f>'Claims Data'!J8</f>
        <v>152.04</v>
      </c>
      <c r="G8">
        <f>'Claims Data'!M8</f>
        <v>0</v>
      </c>
      <c r="H8" t="b">
        <f>'Claims Data'!L8</f>
        <v>0</v>
      </c>
      <c r="I8">
        <f t="shared" si="0"/>
        <v>0</v>
      </c>
      <c r="J8" t="str">
        <f t="shared" si="1"/>
        <v>Low Risk</v>
      </c>
    </row>
    <row r="9" spans="1:10" x14ac:dyDescent="0.2">
      <c r="A9" t="str">
        <f>'Claims Data'!A9</f>
        <v>CLM00008</v>
      </c>
      <c r="B9" t="str">
        <f>'Claims Data'!B9</f>
        <v>PAT0040</v>
      </c>
      <c r="C9" t="str">
        <f>'Claims Data'!C9</f>
        <v>PRV0014</v>
      </c>
      <c r="D9" s="1">
        <f>'Claims Data'!D9</f>
        <v>45532</v>
      </c>
      <c r="E9">
        <f>'Claims Data'!H9</f>
        <v>2.1</v>
      </c>
      <c r="F9">
        <f>'Claims Data'!J9</f>
        <v>85.94</v>
      </c>
      <c r="G9">
        <f>'Claims Data'!M9</f>
        <v>0</v>
      </c>
      <c r="H9" t="b">
        <f>'Claims Data'!L9</f>
        <v>0</v>
      </c>
      <c r="I9">
        <f t="shared" si="0"/>
        <v>0</v>
      </c>
      <c r="J9" t="str">
        <f t="shared" si="1"/>
        <v>Low Risk</v>
      </c>
    </row>
    <row r="10" spans="1:10" x14ac:dyDescent="0.2">
      <c r="A10" t="str">
        <f>'Claims Data'!A10</f>
        <v>CLM00009</v>
      </c>
      <c r="B10" t="str">
        <f>'Claims Data'!B10</f>
        <v>PAT0031</v>
      </c>
      <c r="C10" t="str">
        <f>'Claims Data'!C10</f>
        <v>PRV0002</v>
      </c>
      <c r="D10" s="1">
        <f>'Claims Data'!D10</f>
        <v>44957</v>
      </c>
      <c r="E10">
        <f>'Claims Data'!H10</f>
        <v>5.2</v>
      </c>
      <c r="F10">
        <f>'Claims Data'!J10</f>
        <v>362.65</v>
      </c>
      <c r="G10">
        <f>'Claims Data'!M10</f>
        <v>0</v>
      </c>
      <c r="H10" t="b">
        <f>'Claims Data'!L10</f>
        <v>0</v>
      </c>
      <c r="I10">
        <f t="shared" si="0"/>
        <v>0</v>
      </c>
      <c r="J10" t="str">
        <f t="shared" si="1"/>
        <v>Low Risk</v>
      </c>
    </row>
    <row r="11" spans="1:10" x14ac:dyDescent="0.2">
      <c r="A11" t="str">
        <f>'Claims Data'!A11</f>
        <v>CLM00010</v>
      </c>
      <c r="B11" t="str">
        <f>'Claims Data'!B11</f>
        <v>PAT0144</v>
      </c>
      <c r="C11" t="str">
        <f>'Claims Data'!C11</f>
        <v>PRV0011</v>
      </c>
      <c r="D11" s="1">
        <f>'Claims Data'!D11</f>
        <v>45501</v>
      </c>
      <c r="E11">
        <f>'Claims Data'!H11</f>
        <v>6.7</v>
      </c>
      <c r="F11">
        <f>'Claims Data'!J11</f>
        <v>373.82</v>
      </c>
      <c r="G11">
        <f>'Claims Data'!M11</f>
        <v>0</v>
      </c>
      <c r="H11" t="b">
        <f>'Claims Data'!L11</f>
        <v>0</v>
      </c>
      <c r="I11">
        <f t="shared" si="0"/>
        <v>0</v>
      </c>
      <c r="J11" t="str">
        <f t="shared" si="1"/>
        <v>Low Risk</v>
      </c>
    </row>
    <row r="12" spans="1:10" x14ac:dyDescent="0.2">
      <c r="A12" t="str">
        <f>'Claims Data'!A12</f>
        <v>CLM00011</v>
      </c>
      <c r="B12" t="str">
        <f>'Claims Data'!B12</f>
        <v>PAT0034</v>
      </c>
      <c r="C12" t="str">
        <f>'Claims Data'!C12</f>
        <v>PRV0023</v>
      </c>
      <c r="D12" s="1">
        <f>'Claims Data'!D12</f>
        <v>44929</v>
      </c>
      <c r="E12">
        <f>'Claims Data'!H12</f>
        <v>9.1999999999999993</v>
      </c>
      <c r="F12">
        <f>'Claims Data'!J12</f>
        <v>750</v>
      </c>
      <c r="G12" t="str">
        <f>'Claims Data'!M12</f>
        <v>phantom_round_amount</v>
      </c>
      <c r="H12" t="b">
        <f>'Claims Data'!L12</f>
        <v>1</v>
      </c>
      <c r="I12">
        <f t="shared" si="0"/>
        <v>40</v>
      </c>
      <c r="J12" t="str">
        <f t="shared" si="1"/>
        <v>Medium Risk</v>
      </c>
    </row>
    <row r="13" spans="1:10" x14ac:dyDescent="0.2">
      <c r="A13" t="str">
        <f>'Claims Data'!A13</f>
        <v>CLM00012</v>
      </c>
      <c r="B13" t="str">
        <f>'Claims Data'!B13</f>
        <v>PAT0198</v>
      </c>
      <c r="C13" t="str">
        <f>'Claims Data'!C13</f>
        <v>PRV0040</v>
      </c>
      <c r="D13" s="1">
        <f>'Claims Data'!D13</f>
        <v>45535</v>
      </c>
      <c r="E13">
        <f>'Claims Data'!H13</f>
        <v>4.7</v>
      </c>
      <c r="F13">
        <f>'Claims Data'!J13</f>
        <v>389.36</v>
      </c>
      <c r="G13">
        <f>'Claims Data'!M13</f>
        <v>0</v>
      </c>
      <c r="H13" t="b">
        <f>'Claims Data'!L13</f>
        <v>0</v>
      </c>
      <c r="I13">
        <f t="shared" si="0"/>
        <v>0</v>
      </c>
      <c r="J13" t="str">
        <f t="shared" si="1"/>
        <v>Low Risk</v>
      </c>
    </row>
    <row r="14" spans="1:10" x14ac:dyDescent="0.2">
      <c r="A14" t="str">
        <f>'Claims Data'!A14</f>
        <v>CLM00013</v>
      </c>
      <c r="B14" t="str">
        <f>'Claims Data'!B14</f>
        <v>PAT0181</v>
      </c>
      <c r="C14" t="str">
        <f>'Claims Data'!C14</f>
        <v>PRV0041</v>
      </c>
      <c r="D14" s="1">
        <f>'Claims Data'!D14</f>
        <v>45237</v>
      </c>
      <c r="E14">
        <f>'Claims Data'!H14</f>
        <v>14.8</v>
      </c>
      <c r="F14">
        <f>'Claims Data'!J14</f>
        <v>750</v>
      </c>
      <c r="G14" t="str">
        <f>'Claims Data'!M14</f>
        <v>phantom_round_amount</v>
      </c>
      <c r="H14" t="b">
        <f>'Claims Data'!L14</f>
        <v>1</v>
      </c>
      <c r="I14">
        <f t="shared" si="0"/>
        <v>40</v>
      </c>
      <c r="J14" t="str">
        <f t="shared" si="1"/>
        <v>Medium Risk</v>
      </c>
    </row>
    <row r="15" spans="1:10" x14ac:dyDescent="0.2">
      <c r="A15" t="str">
        <f>'Claims Data'!A15</f>
        <v>CLM00014</v>
      </c>
      <c r="B15" t="str">
        <f>'Claims Data'!B15</f>
        <v>PAT0081</v>
      </c>
      <c r="C15" t="str">
        <f>'Claims Data'!C15</f>
        <v>PRV0043</v>
      </c>
      <c r="D15" s="1">
        <f>'Claims Data'!D15</f>
        <v>45017</v>
      </c>
      <c r="E15">
        <f>'Claims Data'!H15</f>
        <v>6.3</v>
      </c>
      <c r="F15">
        <f>'Claims Data'!J15</f>
        <v>325.17</v>
      </c>
      <c r="G15">
        <f>'Claims Data'!M15</f>
        <v>0</v>
      </c>
      <c r="H15" t="b">
        <f>'Claims Data'!L15</f>
        <v>0</v>
      </c>
      <c r="I15">
        <f t="shared" si="0"/>
        <v>0</v>
      </c>
      <c r="J15" t="str">
        <f t="shared" si="1"/>
        <v>Low Risk</v>
      </c>
    </row>
    <row r="16" spans="1:10" x14ac:dyDescent="0.2">
      <c r="A16" t="str">
        <f>'Claims Data'!A16</f>
        <v>CLM00015</v>
      </c>
      <c r="B16" t="str">
        <f>'Claims Data'!B16</f>
        <v>PAT0199</v>
      </c>
      <c r="C16" t="str">
        <f>'Claims Data'!C16</f>
        <v>PRV0041</v>
      </c>
      <c r="D16" s="1">
        <f>'Claims Data'!D16</f>
        <v>45445</v>
      </c>
      <c r="E16">
        <f>'Claims Data'!H16</f>
        <v>22</v>
      </c>
      <c r="F16">
        <f>'Claims Data'!J16</f>
        <v>636.67999999999995</v>
      </c>
      <c r="G16" t="str">
        <f>'Claims Data'!M16</f>
        <v>inflated_hours</v>
      </c>
      <c r="H16" t="b">
        <f>'Claims Data'!L16</f>
        <v>1</v>
      </c>
      <c r="I16">
        <f t="shared" si="0"/>
        <v>50</v>
      </c>
      <c r="J16" t="str">
        <f t="shared" si="1"/>
        <v>Medium Risk</v>
      </c>
    </row>
    <row r="17" spans="1:10" x14ac:dyDescent="0.2">
      <c r="A17" t="str">
        <f>'Claims Data'!A17</f>
        <v>CLM00016</v>
      </c>
      <c r="B17" t="str">
        <f>'Claims Data'!B17</f>
        <v>PAT0092</v>
      </c>
      <c r="C17" t="str">
        <f>'Claims Data'!C17</f>
        <v>PRV0040</v>
      </c>
      <c r="D17" s="1">
        <f>'Claims Data'!D17</f>
        <v>45231</v>
      </c>
      <c r="E17">
        <f>'Claims Data'!H17</f>
        <v>4.3</v>
      </c>
      <c r="F17">
        <f>'Claims Data'!J17</f>
        <v>261.63</v>
      </c>
      <c r="G17">
        <f>'Claims Data'!M17</f>
        <v>0</v>
      </c>
      <c r="H17" t="b">
        <f>'Claims Data'!L17</f>
        <v>0</v>
      </c>
      <c r="I17">
        <f t="shared" si="0"/>
        <v>0</v>
      </c>
      <c r="J17" t="str">
        <f t="shared" si="1"/>
        <v>Low Risk</v>
      </c>
    </row>
    <row r="18" spans="1:10" x14ac:dyDescent="0.2">
      <c r="A18" t="str">
        <f>'Claims Data'!A18</f>
        <v>CLM00017</v>
      </c>
      <c r="B18" t="str">
        <f>'Claims Data'!B18</f>
        <v>PAT0260</v>
      </c>
      <c r="C18" t="str">
        <f>'Claims Data'!C18</f>
        <v>PRV0018</v>
      </c>
      <c r="D18" s="1">
        <f>'Claims Data'!D18</f>
        <v>45082</v>
      </c>
      <c r="E18">
        <f>'Claims Data'!H18</f>
        <v>5</v>
      </c>
      <c r="F18">
        <f>'Claims Data'!J18</f>
        <v>254.06</v>
      </c>
      <c r="G18">
        <f>'Claims Data'!M18</f>
        <v>0</v>
      </c>
      <c r="H18" t="b">
        <f>'Claims Data'!L18</f>
        <v>0</v>
      </c>
      <c r="I18">
        <f t="shared" si="0"/>
        <v>0</v>
      </c>
      <c r="J18" t="str">
        <f t="shared" si="1"/>
        <v>Low Risk</v>
      </c>
    </row>
    <row r="19" spans="1:10" x14ac:dyDescent="0.2">
      <c r="A19" t="str">
        <f>'Claims Data'!A19</f>
        <v>CLM00018</v>
      </c>
      <c r="B19" t="str">
        <f>'Claims Data'!B19</f>
        <v>PAT0253</v>
      </c>
      <c r="C19" t="str">
        <f>'Claims Data'!C19</f>
        <v>PRV0056</v>
      </c>
      <c r="D19" s="1">
        <f>'Claims Data'!D19</f>
        <v>44945</v>
      </c>
      <c r="E19">
        <f>'Claims Data'!H19</f>
        <v>7.1</v>
      </c>
      <c r="F19">
        <f>'Claims Data'!J19</f>
        <v>454.79</v>
      </c>
      <c r="G19">
        <f>'Claims Data'!M19</f>
        <v>0</v>
      </c>
      <c r="H19" t="b">
        <f>'Claims Data'!L19</f>
        <v>0</v>
      </c>
      <c r="I19">
        <f t="shared" si="0"/>
        <v>0</v>
      </c>
      <c r="J19" t="str">
        <f t="shared" si="1"/>
        <v>Low Risk</v>
      </c>
    </row>
    <row r="20" spans="1:10" x14ac:dyDescent="0.2">
      <c r="A20" t="str">
        <f>'Claims Data'!A20</f>
        <v>CLM00019</v>
      </c>
      <c r="B20" t="str">
        <f>'Claims Data'!B20</f>
        <v>PAT0120</v>
      </c>
      <c r="C20" t="str">
        <f>'Claims Data'!C20</f>
        <v>PRV0003</v>
      </c>
      <c r="D20" s="1">
        <f>'Claims Data'!D20</f>
        <v>45245</v>
      </c>
      <c r="E20">
        <f>'Claims Data'!H20</f>
        <v>9.6</v>
      </c>
      <c r="F20">
        <f>'Claims Data'!J20</f>
        <v>750</v>
      </c>
      <c r="G20" t="str">
        <f>'Claims Data'!M20</f>
        <v>phantom_round_amount</v>
      </c>
      <c r="H20" t="b">
        <f>'Claims Data'!L20</f>
        <v>1</v>
      </c>
      <c r="I20">
        <f t="shared" si="0"/>
        <v>40</v>
      </c>
      <c r="J20" t="str">
        <f t="shared" si="1"/>
        <v>Medium Risk</v>
      </c>
    </row>
    <row r="21" spans="1:10" x14ac:dyDescent="0.2">
      <c r="A21" t="str">
        <f>'Claims Data'!A21</f>
        <v>CLM00020</v>
      </c>
      <c r="B21" t="str">
        <f>'Claims Data'!B21</f>
        <v>PAT0213</v>
      </c>
      <c r="C21" t="str">
        <f>'Claims Data'!C21</f>
        <v>PRV0056</v>
      </c>
      <c r="D21" s="1">
        <f>'Claims Data'!D21</f>
        <v>40657</v>
      </c>
      <c r="E21">
        <f>'Claims Data'!H21</f>
        <v>7</v>
      </c>
      <c r="F21">
        <f>'Claims Data'!J21</f>
        <v>342.47</v>
      </c>
      <c r="G21" t="str">
        <f>'Claims Data'!M21</f>
        <v>deceased_patient_billing</v>
      </c>
      <c r="H21" t="b">
        <f>'Claims Data'!L21</f>
        <v>1</v>
      </c>
      <c r="I21">
        <f t="shared" si="0"/>
        <v>10</v>
      </c>
      <c r="J21" t="str">
        <f t="shared" si="1"/>
        <v>Low Risk</v>
      </c>
    </row>
    <row r="22" spans="1:10" x14ac:dyDescent="0.2">
      <c r="A22" t="str">
        <f>'Claims Data'!A22</f>
        <v>CLM00021</v>
      </c>
      <c r="B22" t="str">
        <f>'Claims Data'!B22</f>
        <v>PAT0133</v>
      </c>
      <c r="C22" t="str">
        <f>'Claims Data'!C22</f>
        <v>PRV0041</v>
      </c>
      <c r="D22" s="1">
        <f>'Claims Data'!D22</f>
        <v>45501</v>
      </c>
      <c r="E22">
        <f>'Claims Data'!H22</f>
        <v>3.9</v>
      </c>
      <c r="F22">
        <f>'Claims Data'!J22</f>
        <v>170.63</v>
      </c>
      <c r="G22" t="str">
        <f>'Claims Data'!M22</f>
        <v>duplicate_claim</v>
      </c>
      <c r="H22" t="b">
        <f>'Claims Data'!L22</f>
        <v>1</v>
      </c>
      <c r="I22">
        <f t="shared" si="0"/>
        <v>10</v>
      </c>
      <c r="J22" t="str">
        <f t="shared" si="1"/>
        <v>Low Risk</v>
      </c>
    </row>
    <row r="23" spans="1:10" x14ac:dyDescent="0.2">
      <c r="A23" t="str">
        <f>'Claims Data'!A23</f>
        <v>CLM00022</v>
      </c>
      <c r="B23" t="str">
        <f>'Claims Data'!B23</f>
        <v>PAT0129</v>
      </c>
      <c r="C23" t="str">
        <f>'Claims Data'!C23</f>
        <v>PRV0003</v>
      </c>
      <c r="D23" s="1">
        <f>'Claims Data'!D23</f>
        <v>45514</v>
      </c>
      <c r="E23">
        <f>'Claims Data'!H23</f>
        <v>17.899999999999999</v>
      </c>
      <c r="F23">
        <f>'Claims Data'!J23</f>
        <v>1185.1600000000001</v>
      </c>
      <c r="G23" t="str">
        <f>'Claims Data'!M23</f>
        <v>inflated_hours</v>
      </c>
      <c r="H23" t="b">
        <f>'Claims Data'!L23</f>
        <v>1</v>
      </c>
      <c r="I23">
        <f t="shared" si="0"/>
        <v>50</v>
      </c>
      <c r="J23" t="str">
        <f t="shared" si="1"/>
        <v>Medium Risk</v>
      </c>
    </row>
    <row r="24" spans="1:10" x14ac:dyDescent="0.2">
      <c r="A24" t="str">
        <f>'Claims Data'!A24</f>
        <v>CLM00023</v>
      </c>
      <c r="B24" t="str">
        <f>'Claims Data'!B24</f>
        <v>PAT0148</v>
      </c>
      <c r="C24" t="str">
        <f>'Claims Data'!C24</f>
        <v>PRV0040</v>
      </c>
      <c r="D24" s="1">
        <f>'Claims Data'!D24</f>
        <v>45075</v>
      </c>
      <c r="E24">
        <f>'Claims Data'!H24</f>
        <v>2.5</v>
      </c>
      <c r="F24">
        <f>'Claims Data'!J24</f>
        <v>75.3</v>
      </c>
      <c r="G24">
        <f>'Claims Data'!M24</f>
        <v>0</v>
      </c>
      <c r="H24" t="b">
        <f>'Claims Data'!L24</f>
        <v>0</v>
      </c>
      <c r="I24">
        <f t="shared" si="0"/>
        <v>0</v>
      </c>
      <c r="J24" t="str">
        <f t="shared" si="1"/>
        <v>Low Risk</v>
      </c>
    </row>
    <row r="25" spans="1:10" x14ac:dyDescent="0.2">
      <c r="A25" t="str">
        <f>'Claims Data'!A25</f>
        <v>CLM00024</v>
      </c>
      <c r="B25" t="str">
        <f>'Claims Data'!B25</f>
        <v>PAT0179</v>
      </c>
      <c r="C25" t="str">
        <f>'Claims Data'!C25</f>
        <v>PRV0007</v>
      </c>
      <c r="D25" s="1">
        <f>'Claims Data'!D25</f>
        <v>44949</v>
      </c>
      <c r="E25">
        <f>'Claims Data'!H25</f>
        <v>6.5</v>
      </c>
      <c r="F25">
        <f>'Claims Data'!J25</f>
        <v>307.83</v>
      </c>
      <c r="G25">
        <f>'Claims Data'!M25</f>
        <v>0</v>
      </c>
      <c r="H25" t="b">
        <f>'Claims Data'!L25</f>
        <v>0</v>
      </c>
      <c r="I25">
        <f t="shared" si="0"/>
        <v>0</v>
      </c>
      <c r="J25" t="str">
        <f t="shared" si="1"/>
        <v>Low Risk</v>
      </c>
    </row>
    <row r="26" spans="1:10" x14ac:dyDescent="0.2">
      <c r="A26" t="str">
        <f>'Claims Data'!A26</f>
        <v>CLM00025</v>
      </c>
      <c r="B26" t="str">
        <f>'Claims Data'!B26</f>
        <v>PAT0061</v>
      </c>
      <c r="C26" t="str">
        <f>'Claims Data'!C26</f>
        <v>PRV0023</v>
      </c>
      <c r="D26" s="1">
        <f>'Claims Data'!D26</f>
        <v>45336</v>
      </c>
      <c r="E26">
        <f>'Claims Data'!H26</f>
        <v>5.5</v>
      </c>
      <c r="F26">
        <f>'Claims Data'!J26</f>
        <v>322.82</v>
      </c>
      <c r="G26">
        <f>'Claims Data'!M26</f>
        <v>0</v>
      </c>
      <c r="H26" t="b">
        <f>'Claims Data'!L26</f>
        <v>0</v>
      </c>
      <c r="I26">
        <f t="shared" si="0"/>
        <v>0</v>
      </c>
      <c r="J26" t="str">
        <f t="shared" si="1"/>
        <v>Low Risk</v>
      </c>
    </row>
    <row r="27" spans="1:10" x14ac:dyDescent="0.2">
      <c r="A27" t="str">
        <f>'Claims Data'!A27</f>
        <v>CLM00026</v>
      </c>
      <c r="B27" t="str">
        <f>'Claims Data'!B27</f>
        <v>PAT0143</v>
      </c>
      <c r="C27" t="str">
        <f>'Claims Data'!C27</f>
        <v>PRV0022</v>
      </c>
      <c r="D27" s="1">
        <f>'Claims Data'!D27</f>
        <v>45134</v>
      </c>
      <c r="E27">
        <f>'Claims Data'!H27</f>
        <v>4.5</v>
      </c>
      <c r="F27">
        <f>'Claims Data'!J27</f>
        <v>348.37</v>
      </c>
      <c r="G27">
        <f>'Claims Data'!M27</f>
        <v>0</v>
      </c>
      <c r="H27" t="b">
        <f>'Claims Data'!L27</f>
        <v>0</v>
      </c>
      <c r="I27">
        <f t="shared" si="0"/>
        <v>0</v>
      </c>
      <c r="J27" t="str">
        <f t="shared" si="1"/>
        <v>Low Risk</v>
      </c>
    </row>
    <row r="28" spans="1:10" x14ac:dyDescent="0.2">
      <c r="A28" t="str">
        <f>'Claims Data'!A28</f>
        <v>CLM00027</v>
      </c>
      <c r="B28" t="str">
        <f>'Claims Data'!B28</f>
        <v>PAT0284</v>
      </c>
      <c r="C28" t="str">
        <f>'Claims Data'!C28</f>
        <v>PRV0029</v>
      </c>
      <c r="D28" s="1">
        <f>'Claims Data'!D28</f>
        <v>45077</v>
      </c>
      <c r="E28">
        <f>'Claims Data'!H28</f>
        <v>7.8</v>
      </c>
      <c r="F28">
        <f>'Claims Data'!J28</f>
        <v>475.99</v>
      </c>
      <c r="G28">
        <f>'Claims Data'!M28</f>
        <v>0</v>
      </c>
      <c r="H28" t="b">
        <f>'Claims Data'!L28</f>
        <v>0</v>
      </c>
      <c r="I28">
        <f t="shared" si="0"/>
        <v>0</v>
      </c>
      <c r="J28" t="str">
        <f t="shared" si="1"/>
        <v>Low Risk</v>
      </c>
    </row>
    <row r="29" spans="1:10" x14ac:dyDescent="0.2">
      <c r="A29" t="str">
        <f>'Claims Data'!A29</f>
        <v>CLM00028</v>
      </c>
      <c r="B29" t="str">
        <f>'Claims Data'!B29</f>
        <v>PAT0145</v>
      </c>
      <c r="C29" t="str">
        <f>'Claims Data'!C29</f>
        <v>PRV0050</v>
      </c>
      <c r="D29" s="1">
        <f>'Claims Data'!D29</f>
        <v>45175</v>
      </c>
      <c r="E29">
        <f>'Claims Data'!H29</f>
        <v>5.5</v>
      </c>
      <c r="F29">
        <f>'Claims Data'!J29</f>
        <v>207.7</v>
      </c>
      <c r="G29">
        <f>'Claims Data'!M29</f>
        <v>0</v>
      </c>
      <c r="H29" t="b">
        <f>'Claims Data'!L29</f>
        <v>0</v>
      </c>
      <c r="I29">
        <f t="shared" si="0"/>
        <v>0</v>
      </c>
      <c r="J29" t="str">
        <f t="shared" si="1"/>
        <v>Low Risk</v>
      </c>
    </row>
    <row r="30" spans="1:10" x14ac:dyDescent="0.2">
      <c r="A30" t="str">
        <f>'Claims Data'!A30</f>
        <v>CLM00029</v>
      </c>
      <c r="B30" t="str">
        <f>'Claims Data'!B30</f>
        <v>PAT0148</v>
      </c>
      <c r="C30" t="str">
        <f>'Claims Data'!C30</f>
        <v>PRV0031</v>
      </c>
      <c r="D30" s="1">
        <f>'Claims Data'!D30</f>
        <v>45097</v>
      </c>
      <c r="E30">
        <f>'Claims Data'!H30</f>
        <v>18.100000000000001</v>
      </c>
      <c r="F30">
        <f>'Claims Data'!J30</f>
        <v>569.97</v>
      </c>
      <c r="G30" t="str">
        <f>'Claims Data'!M30</f>
        <v>inflated_hours</v>
      </c>
      <c r="H30" t="b">
        <f>'Claims Data'!L30</f>
        <v>1</v>
      </c>
      <c r="I30">
        <f t="shared" si="0"/>
        <v>50</v>
      </c>
      <c r="J30" t="str">
        <f t="shared" si="1"/>
        <v>Medium Risk</v>
      </c>
    </row>
    <row r="31" spans="1:10" x14ac:dyDescent="0.2">
      <c r="A31" t="str">
        <f>'Claims Data'!A31</f>
        <v>CLM00030</v>
      </c>
      <c r="B31" t="str">
        <f>'Claims Data'!B31</f>
        <v>PAT0169</v>
      </c>
      <c r="C31" t="str">
        <f>'Claims Data'!C31</f>
        <v>PRV0051</v>
      </c>
      <c r="D31" s="1">
        <f>'Claims Data'!D31</f>
        <v>45383</v>
      </c>
      <c r="E31">
        <f>'Claims Data'!H31</f>
        <v>2.7</v>
      </c>
      <c r="F31">
        <f>'Claims Data'!J31</f>
        <v>112.63</v>
      </c>
      <c r="G31">
        <f>'Claims Data'!M31</f>
        <v>0</v>
      </c>
      <c r="H31" t="b">
        <f>'Claims Data'!L31</f>
        <v>0</v>
      </c>
      <c r="I31">
        <f t="shared" si="0"/>
        <v>0</v>
      </c>
      <c r="J31" t="str">
        <f t="shared" si="1"/>
        <v>Low Risk</v>
      </c>
    </row>
    <row r="32" spans="1:10" x14ac:dyDescent="0.2">
      <c r="A32" t="str">
        <f>'Claims Data'!A32</f>
        <v>CLM00031</v>
      </c>
      <c r="B32" t="str">
        <f>'Claims Data'!B32</f>
        <v>PAT0227</v>
      </c>
      <c r="C32" t="str">
        <f>'Claims Data'!C32</f>
        <v>PRV0047</v>
      </c>
      <c r="D32" s="1">
        <f>'Claims Data'!D32</f>
        <v>45292</v>
      </c>
      <c r="E32">
        <f>'Claims Data'!H32</f>
        <v>7.1</v>
      </c>
      <c r="F32">
        <f>'Claims Data'!J32</f>
        <v>592.66</v>
      </c>
      <c r="G32">
        <f>'Claims Data'!M32</f>
        <v>0</v>
      </c>
      <c r="H32" t="b">
        <f>'Claims Data'!L32</f>
        <v>0</v>
      </c>
      <c r="I32">
        <f t="shared" si="0"/>
        <v>0</v>
      </c>
      <c r="J32" t="str">
        <f t="shared" si="1"/>
        <v>Low Risk</v>
      </c>
    </row>
    <row r="33" spans="1:10" x14ac:dyDescent="0.2">
      <c r="A33" t="str">
        <f>'Claims Data'!A33</f>
        <v>CLM00032</v>
      </c>
      <c r="B33" t="str">
        <f>'Claims Data'!B33</f>
        <v>PAT0224</v>
      </c>
      <c r="C33" t="str">
        <f>'Claims Data'!C33</f>
        <v>PRV0009</v>
      </c>
      <c r="D33" s="1">
        <f>'Claims Data'!D33</f>
        <v>45091</v>
      </c>
      <c r="E33">
        <f>'Claims Data'!H33</f>
        <v>5.7</v>
      </c>
      <c r="F33">
        <f>'Claims Data'!J33</f>
        <v>367.48</v>
      </c>
      <c r="G33">
        <f>'Claims Data'!M33</f>
        <v>0</v>
      </c>
      <c r="H33" t="b">
        <f>'Claims Data'!L33</f>
        <v>0</v>
      </c>
      <c r="I33">
        <f t="shared" si="0"/>
        <v>0</v>
      </c>
      <c r="J33" t="str">
        <f t="shared" si="1"/>
        <v>Low Risk</v>
      </c>
    </row>
    <row r="34" spans="1:10" x14ac:dyDescent="0.2">
      <c r="A34" t="str">
        <f>'Claims Data'!A34</f>
        <v>CLM00033</v>
      </c>
      <c r="B34" t="str">
        <f>'Claims Data'!B34</f>
        <v>PAT0002</v>
      </c>
      <c r="C34" t="str">
        <f>'Claims Data'!C34</f>
        <v>PRV0011</v>
      </c>
      <c r="D34" s="1">
        <f>'Claims Data'!D34</f>
        <v>44969</v>
      </c>
      <c r="E34">
        <f>'Claims Data'!H34</f>
        <v>2.2000000000000002</v>
      </c>
      <c r="F34">
        <f>'Claims Data'!J34</f>
        <v>91.07</v>
      </c>
      <c r="G34">
        <f>'Claims Data'!M34</f>
        <v>0</v>
      </c>
      <c r="H34" t="b">
        <f>'Claims Data'!L34</f>
        <v>0</v>
      </c>
      <c r="I34">
        <f t="shared" si="0"/>
        <v>0</v>
      </c>
      <c r="J34" t="str">
        <f t="shared" si="1"/>
        <v>Low Risk</v>
      </c>
    </row>
    <row r="35" spans="1:10" x14ac:dyDescent="0.2">
      <c r="A35" t="str">
        <f>'Claims Data'!A35</f>
        <v>CLM00034</v>
      </c>
      <c r="B35" t="str">
        <f>'Claims Data'!B35</f>
        <v>PAT0050</v>
      </c>
      <c r="C35" t="str">
        <f>'Claims Data'!C35</f>
        <v>PRV0006</v>
      </c>
      <c r="D35" s="1">
        <f>'Claims Data'!D35</f>
        <v>45172</v>
      </c>
      <c r="E35">
        <f>'Claims Data'!H35</f>
        <v>4.0999999999999996</v>
      </c>
      <c r="F35">
        <f>'Claims Data'!J35</f>
        <v>147.13</v>
      </c>
      <c r="G35">
        <f>'Claims Data'!M35</f>
        <v>0</v>
      </c>
      <c r="H35" t="b">
        <f>'Claims Data'!L35</f>
        <v>0</v>
      </c>
      <c r="I35">
        <f t="shared" si="0"/>
        <v>0</v>
      </c>
      <c r="J35" t="str">
        <f t="shared" si="1"/>
        <v>Low Risk</v>
      </c>
    </row>
    <row r="36" spans="1:10" x14ac:dyDescent="0.2">
      <c r="A36" t="str">
        <f>'Claims Data'!A36</f>
        <v>CLM00035</v>
      </c>
      <c r="B36" t="str">
        <f>'Claims Data'!B36</f>
        <v>PAT0168</v>
      </c>
      <c r="C36" t="str">
        <f>'Claims Data'!C36</f>
        <v>PRV0002</v>
      </c>
      <c r="D36" s="1">
        <f>'Claims Data'!D36</f>
        <v>45594</v>
      </c>
      <c r="E36">
        <f>'Claims Data'!H36</f>
        <v>2.4</v>
      </c>
      <c r="F36">
        <f>'Claims Data'!J36</f>
        <v>166.7</v>
      </c>
      <c r="G36">
        <f>'Claims Data'!M36</f>
        <v>0</v>
      </c>
      <c r="H36" t="b">
        <f>'Claims Data'!L36</f>
        <v>0</v>
      </c>
      <c r="I36">
        <f t="shared" si="0"/>
        <v>0</v>
      </c>
      <c r="J36" t="str">
        <f t="shared" si="1"/>
        <v>Low Risk</v>
      </c>
    </row>
    <row r="37" spans="1:10" x14ac:dyDescent="0.2">
      <c r="A37" t="str">
        <f>'Claims Data'!A37</f>
        <v>CLM00036</v>
      </c>
      <c r="B37" t="str">
        <f>'Claims Data'!B37</f>
        <v>PAT0072</v>
      </c>
      <c r="C37" t="str">
        <f>'Claims Data'!C37</f>
        <v>PRV0002</v>
      </c>
      <c r="D37" s="1">
        <f>'Claims Data'!D37</f>
        <v>45336</v>
      </c>
      <c r="E37">
        <f>'Claims Data'!H37</f>
        <v>6.5</v>
      </c>
      <c r="F37">
        <f>'Claims Data'!J37</f>
        <v>246.4</v>
      </c>
      <c r="G37">
        <f>'Claims Data'!M37</f>
        <v>0</v>
      </c>
      <c r="H37" t="b">
        <f>'Claims Data'!L37</f>
        <v>0</v>
      </c>
      <c r="I37">
        <f t="shared" si="0"/>
        <v>0</v>
      </c>
      <c r="J37" t="str">
        <f t="shared" si="1"/>
        <v>Low Risk</v>
      </c>
    </row>
    <row r="38" spans="1:10" x14ac:dyDescent="0.2">
      <c r="A38" t="str">
        <f>'Claims Data'!A38</f>
        <v>CLM00037</v>
      </c>
      <c r="B38" t="str">
        <f>'Claims Data'!B38</f>
        <v>PAT0261</v>
      </c>
      <c r="C38" t="str">
        <f>'Claims Data'!C38</f>
        <v>PRV0030</v>
      </c>
      <c r="D38" s="1">
        <f>'Claims Data'!D38</f>
        <v>45050</v>
      </c>
      <c r="E38">
        <f>'Claims Data'!H38</f>
        <v>4</v>
      </c>
      <c r="F38">
        <f>'Claims Data'!J38</f>
        <v>188.81</v>
      </c>
      <c r="G38">
        <f>'Claims Data'!M38</f>
        <v>0</v>
      </c>
      <c r="H38" t="b">
        <f>'Claims Data'!L38</f>
        <v>0</v>
      </c>
      <c r="I38">
        <f t="shared" si="0"/>
        <v>0</v>
      </c>
      <c r="J38" t="str">
        <f t="shared" si="1"/>
        <v>Low Risk</v>
      </c>
    </row>
    <row r="39" spans="1:10" x14ac:dyDescent="0.2">
      <c r="A39" t="str">
        <f>'Claims Data'!A39</f>
        <v>CLM00038</v>
      </c>
      <c r="B39" t="str">
        <f>'Claims Data'!B39</f>
        <v>PAT0206</v>
      </c>
      <c r="C39" t="str">
        <f>'Claims Data'!C39</f>
        <v>PRV0025</v>
      </c>
      <c r="D39" s="1">
        <f>'Claims Data'!D39</f>
        <v>45570</v>
      </c>
      <c r="E39">
        <f>'Claims Data'!H39</f>
        <v>6.7</v>
      </c>
      <c r="F39">
        <f>'Claims Data'!J39</f>
        <v>395.67</v>
      </c>
      <c r="G39">
        <f>'Claims Data'!M39</f>
        <v>0</v>
      </c>
      <c r="H39" t="b">
        <f>'Claims Data'!L39</f>
        <v>0</v>
      </c>
      <c r="I39">
        <f t="shared" si="0"/>
        <v>0</v>
      </c>
      <c r="J39" t="str">
        <f t="shared" si="1"/>
        <v>Low Risk</v>
      </c>
    </row>
    <row r="40" spans="1:10" x14ac:dyDescent="0.2">
      <c r="A40" t="str">
        <f>'Claims Data'!A40</f>
        <v>CLM00039</v>
      </c>
      <c r="B40" t="str">
        <f>'Claims Data'!B40</f>
        <v>PAT0108</v>
      </c>
      <c r="C40" t="str">
        <f>'Claims Data'!C40</f>
        <v>PRV0041</v>
      </c>
      <c r="D40" s="1">
        <f>'Claims Data'!D40</f>
        <v>45568</v>
      </c>
      <c r="E40">
        <f>'Claims Data'!H40</f>
        <v>2.9</v>
      </c>
      <c r="F40">
        <f>'Claims Data'!J40</f>
        <v>203.77</v>
      </c>
      <c r="G40">
        <f>'Claims Data'!M40</f>
        <v>0</v>
      </c>
      <c r="H40" t="b">
        <f>'Claims Data'!L40</f>
        <v>0</v>
      </c>
      <c r="I40">
        <f t="shared" si="0"/>
        <v>0</v>
      </c>
      <c r="J40" t="str">
        <f t="shared" si="1"/>
        <v>Low Risk</v>
      </c>
    </row>
    <row r="41" spans="1:10" x14ac:dyDescent="0.2">
      <c r="A41" t="str">
        <f>'Claims Data'!A41</f>
        <v>CLM00040</v>
      </c>
      <c r="B41" t="str">
        <f>'Claims Data'!B41</f>
        <v>PAT0236</v>
      </c>
      <c r="C41" t="str">
        <f>'Claims Data'!C41</f>
        <v>PRV0037</v>
      </c>
      <c r="D41" s="1">
        <f>'Claims Data'!D41</f>
        <v>45132</v>
      </c>
      <c r="E41">
        <f>'Claims Data'!H41</f>
        <v>3.6</v>
      </c>
      <c r="F41">
        <f>'Claims Data'!J41</f>
        <v>232.98</v>
      </c>
      <c r="G41">
        <f>'Claims Data'!M41</f>
        <v>0</v>
      </c>
      <c r="H41" t="b">
        <f>'Claims Data'!L41</f>
        <v>0</v>
      </c>
      <c r="I41">
        <f t="shared" si="0"/>
        <v>0</v>
      </c>
      <c r="J41" t="str">
        <f t="shared" si="1"/>
        <v>Low Risk</v>
      </c>
    </row>
    <row r="42" spans="1:10" x14ac:dyDescent="0.2">
      <c r="A42" t="str">
        <f>'Claims Data'!A42</f>
        <v>CLM00041</v>
      </c>
      <c r="B42" t="str">
        <f>'Claims Data'!B42</f>
        <v>PAT0197</v>
      </c>
      <c r="C42" t="str">
        <f>'Claims Data'!C42</f>
        <v>PRV0020</v>
      </c>
      <c r="D42" s="1">
        <f>'Claims Data'!D42</f>
        <v>45379</v>
      </c>
      <c r="E42">
        <f>'Claims Data'!H42</f>
        <v>4.5</v>
      </c>
      <c r="F42">
        <f>'Claims Data'!J42</f>
        <v>170.7</v>
      </c>
      <c r="G42">
        <f>'Claims Data'!M42</f>
        <v>0</v>
      </c>
      <c r="H42" t="b">
        <f>'Claims Data'!L42</f>
        <v>0</v>
      </c>
      <c r="I42">
        <f t="shared" si="0"/>
        <v>0</v>
      </c>
      <c r="J42" t="str">
        <f t="shared" si="1"/>
        <v>Low Risk</v>
      </c>
    </row>
    <row r="43" spans="1:10" x14ac:dyDescent="0.2">
      <c r="A43" t="str">
        <f>'Claims Data'!A43</f>
        <v>CLM00042</v>
      </c>
      <c r="B43" t="str">
        <f>'Claims Data'!B43</f>
        <v>PAT0004</v>
      </c>
      <c r="C43" t="str">
        <f>'Claims Data'!C43</f>
        <v>PRV0049</v>
      </c>
      <c r="D43" s="1">
        <f>'Claims Data'!D43</f>
        <v>45364</v>
      </c>
      <c r="E43">
        <f>'Claims Data'!H43</f>
        <v>4.0999999999999996</v>
      </c>
      <c r="F43">
        <f>'Claims Data'!J43</f>
        <v>129.78</v>
      </c>
      <c r="G43">
        <f>'Claims Data'!M43</f>
        <v>0</v>
      </c>
      <c r="H43" t="b">
        <f>'Claims Data'!L43</f>
        <v>0</v>
      </c>
      <c r="I43">
        <f t="shared" si="0"/>
        <v>0</v>
      </c>
      <c r="J43" t="str">
        <f t="shared" si="1"/>
        <v>Low Risk</v>
      </c>
    </row>
    <row r="44" spans="1:10" x14ac:dyDescent="0.2">
      <c r="A44" t="str">
        <f>'Claims Data'!A44</f>
        <v>CLM00043</v>
      </c>
      <c r="B44" t="str">
        <f>'Claims Data'!B44</f>
        <v>PAT0197</v>
      </c>
      <c r="C44" t="str">
        <f>'Claims Data'!C44</f>
        <v>PRV0044</v>
      </c>
      <c r="D44" s="1">
        <f>'Claims Data'!D44</f>
        <v>45539</v>
      </c>
      <c r="E44">
        <f>'Claims Data'!H44</f>
        <v>5.2</v>
      </c>
      <c r="F44">
        <f>'Claims Data'!J44</f>
        <v>226.23</v>
      </c>
      <c r="G44">
        <f>'Claims Data'!M44</f>
        <v>0</v>
      </c>
      <c r="H44" t="b">
        <f>'Claims Data'!L44</f>
        <v>0</v>
      </c>
      <c r="I44">
        <f t="shared" si="0"/>
        <v>0</v>
      </c>
      <c r="J44" t="str">
        <f t="shared" si="1"/>
        <v>Low Risk</v>
      </c>
    </row>
    <row r="45" spans="1:10" x14ac:dyDescent="0.2">
      <c r="A45" t="str">
        <f>'Claims Data'!A45</f>
        <v>CLM00044</v>
      </c>
      <c r="B45" t="str">
        <f>'Claims Data'!B45</f>
        <v>PAT0054</v>
      </c>
      <c r="C45" t="str">
        <f>'Claims Data'!C45</f>
        <v>PRV0009</v>
      </c>
      <c r="D45" s="1">
        <f>'Claims Data'!D45</f>
        <v>45076</v>
      </c>
      <c r="E45">
        <f>'Claims Data'!H45</f>
        <v>7.9</v>
      </c>
      <c r="F45">
        <f>'Claims Data'!J45</f>
        <v>223.47</v>
      </c>
      <c r="G45">
        <f>'Claims Data'!M45</f>
        <v>0</v>
      </c>
      <c r="H45" t="b">
        <f>'Claims Data'!L45</f>
        <v>0</v>
      </c>
      <c r="I45">
        <f t="shared" si="0"/>
        <v>0</v>
      </c>
      <c r="J45" t="str">
        <f t="shared" si="1"/>
        <v>Low Risk</v>
      </c>
    </row>
    <row r="46" spans="1:10" x14ac:dyDescent="0.2">
      <c r="A46" t="str">
        <f>'Claims Data'!A46</f>
        <v>CLM00045</v>
      </c>
      <c r="B46" t="str">
        <f>'Claims Data'!B46</f>
        <v>PAT0173</v>
      </c>
      <c r="C46" t="str">
        <f>'Claims Data'!C46</f>
        <v>PRV0028</v>
      </c>
      <c r="D46" s="1">
        <f>'Claims Data'!D46</f>
        <v>45048</v>
      </c>
      <c r="E46">
        <f>'Claims Data'!H46</f>
        <v>7.7</v>
      </c>
      <c r="F46">
        <f>'Claims Data'!J46</f>
        <v>547.02</v>
      </c>
      <c r="G46">
        <f>'Claims Data'!M46</f>
        <v>0</v>
      </c>
      <c r="H46" t="b">
        <f>'Claims Data'!L46</f>
        <v>0</v>
      </c>
      <c r="I46">
        <f t="shared" si="0"/>
        <v>0</v>
      </c>
      <c r="J46" t="str">
        <f t="shared" si="1"/>
        <v>Low Risk</v>
      </c>
    </row>
    <row r="47" spans="1:10" x14ac:dyDescent="0.2">
      <c r="A47" t="str">
        <f>'Claims Data'!A47</f>
        <v>CLM00046</v>
      </c>
      <c r="B47" t="str">
        <f>'Claims Data'!B47</f>
        <v>PAT0005</v>
      </c>
      <c r="C47" t="str">
        <f>'Claims Data'!C47</f>
        <v>PRV0005</v>
      </c>
      <c r="D47" s="1">
        <f>'Claims Data'!D47</f>
        <v>45476</v>
      </c>
      <c r="E47">
        <f>'Claims Data'!H47</f>
        <v>4</v>
      </c>
      <c r="F47">
        <f>'Claims Data'!J47</f>
        <v>101.86</v>
      </c>
      <c r="G47">
        <f>'Claims Data'!M47</f>
        <v>0</v>
      </c>
      <c r="H47" t="b">
        <f>'Claims Data'!L47</f>
        <v>0</v>
      </c>
      <c r="I47">
        <f t="shared" si="0"/>
        <v>0</v>
      </c>
      <c r="J47" t="str">
        <f t="shared" si="1"/>
        <v>Low Risk</v>
      </c>
    </row>
    <row r="48" spans="1:10" x14ac:dyDescent="0.2">
      <c r="A48" t="str">
        <f>'Claims Data'!A48</f>
        <v>CLM00047</v>
      </c>
      <c r="B48" t="str">
        <f>'Claims Data'!B48</f>
        <v>PAT0236</v>
      </c>
      <c r="C48" t="str">
        <f>'Claims Data'!C48</f>
        <v>PRV0007</v>
      </c>
      <c r="D48" s="1">
        <f>'Claims Data'!D48</f>
        <v>45655</v>
      </c>
      <c r="E48">
        <f>'Claims Data'!H48</f>
        <v>3.1</v>
      </c>
      <c r="F48">
        <f>'Claims Data'!J48</f>
        <v>148.22</v>
      </c>
      <c r="G48">
        <f>'Claims Data'!M48</f>
        <v>0</v>
      </c>
      <c r="H48" t="b">
        <f>'Claims Data'!L48</f>
        <v>0</v>
      </c>
      <c r="I48">
        <f t="shared" si="0"/>
        <v>0</v>
      </c>
      <c r="J48" t="str">
        <f t="shared" si="1"/>
        <v>Low Risk</v>
      </c>
    </row>
    <row r="49" spans="1:10" x14ac:dyDescent="0.2">
      <c r="A49" t="str">
        <f>'Claims Data'!A49</f>
        <v>CLM00048</v>
      </c>
      <c r="B49" t="str">
        <f>'Claims Data'!B49</f>
        <v>PAT0011</v>
      </c>
      <c r="C49" t="str">
        <f>'Claims Data'!C49</f>
        <v>PRV0042</v>
      </c>
      <c r="D49" s="1">
        <f>'Claims Data'!D49</f>
        <v>45087</v>
      </c>
      <c r="E49">
        <f>'Claims Data'!H49</f>
        <v>5</v>
      </c>
      <c r="F49">
        <f>'Claims Data'!J49</f>
        <v>375.01</v>
      </c>
      <c r="G49">
        <f>'Claims Data'!M49</f>
        <v>0</v>
      </c>
      <c r="H49" t="b">
        <f>'Claims Data'!L49</f>
        <v>0</v>
      </c>
      <c r="I49">
        <f t="shared" si="0"/>
        <v>0</v>
      </c>
      <c r="J49" t="str">
        <f t="shared" si="1"/>
        <v>Low Risk</v>
      </c>
    </row>
    <row r="50" spans="1:10" x14ac:dyDescent="0.2">
      <c r="A50" t="str">
        <f>'Claims Data'!A50</f>
        <v>CLM00049</v>
      </c>
      <c r="B50" t="str">
        <f>'Claims Data'!B50</f>
        <v>PAT0223</v>
      </c>
      <c r="C50" t="str">
        <f>'Claims Data'!C50</f>
        <v>PRV0017</v>
      </c>
      <c r="D50" s="1">
        <f>'Claims Data'!D50</f>
        <v>44980</v>
      </c>
      <c r="E50">
        <f>'Claims Data'!H50</f>
        <v>4.4000000000000004</v>
      </c>
      <c r="F50">
        <f>'Claims Data'!J50</f>
        <v>305.89999999999998</v>
      </c>
      <c r="G50">
        <f>'Claims Data'!M50</f>
        <v>0</v>
      </c>
      <c r="H50" t="b">
        <f>'Claims Data'!L50</f>
        <v>0</v>
      </c>
      <c r="I50">
        <f t="shared" si="0"/>
        <v>0</v>
      </c>
      <c r="J50" t="str">
        <f t="shared" si="1"/>
        <v>Low Risk</v>
      </c>
    </row>
    <row r="51" spans="1:10" x14ac:dyDescent="0.2">
      <c r="A51" t="str">
        <f>'Claims Data'!A51</f>
        <v>CLM00050</v>
      </c>
      <c r="B51" t="str">
        <f>'Claims Data'!B51</f>
        <v>PAT0209</v>
      </c>
      <c r="C51" t="str">
        <f>'Claims Data'!C51</f>
        <v>PRV0046</v>
      </c>
      <c r="D51" s="1">
        <f>'Claims Data'!D51</f>
        <v>45117</v>
      </c>
      <c r="E51">
        <f>'Claims Data'!H51</f>
        <v>4.8</v>
      </c>
      <c r="F51">
        <f>'Claims Data'!J51</f>
        <v>142.41999999999999</v>
      </c>
      <c r="G51">
        <f>'Claims Data'!M51</f>
        <v>0</v>
      </c>
      <c r="H51" t="b">
        <f>'Claims Data'!L51</f>
        <v>0</v>
      </c>
      <c r="I51">
        <f t="shared" si="0"/>
        <v>0</v>
      </c>
      <c r="J51" t="str">
        <f t="shared" si="1"/>
        <v>Low Risk</v>
      </c>
    </row>
    <row r="52" spans="1:10" x14ac:dyDescent="0.2">
      <c r="A52" t="str">
        <f>'Claims Data'!A52</f>
        <v>CLM00051</v>
      </c>
      <c r="B52" t="str">
        <f>'Claims Data'!B52</f>
        <v>PAT0140</v>
      </c>
      <c r="C52" t="str">
        <f>'Claims Data'!C52</f>
        <v>PRV0005</v>
      </c>
      <c r="D52" s="1">
        <f>'Claims Data'!D52</f>
        <v>45302</v>
      </c>
      <c r="E52">
        <f>'Claims Data'!H52</f>
        <v>5.4</v>
      </c>
      <c r="F52">
        <f>'Claims Data'!J52</f>
        <v>364.88</v>
      </c>
      <c r="G52">
        <f>'Claims Data'!M52</f>
        <v>0</v>
      </c>
      <c r="H52" t="b">
        <f>'Claims Data'!L52</f>
        <v>0</v>
      </c>
      <c r="I52">
        <f t="shared" si="0"/>
        <v>0</v>
      </c>
      <c r="J52" t="str">
        <f t="shared" si="1"/>
        <v>Low Risk</v>
      </c>
    </row>
    <row r="53" spans="1:10" x14ac:dyDescent="0.2">
      <c r="A53" t="str">
        <f>'Claims Data'!A53</f>
        <v>CLM00052</v>
      </c>
      <c r="B53" t="str">
        <f>'Claims Data'!B53</f>
        <v>PAT0163</v>
      </c>
      <c r="C53" t="str">
        <f>'Claims Data'!C53</f>
        <v>PRV0048</v>
      </c>
      <c r="D53" s="1">
        <f>'Claims Data'!D53</f>
        <v>45291</v>
      </c>
      <c r="E53">
        <f>'Claims Data'!H53</f>
        <v>2.7</v>
      </c>
      <c r="F53">
        <f>'Claims Data'!J53</f>
        <v>70.88</v>
      </c>
      <c r="G53">
        <f>'Claims Data'!M53</f>
        <v>0</v>
      </c>
      <c r="H53" t="b">
        <f>'Claims Data'!L53</f>
        <v>0</v>
      </c>
      <c r="I53">
        <f t="shared" si="0"/>
        <v>0</v>
      </c>
      <c r="J53" t="str">
        <f t="shared" si="1"/>
        <v>Low Risk</v>
      </c>
    </row>
    <row r="54" spans="1:10" x14ac:dyDescent="0.2">
      <c r="A54" t="str">
        <f>'Claims Data'!A54</f>
        <v>CLM00053</v>
      </c>
      <c r="B54" t="str">
        <f>'Claims Data'!B54</f>
        <v>PAT0132</v>
      </c>
      <c r="C54" t="str">
        <f>'Claims Data'!C54</f>
        <v>PRV0027</v>
      </c>
      <c r="D54" s="1">
        <f>'Claims Data'!D54</f>
        <v>44949</v>
      </c>
      <c r="E54">
        <f>'Claims Data'!H54</f>
        <v>6.8</v>
      </c>
      <c r="F54">
        <f>'Claims Data'!J54</f>
        <v>422.2</v>
      </c>
      <c r="G54">
        <f>'Claims Data'!M54</f>
        <v>0</v>
      </c>
      <c r="H54" t="b">
        <f>'Claims Data'!L54</f>
        <v>0</v>
      </c>
      <c r="I54">
        <f t="shared" si="0"/>
        <v>0</v>
      </c>
      <c r="J54" t="str">
        <f t="shared" si="1"/>
        <v>Low Risk</v>
      </c>
    </row>
    <row r="55" spans="1:10" x14ac:dyDescent="0.2">
      <c r="A55" t="str">
        <f>'Claims Data'!A55</f>
        <v>CLM00054</v>
      </c>
      <c r="B55" t="str">
        <f>'Claims Data'!B55</f>
        <v>PAT0249</v>
      </c>
      <c r="C55" t="str">
        <f>'Claims Data'!C55</f>
        <v>PRV0035</v>
      </c>
      <c r="D55" s="1">
        <f>'Claims Data'!D55</f>
        <v>45363</v>
      </c>
      <c r="E55">
        <f>'Claims Data'!H55</f>
        <v>2.5</v>
      </c>
      <c r="F55">
        <f>'Claims Data'!J55</f>
        <v>189.17</v>
      </c>
      <c r="G55" t="str">
        <f>'Claims Data'!M55</f>
        <v>duplicate_claim</v>
      </c>
      <c r="H55" t="b">
        <f>'Claims Data'!L55</f>
        <v>1</v>
      </c>
      <c r="I55">
        <f t="shared" si="0"/>
        <v>10</v>
      </c>
      <c r="J55" t="str">
        <f t="shared" si="1"/>
        <v>Low Risk</v>
      </c>
    </row>
    <row r="56" spans="1:10" x14ac:dyDescent="0.2">
      <c r="A56" t="str">
        <f>'Claims Data'!A56</f>
        <v>CLM00055</v>
      </c>
      <c r="B56" t="str">
        <f>'Claims Data'!B56</f>
        <v>PAT0249</v>
      </c>
      <c r="C56" t="str">
        <f>'Claims Data'!C56</f>
        <v>PRV0057</v>
      </c>
      <c r="D56" s="1">
        <f>'Claims Data'!D56</f>
        <v>45018</v>
      </c>
      <c r="E56">
        <f>'Claims Data'!H56</f>
        <v>5.5</v>
      </c>
      <c r="F56">
        <f>'Claims Data'!J56</f>
        <v>310.41000000000003</v>
      </c>
      <c r="G56">
        <f>'Claims Data'!M56</f>
        <v>0</v>
      </c>
      <c r="H56" t="b">
        <f>'Claims Data'!L56</f>
        <v>0</v>
      </c>
      <c r="I56">
        <f t="shared" si="0"/>
        <v>0</v>
      </c>
      <c r="J56" t="str">
        <f t="shared" si="1"/>
        <v>Low Risk</v>
      </c>
    </row>
    <row r="57" spans="1:10" x14ac:dyDescent="0.2">
      <c r="A57" t="str">
        <f>'Claims Data'!A57</f>
        <v>CLM00056</v>
      </c>
      <c r="B57" t="str">
        <f>'Claims Data'!B57</f>
        <v>PAT0238</v>
      </c>
      <c r="C57" t="str">
        <f>'Claims Data'!C57</f>
        <v>PRV0052</v>
      </c>
      <c r="D57" s="1">
        <f>'Claims Data'!D57</f>
        <v>44990</v>
      </c>
      <c r="E57">
        <f>'Claims Data'!H57</f>
        <v>6.5</v>
      </c>
      <c r="F57">
        <f>'Claims Data'!J57</f>
        <v>248.91</v>
      </c>
      <c r="G57">
        <f>'Claims Data'!M57</f>
        <v>0</v>
      </c>
      <c r="H57" t="b">
        <f>'Claims Data'!L57</f>
        <v>0</v>
      </c>
      <c r="I57">
        <f t="shared" si="0"/>
        <v>0</v>
      </c>
      <c r="J57" t="str">
        <f t="shared" si="1"/>
        <v>Low Risk</v>
      </c>
    </row>
    <row r="58" spans="1:10" x14ac:dyDescent="0.2">
      <c r="A58" t="str">
        <f>'Claims Data'!A58</f>
        <v>CLM00057</v>
      </c>
      <c r="B58" t="str">
        <f>'Claims Data'!B58</f>
        <v>PAT0261</v>
      </c>
      <c r="C58" t="str">
        <f>'Claims Data'!C58</f>
        <v>PRV0013</v>
      </c>
      <c r="D58" s="1">
        <f>'Claims Data'!D58</f>
        <v>45466</v>
      </c>
      <c r="E58">
        <f>'Claims Data'!H58</f>
        <v>5.0999999999999996</v>
      </c>
      <c r="F58">
        <f>'Claims Data'!J58</f>
        <v>162.38999999999999</v>
      </c>
      <c r="G58">
        <f>'Claims Data'!M58</f>
        <v>0</v>
      </c>
      <c r="H58" t="b">
        <f>'Claims Data'!L58</f>
        <v>0</v>
      </c>
      <c r="I58">
        <f t="shared" si="0"/>
        <v>0</v>
      </c>
      <c r="J58" t="str">
        <f t="shared" si="1"/>
        <v>Low Risk</v>
      </c>
    </row>
    <row r="59" spans="1:10" x14ac:dyDescent="0.2">
      <c r="A59" t="str">
        <f>'Claims Data'!A59</f>
        <v>CLM00058</v>
      </c>
      <c r="B59" t="str">
        <f>'Claims Data'!B59</f>
        <v>PAT0091</v>
      </c>
      <c r="C59" t="str">
        <f>'Claims Data'!C59</f>
        <v>PRV0022</v>
      </c>
      <c r="D59" s="1">
        <f>'Claims Data'!D59</f>
        <v>45204</v>
      </c>
      <c r="E59">
        <f>'Claims Data'!H59</f>
        <v>7.4</v>
      </c>
      <c r="F59">
        <f>'Claims Data'!J59</f>
        <v>340.12</v>
      </c>
      <c r="G59">
        <f>'Claims Data'!M59</f>
        <v>0</v>
      </c>
      <c r="H59" t="b">
        <f>'Claims Data'!L59</f>
        <v>0</v>
      </c>
      <c r="I59">
        <f t="shared" si="0"/>
        <v>0</v>
      </c>
      <c r="J59" t="str">
        <f t="shared" si="1"/>
        <v>Low Risk</v>
      </c>
    </row>
    <row r="60" spans="1:10" x14ac:dyDescent="0.2">
      <c r="A60" t="str">
        <f>'Claims Data'!A60</f>
        <v>CLM00059</v>
      </c>
      <c r="B60" t="str">
        <f>'Claims Data'!B60</f>
        <v>PAT0179</v>
      </c>
      <c r="C60" t="str">
        <f>'Claims Data'!C60</f>
        <v>PRV0047</v>
      </c>
      <c r="D60" s="1">
        <f>'Claims Data'!D60</f>
        <v>45615</v>
      </c>
      <c r="E60">
        <f>'Claims Data'!H60</f>
        <v>3.4</v>
      </c>
      <c r="F60">
        <f>'Claims Data'!J60</f>
        <v>114.87</v>
      </c>
      <c r="G60">
        <f>'Claims Data'!M60</f>
        <v>0</v>
      </c>
      <c r="H60" t="b">
        <f>'Claims Data'!L60</f>
        <v>0</v>
      </c>
      <c r="I60">
        <f t="shared" si="0"/>
        <v>0</v>
      </c>
      <c r="J60" t="str">
        <f t="shared" si="1"/>
        <v>Low Risk</v>
      </c>
    </row>
    <row r="61" spans="1:10" x14ac:dyDescent="0.2">
      <c r="A61" t="str">
        <f>'Claims Data'!A61</f>
        <v>CLM00060</v>
      </c>
      <c r="B61" t="str">
        <f>'Claims Data'!B61</f>
        <v>PAT0179</v>
      </c>
      <c r="C61" t="str">
        <f>'Claims Data'!C61</f>
        <v>PRV0025</v>
      </c>
      <c r="D61" s="1">
        <f>'Claims Data'!D61</f>
        <v>45349</v>
      </c>
      <c r="E61">
        <f>'Claims Data'!H61</f>
        <v>5.6</v>
      </c>
      <c r="F61">
        <f>'Claims Data'!J61</f>
        <v>395.43</v>
      </c>
      <c r="G61">
        <f>'Claims Data'!M61</f>
        <v>0</v>
      </c>
      <c r="H61" t="b">
        <f>'Claims Data'!L61</f>
        <v>0</v>
      </c>
      <c r="I61">
        <f t="shared" si="0"/>
        <v>0</v>
      </c>
      <c r="J61" t="str">
        <f t="shared" si="1"/>
        <v>Low Risk</v>
      </c>
    </row>
    <row r="62" spans="1:10" x14ac:dyDescent="0.2">
      <c r="A62" t="str">
        <f>'Claims Data'!A62</f>
        <v>CLM00061</v>
      </c>
      <c r="B62" t="str">
        <f>'Claims Data'!B62</f>
        <v>PAT0022</v>
      </c>
      <c r="C62" t="str">
        <f>'Claims Data'!C62</f>
        <v>PRV0013</v>
      </c>
      <c r="D62" s="1">
        <f>'Claims Data'!D62</f>
        <v>45570</v>
      </c>
      <c r="E62">
        <f>'Claims Data'!H62</f>
        <v>3.1</v>
      </c>
      <c r="F62">
        <f>'Claims Data'!J62</f>
        <v>221.25</v>
      </c>
      <c r="G62">
        <f>'Claims Data'!M62</f>
        <v>0</v>
      </c>
      <c r="H62" t="b">
        <f>'Claims Data'!L62</f>
        <v>0</v>
      </c>
      <c r="I62">
        <f t="shared" si="0"/>
        <v>0</v>
      </c>
      <c r="J62" t="str">
        <f t="shared" si="1"/>
        <v>Low Risk</v>
      </c>
    </row>
    <row r="63" spans="1:10" x14ac:dyDescent="0.2">
      <c r="A63" t="str">
        <f>'Claims Data'!A63</f>
        <v>CLM00062</v>
      </c>
      <c r="B63" t="str">
        <f>'Claims Data'!B63</f>
        <v>PAT0136</v>
      </c>
      <c r="C63" t="str">
        <f>'Claims Data'!C63</f>
        <v>PRV0056</v>
      </c>
      <c r="D63" s="1">
        <f>'Claims Data'!D63</f>
        <v>45208</v>
      </c>
      <c r="E63">
        <f>'Claims Data'!H63</f>
        <v>6.5</v>
      </c>
      <c r="F63">
        <f>'Claims Data'!J63</f>
        <v>458.85</v>
      </c>
      <c r="G63">
        <f>'Claims Data'!M63</f>
        <v>0</v>
      </c>
      <c r="H63" t="b">
        <f>'Claims Data'!L63</f>
        <v>0</v>
      </c>
      <c r="I63">
        <f t="shared" si="0"/>
        <v>0</v>
      </c>
      <c r="J63" t="str">
        <f t="shared" si="1"/>
        <v>Low Risk</v>
      </c>
    </row>
    <row r="64" spans="1:10" x14ac:dyDescent="0.2">
      <c r="A64" t="str">
        <f>'Claims Data'!A64</f>
        <v>CLM00063</v>
      </c>
      <c r="B64" t="str">
        <f>'Claims Data'!B64</f>
        <v>PAT0151</v>
      </c>
      <c r="C64" t="str">
        <f>'Claims Data'!C64</f>
        <v>PRV0021</v>
      </c>
      <c r="D64" s="1">
        <f>'Claims Data'!D64</f>
        <v>44942</v>
      </c>
      <c r="E64">
        <f>'Claims Data'!H64</f>
        <v>7.2</v>
      </c>
      <c r="F64">
        <f>'Claims Data'!J64</f>
        <v>450.96</v>
      </c>
      <c r="G64">
        <f>'Claims Data'!M64</f>
        <v>0</v>
      </c>
      <c r="H64" t="b">
        <f>'Claims Data'!L64</f>
        <v>0</v>
      </c>
      <c r="I64">
        <f t="shared" si="0"/>
        <v>0</v>
      </c>
      <c r="J64" t="str">
        <f t="shared" si="1"/>
        <v>Low Risk</v>
      </c>
    </row>
    <row r="65" spans="1:10" x14ac:dyDescent="0.2">
      <c r="A65" t="str">
        <f>'Claims Data'!A65</f>
        <v>CLM00064</v>
      </c>
      <c r="B65" t="str">
        <f>'Claims Data'!B65</f>
        <v>PAT0034</v>
      </c>
      <c r="C65" t="str">
        <f>'Claims Data'!C65</f>
        <v>PRV0023</v>
      </c>
      <c r="D65" s="1">
        <f>'Claims Data'!D65</f>
        <v>45177</v>
      </c>
      <c r="E65">
        <f>'Claims Data'!H65</f>
        <v>2.4</v>
      </c>
      <c r="F65">
        <f>'Claims Data'!J65</f>
        <v>123.68</v>
      </c>
      <c r="G65">
        <f>'Claims Data'!M65</f>
        <v>0</v>
      </c>
      <c r="H65" t="b">
        <f>'Claims Data'!L65</f>
        <v>0</v>
      </c>
      <c r="I65">
        <f t="shared" si="0"/>
        <v>0</v>
      </c>
      <c r="J65" t="str">
        <f t="shared" si="1"/>
        <v>Low Risk</v>
      </c>
    </row>
    <row r="66" spans="1:10" x14ac:dyDescent="0.2">
      <c r="A66" t="str">
        <f>'Claims Data'!A66</f>
        <v>CLM00065</v>
      </c>
      <c r="B66" t="str">
        <f>'Claims Data'!B66</f>
        <v>PAT0115</v>
      </c>
      <c r="C66" t="str">
        <f>'Claims Data'!C66</f>
        <v>PRV0038</v>
      </c>
      <c r="D66" s="1">
        <f>'Claims Data'!D66</f>
        <v>45468</v>
      </c>
      <c r="E66">
        <f>'Claims Data'!H66</f>
        <v>5.5</v>
      </c>
      <c r="F66">
        <f>'Claims Data'!J66</f>
        <v>253.64</v>
      </c>
      <c r="G66">
        <f>'Claims Data'!M66</f>
        <v>0</v>
      </c>
      <c r="H66" t="b">
        <f>'Claims Data'!L66</f>
        <v>0</v>
      </c>
      <c r="I66">
        <f t="shared" si="0"/>
        <v>0</v>
      </c>
      <c r="J66" t="str">
        <f t="shared" si="1"/>
        <v>Low Risk</v>
      </c>
    </row>
    <row r="67" spans="1:10" x14ac:dyDescent="0.2">
      <c r="A67" t="str">
        <f>'Claims Data'!A67</f>
        <v>CLM00066</v>
      </c>
      <c r="B67" t="str">
        <f>'Claims Data'!B67</f>
        <v>PAT0173</v>
      </c>
      <c r="C67" t="str">
        <f>'Claims Data'!C67</f>
        <v>PRV0005</v>
      </c>
      <c r="D67" s="1">
        <f>'Claims Data'!D67</f>
        <v>45576</v>
      </c>
      <c r="E67">
        <f>'Claims Data'!H67</f>
        <v>4.8</v>
      </c>
      <c r="F67">
        <f>'Claims Data'!J67</f>
        <v>130.83000000000001</v>
      </c>
      <c r="G67">
        <f>'Claims Data'!M67</f>
        <v>0</v>
      </c>
      <c r="H67" t="b">
        <f>'Claims Data'!L67</f>
        <v>0</v>
      </c>
      <c r="I67">
        <f t="shared" ref="I67:I130" si="2">IF(E67&gt;16,40,0)+IF(MOD(F67,250)=0,30,0)+IF(H67=TRUE,10,0)</f>
        <v>0</v>
      </c>
      <c r="J67" t="str">
        <f t="shared" ref="J67:J130" si="3">IF(I67&gt;=70,"High Risk",IF(I67&gt;=30,"Medium Risk","Low Risk"))</f>
        <v>Low Risk</v>
      </c>
    </row>
    <row r="68" spans="1:10" x14ac:dyDescent="0.2">
      <c r="A68" t="str">
        <f>'Claims Data'!A68</f>
        <v>CLM00067</v>
      </c>
      <c r="B68" t="str">
        <f>'Claims Data'!B68</f>
        <v>PAT0048</v>
      </c>
      <c r="C68" t="str">
        <f>'Claims Data'!C68</f>
        <v>PRV0044</v>
      </c>
      <c r="D68" s="1">
        <f>'Claims Data'!D68</f>
        <v>45586</v>
      </c>
      <c r="E68">
        <f>'Claims Data'!H68</f>
        <v>2.5</v>
      </c>
      <c r="F68">
        <f>'Claims Data'!J68</f>
        <v>192.14</v>
      </c>
      <c r="G68">
        <f>'Claims Data'!M68</f>
        <v>0</v>
      </c>
      <c r="H68" t="b">
        <f>'Claims Data'!L68</f>
        <v>0</v>
      </c>
      <c r="I68">
        <f t="shared" si="2"/>
        <v>0</v>
      </c>
      <c r="J68" t="str">
        <f t="shared" si="3"/>
        <v>Low Risk</v>
      </c>
    </row>
    <row r="69" spans="1:10" x14ac:dyDescent="0.2">
      <c r="A69" t="str">
        <f>'Claims Data'!A69</f>
        <v>CLM00068</v>
      </c>
      <c r="B69" t="str">
        <f>'Claims Data'!B69</f>
        <v>PAT0139</v>
      </c>
      <c r="C69" t="str">
        <f>'Claims Data'!C69</f>
        <v>PRV0031</v>
      </c>
      <c r="D69" s="1">
        <f>'Claims Data'!D69</f>
        <v>44979</v>
      </c>
      <c r="E69">
        <f>'Claims Data'!H69</f>
        <v>4.8</v>
      </c>
      <c r="F69">
        <f>'Claims Data'!J69</f>
        <v>279.64</v>
      </c>
      <c r="G69">
        <f>'Claims Data'!M69</f>
        <v>0</v>
      </c>
      <c r="H69" t="b">
        <f>'Claims Data'!L69</f>
        <v>0</v>
      </c>
      <c r="I69">
        <f t="shared" si="2"/>
        <v>0</v>
      </c>
      <c r="J69" t="str">
        <f t="shared" si="3"/>
        <v>Low Risk</v>
      </c>
    </row>
    <row r="70" spans="1:10" x14ac:dyDescent="0.2">
      <c r="A70" t="str">
        <f>'Claims Data'!A70</f>
        <v>CLM00069</v>
      </c>
      <c r="B70" t="str">
        <f>'Claims Data'!B70</f>
        <v>PAT0266</v>
      </c>
      <c r="C70" t="str">
        <f>'Claims Data'!C70</f>
        <v>PRV0045</v>
      </c>
      <c r="D70" s="1">
        <f>'Claims Data'!D70</f>
        <v>45271</v>
      </c>
      <c r="E70">
        <f>'Claims Data'!H70</f>
        <v>4.7</v>
      </c>
      <c r="F70">
        <f>'Claims Data'!J70</f>
        <v>345.87</v>
      </c>
      <c r="G70">
        <f>'Claims Data'!M70</f>
        <v>0</v>
      </c>
      <c r="H70" t="b">
        <f>'Claims Data'!L70</f>
        <v>0</v>
      </c>
      <c r="I70">
        <f t="shared" si="2"/>
        <v>0</v>
      </c>
      <c r="J70" t="str">
        <f t="shared" si="3"/>
        <v>Low Risk</v>
      </c>
    </row>
    <row r="71" spans="1:10" x14ac:dyDescent="0.2">
      <c r="A71" t="str">
        <f>'Claims Data'!A71</f>
        <v>CLM00070</v>
      </c>
      <c r="B71" t="str">
        <f>'Claims Data'!B71</f>
        <v>PAT0203</v>
      </c>
      <c r="C71" t="str">
        <f>'Claims Data'!C71</f>
        <v>PRV0046</v>
      </c>
      <c r="D71" s="1">
        <f>'Claims Data'!D71</f>
        <v>45562</v>
      </c>
      <c r="E71">
        <f>'Claims Data'!H71</f>
        <v>3.9</v>
      </c>
      <c r="F71">
        <f>'Claims Data'!J71</f>
        <v>208.8</v>
      </c>
      <c r="G71">
        <f>'Claims Data'!M71</f>
        <v>0</v>
      </c>
      <c r="H71" t="b">
        <f>'Claims Data'!L71</f>
        <v>0</v>
      </c>
      <c r="I71">
        <f t="shared" si="2"/>
        <v>0</v>
      </c>
      <c r="J71" t="str">
        <f t="shared" si="3"/>
        <v>Low Risk</v>
      </c>
    </row>
    <row r="72" spans="1:10" x14ac:dyDescent="0.2">
      <c r="A72" t="str">
        <f>'Claims Data'!A72</f>
        <v>CLM00071</v>
      </c>
      <c r="B72" t="str">
        <f>'Claims Data'!B72</f>
        <v>PAT0172</v>
      </c>
      <c r="C72" t="str">
        <f>'Claims Data'!C72</f>
        <v>PRV0018</v>
      </c>
      <c r="D72" s="1">
        <f>'Claims Data'!D72</f>
        <v>45538</v>
      </c>
      <c r="E72">
        <f>'Claims Data'!H72</f>
        <v>4.7</v>
      </c>
      <c r="F72">
        <f>'Claims Data'!J72</f>
        <v>346.19</v>
      </c>
      <c r="G72">
        <f>'Claims Data'!M72</f>
        <v>0</v>
      </c>
      <c r="H72" t="b">
        <f>'Claims Data'!L72</f>
        <v>0</v>
      </c>
      <c r="I72">
        <f t="shared" si="2"/>
        <v>0</v>
      </c>
      <c r="J72" t="str">
        <f t="shared" si="3"/>
        <v>Low Risk</v>
      </c>
    </row>
    <row r="73" spans="1:10" x14ac:dyDescent="0.2">
      <c r="A73" t="str">
        <f>'Claims Data'!A73</f>
        <v>CLM00072</v>
      </c>
      <c r="B73" t="str">
        <f>'Claims Data'!B73</f>
        <v>PAT0282</v>
      </c>
      <c r="C73" t="str">
        <f>'Claims Data'!C73</f>
        <v>PRV0042</v>
      </c>
      <c r="D73" s="1">
        <f>'Claims Data'!D73</f>
        <v>45334</v>
      </c>
      <c r="E73">
        <f>'Claims Data'!H73</f>
        <v>5</v>
      </c>
      <c r="F73">
        <f>'Claims Data'!J73</f>
        <v>176.77</v>
      </c>
      <c r="G73">
        <f>'Claims Data'!M73</f>
        <v>0</v>
      </c>
      <c r="H73" t="b">
        <f>'Claims Data'!L73</f>
        <v>0</v>
      </c>
      <c r="I73">
        <f t="shared" si="2"/>
        <v>0</v>
      </c>
      <c r="J73" t="str">
        <f t="shared" si="3"/>
        <v>Low Risk</v>
      </c>
    </row>
    <row r="74" spans="1:10" x14ac:dyDescent="0.2">
      <c r="A74" t="str">
        <f>'Claims Data'!A74</f>
        <v>CLM00073</v>
      </c>
      <c r="B74" t="str">
        <f>'Claims Data'!B74</f>
        <v>PAT0270</v>
      </c>
      <c r="C74" t="str">
        <f>'Claims Data'!C74</f>
        <v>PRV0020</v>
      </c>
      <c r="D74" s="1">
        <f>'Claims Data'!D74</f>
        <v>45390</v>
      </c>
      <c r="E74">
        <f>'Claims Data'!H74</f>
        <v>22.1</v>
      </c>
      <c r="F74">
        <f>'Claims Data'!J74</f>
        <v>1250</v>
      </c>
      <c r="G74" t="str">
        <f>'Claims Data'!M74</f>
        <v>phantom_round_amount</v>
      </c>
      <c r="H74" t="b">
        <f>'Claims Data'!L74</f>
        <v>1</v>
      </c>
      <c r="I74">
        <f t="shared" si="2"/>
        <v>80</v>
      </c>
      <c r="J74" t="str">
        <f t="shared" si="3"/>
        <v>High Risk</v>
      </c>
    </row>
    <row r="75" spans="1:10" x14ac:dyDescent="0.2">
      <c r="A75" t="str">
        <f>'Claims Data'!A75</f>
        <v>CLM00074</v>
      </c>
      <c r="B75" t="str">
        <f>'Claims Data'!B75</f>
        <v>PAT0142</v>
      </c>
      <c r="C75" t="str">
        <f>'Claims Data'!C75</f>
        <v>PRV0005</v>
      </c>
      <c r="D75" s="1">
        <f>'Claims Data'!D75</f>
        <v>45052</v>
      </c>
      <c r="E75">
        <f>'Claims Data'!H75</f>
        <v>4.2</v>
      </c>
      <c r="F75">
        <f>'Claims Data'!J75</f>
        <v>336.32</v>
      </c>
      <c r="G75">
        <f>'Claims Data'!M75</f>
        <v>0</v>
      </c>
      <c r="H75" t="b">
        <f>'Claims Data'!L75</f>
        <v>0</v>
      </c>
      <c r="I75">
        <f t="shared" si="2"/>
        <v>0</v>
      </c>
      <c r="J75" t="str">
        <f t="shared" si="3"/>
        <v>Low Risk</v>
      </c>
    </row>
    <row r="76" spans="1:10" x14ac:dyDescent="0.2">
      <c r="A76" t="str">
        <f>'Claims Data'!A76</f>
        <v>CLM00075</v>
      </c>
      <c r="B76" t="str">
        <f>'Claims Data'!B76</f>
        <v>PAT0025</v>
      </c>
      <c r="C76" t="str">
        <f>'Claims Data'!C76</f>
        <v>PRV0035</v>
      </c>
      <c r="D76" s="1">
        <f>'Claims Data'!D76</f>
        <v>45530</v>
      </c>
      <c r="E76">
        <f>'Claims Data'!H76</f>
        <v>6.6</v>
      </c>
      <c r="F76">
        <f>'Claims Data'!J76</f>
        <v>433.84</v>
      </c>
      <c r="G76">
        <f>'Claims Data'!M76</f>
        <v>0</v>
      </c>
      <c r="H76" t="b">
        <f>'Claims Data'!L76</f>
        <v>0</v>
      </c>
      <c r="I76">
        <f t="shared" si="2"/>
        <v>0</v>
      </c>
      <c r="J76" t="str">
        <f t="shared" si="3"/>
        <v>Low Risk</v>
      </c>
    </row>
    <row r="77" spans="1:10" x14ac:dyDescent="0.2">
      <c r="A77" t="str">
        <f>'Claims Data'!A77</f>
        <v>CLM00076</v>
      </c>
      <c r="B77" t="str">
        <f>'Claims Data'!B77</f>
        <v>PAT0218</v>
      </c>
      <c r="C77" t="str">
        <f>'Claims Data'!C77</f>
        <v>PRV0020</v>
      </c>
      <c r="D77" s="1">
        <f>'Claims Data'!D77</f>
        <v>44946</v>
      </c>
      <c r="E77">
        <f>'Claims Data'!H77</f>
        <v>2.4</v>
      </c>
      <c r="F77">
        <f>'Claims Data'!J77</f>
        <v>73.61</v>
      </c>
      <c r="G77">
        <f>'Claims Data'!M77</f>
        <v>0</v>
      </c>
      <c r="H77" t="b">
        <f>'Claims Data'!L77</f>
        <v>0</v>
      </c>
      <c r="I77">
        <f t="shared" si="2"/>
        <v>0</v>
      </c>
      <c r="J77" t="str">
        <f t="shared" si="3"/>
        <v>Low Risk</v>
      </c>
    </row>
    <row r="78" spans="1:10" x14ac:dyDescent="0.2">
      <c r="A78" t="str">
        <f>'Claims Data'!A78</f>
        <v>CLM00077</v>
      </c>
      <c r="B78" t="str">
        <f>'Claims Data'!B78</f>
        <v>PAT0120</v>
      </c>
      <c r="C78" t="str">
        <f>'Claims Data'!C78</f>
        <v>PRV0056</v>
      </c>
      <c r="D78" s="1">
        <f>'Claims Data'!D78</f>
        <v>45135</v>
      </c>
      <c r="E78">
        <f>'Claims Data'!H78</f>
        <v>3.7</v>
      </c>
      <c r="F78">
        <f>'Claims Data'!J78</f>
        <v>253.17</v>
      </c>
      <c r="G78">
        <f>'Claims Data'!M78</f>
        <v>0</v>
      </c>
      <c r="H78" t="b">
        <f>'Claims Data'!L78</f>
        <v>0</v>
      </c>
      <c r="I78">
        <f t="shared" si="2"/>
        <v>0</v>
      </c>
      <c r="J78" t="str">
        <f t="shared" si="3"/>
        <v>Low Risk</v>
      </c>
    </row>
    <row r="79" spans="1:10" x14ac:dyDescent="0.2">
      <c r="A79" t="str">
        <f>'Claims Data'!A79</f>
        <v>CLM00078</v>
      </c>
      <c r="B79" t="str">
        <f>'Claims Data'!B79</f>
        <v>PAT0045</v>
      </c>
      <c r="C79" t="str">
        <f>'Claims Data'!C79</f>
        <v>PRV0042</v>
      </c>
      <c r="D79" s="1">
        <f>'Claims Data'!D79</f>
        <v>45197</v>
      </c>
      <c r="E79">
        <f>'Claims Data'!H79</f>
        <v>4</v>
      </c>
      <c r="F79">
        <f>'Claims Data'!J79</f>
        <v>239.86</v>
      </c>
      <c r="G79">
        <f>'Claims Data'!M79</f>
        <v>0</v>
      </c>
      <c r="H79" t="b">
        <f>'Claims Data'!L79</f>
        <v>0</v>
      </c>
      <c r="I79">
        <f t="shared" si="2"/>
        <v>0</v>
      </c>
      <c r="J79" t="str">
        <f t="shared" si="3"/>
        <v>Low Risk</v>
      </c>
    </row>
    <row r="80" spans="1:10" x14ac:dyDescent="0.2">
      <c r="A80" t="str">
        <f>'Claims Data'!A80</f>
        <v>CLM00079</v>
      </c>
      <c r="B80" t="str">
        <f>'Claims Data'!B80</f>
        <v>PAT0162</v>
      </c>
      <c r="C80" t="str">
        <f>'Claims Data'!C80</f>
        <v>PRV0052</v>
      </c>
      <c r="D80" s="1">
        <f>'Claims Data'!D80</f>
        <v>45219</v>
      </c>
      <c r="E80">
        <f>'Claims Data'!H80</f>
        <v>3.9</v>
      </c>
      <c r="F80">
        <f>'Claims Data'!J80</f>
        <v>251.02</v>
      </c>
      <c r="G80">
        <f>'Claims Data'!M80</f>
        <v>0</v>
      </c>
      <c r="H80" t="b">
        <f>'Claims Data'!L80</f>
        <v>0</v>
      </c>
      <c r="I80">
        <f t="shared" si="2"/>
        <v>0</v>
      </c>
      <c r="J80" t="str">
        <f t="shared" si="3"/>
        <v>Low Risk</v>
      </c>
    </row>
    <row r="81" spans="1:10" x14ac:dyDescent="0.2">
      <c r="A81" t="str">
        <f>'Claims Data'!A81</f>
        <v>CLM00080</v>
      </c>
      <c r="B81" t="str">
        <f>'Claims Data'!B81</f>
        <v>PAT0142</v>
      </c>
      <c r="C81" t="str">
        <f>'Claims Data'!C81</f>
        <v>PRV0047</v>
      </c>
      <c r="D81" s="1">
        <f>'Claims Data'!D81</f>
        <v>45582</v>
      </c>
      <c r="E81">
        <f>'Claims Data'!H81</f>
        <v>2.8</v>
      </c>
      <c r="F81">
        <f>'Claims Data'!J81</f>
        <v>189.08</v>
      </c>
      <c r="G81">
        <f>'Claims Data'!M81</f>
        <v>0</v>
      </c>
      <c r="H81" t="b">
        <f>'Claims Data'!L81</f>
        <v>0</v>
      </c>
      <c r="I81">
        <f t="shared" si="2"/>
        <v>0</v>
      </c>
      <c r="J81" t="str">
        <f t="shared" si="3"/>
        <v>Low Risk</v>
      </c>
    </row>
    <row r="82" spans="1:10" x14ac:dyDescent="0.2">
      <c r="A82" t="str">
        <f>'Claims Data'!A82</f>
        <v>CLM00081</v>
      </c>
      <c r="B82" t="str">
        <f>'Claims Data'!B82</f>
        <v>PAT0187</v>
      </c>
      <c r="C82" t="str">
        <f>'Claims Data'!C82</f>
        <v>PRV0007</v>
      </c>
      <c r="D82" s="1">
        <f>'Claims Data'!D82</f>
        <v>45058</v>
      </c>
      <c r="E82">
        <f>'Claims Data'!H82</f>
        <v>5.4</v>
      </c>
      <c r="F82">
        <f>'Claims Data'!J82</f>
        <v>343.49</v>
      </c>
      <c r="G82">
        <f>'Claims Data'!M82</f>
        <v>0</v>
      </c>
      <c r="H82" t="b">
        <f>'Claims Data'!L82</f>
        <v>0</v>
      </c>
      <c r="I82">
        <f t="shared" si="2"/>
        <v>0</v>
      </c>
      <c r="J82" t="str">
        <f t="shared" si="3"/>
        <v>Low Risk</v>
      </c>
    </row>
    <row r="83" spans="1:10" x14ac:dyDescent="0.2">
      <c r="A83" t="str">
        <f>'Claims Data'!A83</f>
        <v>CLM00082</v>
      </c>
      <c r="B83" t="str">
        <f>'Claims Data'!B83</f>
        <v>PAT0185</v>
      </c>
      <c r="C83" t="str">
        <f>'Claims Data'!C83</f>
        <v>PRV0031</v>
      </c>
      <c r="D83" s="1">
        <f>'Claims Data'!D83</f>
        <v>45441</v>
      </c>
      <c r="E83">
        <f>'Claims Data'!H83</f>
        <v>6</v>
      </c>
      <c r="F83">
        <f>'Claims Data'!J83</f>
        <v>448.43</v>
      </c>
      <c r="G83">
        <f>'Claims Data'!M83</f>
        <v>0</v>
      </c>
      <c r="H83" t="b">
        <f>'Claims Data'!L83</f>
        <v>0</v>
      </c>
      <c r="I83">
        <f t="shared" si="2"/>
        <v>0</v>
      </c>
      <c r="J83" t="str">
        <f t="shared" si="3"/>
        <v>Low Risk</v>
      </c>
    </row>
    <row r="84" spans="1:10" x14ac:dyDescent="0.2">
      <c r="A84" t="str">
        <f>'Claims Data'!A84</f>
        <v>CLM00083</v>
      </c>
      <c r="B84" t="str">
        <f>'Claims Data'!B84</f>
        <v>PAT0068</v>
      </c>
      <c r="C84" t="str">
        <f>'Claims Data'!C84</f>
        <v>PRV0023</v>
      </c>
      <c r="D84" s="1">
        <f>'Claims Data'!D84</f>
        <v>45413</v>
      </c>
      <c r="E84">
        <f>'Claims Data'!H84</f>
        <v>5.9</v>
      </c>
      <c r="F84">
        <f>'Claims Data'!J84</f>
        <v>297.39</v>
      </c>
      <c r="G84">
        <f>'Claims Data'!M84</f>
        <v>0</v>
      </c>
      <c r="H84" t="b">
        <f>'Claims Data'!L84</f>
        <v>0</v>
      </c>
      <c r="I84">
        <f t="shared" si="2"/>
        <v>0</v>
      </c>
      <c r="J84" t="str">
        <f t="shared" si="3"/>
        <v>Low Risk</v>
      </c>
    </row>
    <row r="85" spans="1:10" x14ac:dyDescent="0.2">
      <c r="A85" t="str">
        <f>'Claims Data'!A85</f>
        <v>CLM00084</v>
      </c>
      <c r="B85" t="str">
        <f>'Claims Data'!B85</f>
        <v>PAT0038</v>
      </c>
      <c r="C85" t="str">
        <f>'Claims Data'!C85</f>
        <v>PRV0057</v>
      </c>
      <c r="D85" s="1">
        <f>'Claims Data'!D85</f>
        <v>45626</v>
      </c>
      <c r="E85">
        <f>'Claims Data'!H85</f>
        <v>4.2</v>
      </c>
      <c r="F85">
        <f>'Claims Data'!J85</f>
        <v>150.43</v>
      </c>
      <c r="G85">
        <f>'Claims Data'!M85</f>
        <v>0</v>
      </c>
      <c r="H85" t="b">
        <f>'Claims Data'!L85</f>
        <v>0</v>
      </c>
      <c r="I85">
        <f t="shared" si="2"/>
        <v>0</v>
      </c>
      <c r="J85" t="str">
        <f t="shared" si="3"/>
        <v>Low Risk</v>
      </c>
    </row>
    <row r="86" spans="1:10" x14ac:dyDescent="0.2">
      <c r="A86" t="str">
        <f>'Claims Data'!A86</f>
        <v>CLM00085</v>
      </c>
      <c r="B86" t="str">
        <f>'Claims Data'!B86</f>
        <v>PAT0287</v>
      </c>
      <c r="C86" t="str">
        <f>'Claims Data'!C86</f>
        <v>PRV0030</v>
      </c>
      <c r="D86" s="1">
        <f>'Claims Data'!D86</f>
        <v>45196</v>
      </c>
      <c r="E86">
        <f>'Claims Data'!H86</f>
        <v>7.7</v>
      </c>
      <c r="F86">
        <f>'Claims Data'!J86</f>
        <v>417.16</v>
      </c>
      <c r="G86">
        <f>'Claims Data'!M86</f>
        <v>0</v>
      </c>
      <c r="H86" t="b">
        <f>'Claims Data'!L86</f>
        <v>0</v>
      </c>
      <c r="I86">
        <f t="shared" si="2"/>
        <v>0</v>
      </c>
      <c r="J86" t="str">
        <f t="shared" si="3"/>
        <v>Low Risk</v>
      </c>
    </row>
    <row r="87" spans="1:10" x14ac:dyDescent="0.2">
      <c r="A87" t="str">
        <f>'Claims Data'!A87</f>
        <v>CLM00086</v>
      </c>
      <c r="B87" t="str">
        <f>'Claims Data'!B87</f>
        <v>PAT0032</v>
      </c>
      <c r="C87" t="str">
        <f>'Claims Data'!C87</f>
        <v>PRV0014</v>
      </c>
      <c r="D87" s="1">
        <f>'Claims Data'!D87</f>
        <v>45103</v>
      </c>
      <c r="E87">
        <f>'Claims Data'!H87</f>
        <v>2.9</v>
      </c>
      <c r="F87">
        <f>'Claims Data'!J87</f>
        <v>123.97</v>
      </c>
      <c r="G87">
        <f>'Claims Data'!M87</f>
        <v>0</v>
      </c>
      <c r="H87" t="b">
        <f>'Claims Data'!L87</f>
        <v>0</v>
      </c>
      <c r="I87">
        <f t="shared" si="2"/>
        <v>0</v>
      </c>
      <c r="J87" t="str">
        <f t="shared" si="3"/>
        <v>Low Risk</v>
      </c>
    </row>
    <row r="88" spans="1:10" x14ac:dyDescent="0.2">
      <c r="A88" t="str">
        <f>'Claims Data'!A88</f>
        <v>CLM00087</v>
      </c>
      <c r="B88" t="str">
        <f>'Claims Data'!B88</f>
        <v>PAT0222</v>
      </c>
      <c r="C88" t="str">
        <f>'Claims Data'!C88</f>
        <v>PRV0045</v>
      </c>
      <c r="D88" s="1">
        <f>'Claims Data'!D88</f>
        <v>45056</v>
      </c>
      <c r="E88">
        <f>'Claims Data'!H88</f>
        <v>12.9</v>
      </c>
      <c r="F88">
        <f>'Claims Data'!J88</f>
        <v>1000</v>
      </c>
      <c r="G88" t="str">
        <f>'Claims Data'!M88</f>
        <v>phantom_round_amount</v>
      </c>
      <c r="H88" t="b">
        <f>'Claims Data'!L88</f>
        <v>1</v>
      </c>
      <c r="I88">
        <f t="shared" si="2"/>
        <v>40</v>
      </c>
      <c r="J88" t="str">
        <f t="shared" si="3"/>
        <v>Medium Risk</v>
      </c>
    </row>
    <row r="89" spans="1:10" x14ac:dyDescent="0.2">
      <c r="A89" t="str">
        <f>'Claims Data'!A89</f>
        <v>CLM00088</v>
      </c>
      <c r="B89" t="str">
        <f>'Claims Data'!B89</f>
        <v>PAT0004</v>
      </c>
      <c r="C89" t="str">
        <f>'Claims Data'!C89</f>
        <v>PRV0029</v>
      </c>
      <c r="D89" s="1">
        <f>'Claims Data'!D89</f>
        <v>45584</v>
      </c>
      <c r="E89">
        <f>'Claims Data'!H89</f>
        <v>5.6</v>
      </c>
      <c r="F89">
        <f>'Claims Data'!J89</f>
        <v>191.83</v>
      </c>
      <c r="G89">
        <f>'Claims Data'!M89</f>
        <v>0</v>
      </c>
      <c r="H89" t="b">
        <f>'Claims Data'!L89</f>
        <v>0</v>
      </c>
      <c r="I89">
        <f t="shared" si="2"/>
        <v>0</v>
      </c>
      <c r="J89" t="str">
        <f t="shared" si="3"/>
        <v>Low Risk</v>
      </c>
    </row>
    <row r="90" spans="1:10" x14ac:dyDescent="0.2">
      <c r="A90" t="str">
        <f>'Claims Data'!A90</f>
        <v>CLM00089</v>
      </c>
      <c r="B90" t="str">
        <f>'Claims Data'!B90</f>
        <v>PAT0154</v>
      </c>
      <c r="C90" t="str">
        <f>'Claims Data'!C90</f>
        <v>PRV0034</v>
      </c>
      <c r="D90" s="1">
        <f>'Claims Data'!D90</f>
        <v>45559</v>
      </c>
      <c r="E90">
        <f>'Claims Data'!H90</f>
        <v>6.3</v>
      </c>
      <c r="F90">
        <f>'Claims Data'!J90</f>
        <v>174.02</v>
      </c>
      <c r="G90">
        <f>'Claims Data'!M90</f>
        <v>0</v>
      </c>
      <c r="H90" t="b">
        <f>'Claims Data'!L90</f>
        <v>0</v>
      </c>
      <c r="I90">
        <f t="shared" si="2"/>
        <v>0</v>
      </c>
      <c r="J90" t="str">
        <f t="shared" si="3"/>
        <v>Low Risk</v>
      </c>
    </row>
    <row r="91" spans="1:10" x14ac:dyDescent="0.2">
      <c r="A91" t="str">
        <f>'Claims Data'!A91</f>
        <v>CLM00090</v>
      </c>
      <c r="B91" t="str">
        <f>'Claims Data'!B91</f>
        <v>PAT0267</v>
      </c>
      <c r="C91" t="str">
        <f>'Claims Data'!C91</f>
        <v>PRV0049</v>
      </c>
      <c r="D91" s="1">
        <f>'Claims Data'!D91</f>
        <v>45031</v>
      </c>
      <c r="E91">
        <f>'Claims Data'!H91</f>
        <v>7.8</v>
      </c>
      <c r="F91">
        <f>'Claims Data'!J91</f>
        <v>480.76</v>
      </c>
      <c r="G91">
        <f>'Claims Data'!M91</f>
        <v>0</v>
      </c>
      <c r="H91" t="b">
        <f>'Claims Data'!L91</f>
        <v>0</v>
      </c>
      <c r="I91">
        <f t="shared" si="2"/>
        <v>0</v>
      </c>
      <c r="J91" t="str">
        <f t="shared" si="3"/>
        <v>Low Risk</v>
      </c>
    </row>
    <row r="92" spans="1:10" x14ac:dyDescent="0.2">
      <c r="A92" t="str">
        <f>'Claims Data'!A92</f>
        <v>CLM00091</v>
      </c>
      <c r="B92" t="str">
        <f>'Claims Data'!B92</f>
        <v>PAT0081</v>
      </c>
      <c r="C92" t="str">
        <f>'Claims Data'!C92</f>
        <v>PRV0035</v>
      </c>
      <c r="D92" s="1">
        <f>'Claims Data'!D92</f>
        <v>45470</v>
      </c>
      <c r="E92">
        <f>'Claims Data'!H92</f>
        <v>3.4</v>
      </c>
      <c r="F92">
        <f>'Claims Data'!J92</f>
        <v>133.79</v>
      </c>
      <c r="G92">
        <f>'Claims Data'!M92</f>
        <v>0</v>
      </c>
      <c r="H92" t="b">
        <f>'Claims Data'!L92</f>
        <v>0</v>
      </c>
      <c r="I92">
        <f t="shared" si="2"/>
        <v>0</v>
      </c>
      <c r="J92" t="str">
        <f t="shared" si="3"/>
        <v>Low Risk</v>
      </c>
    </row>
    <row r="93" spans="1:10" x14ac:dyDescent="0.2">
      <c r="A93" t="str">
        <f>'Claims Data'!A93</f>
        <v>CLM00092</v>
      </c>
      <c r="B93" t="str">
        <f>'Claims Data'!B93</f>
        <v>PAT0080</v>
      </c>
      <c r="C93" t="str">
        <f>'Claims Data'!C93</f>
        <v>PRV0034</v>
      </c>
      <c r="D93" s="1">
        <f>'Claims Data'!D93</f>
        <v>45062</v>
      </c>
      <c r="E93">
        <f>'Claims Data'!H93</f>
        <v>4.2</v>
      </c>
      <c r="F93">
        <f>'Claims Data'!J93</f>
        <v>343.68</v>
      </c>
      <c r="G93">
        <f>'Claims Data'!M93</f>
        <v>0</v>
      </c>
      <c r="H93" t="b">
        <f>'Claims Data'!L93</f>
        <v>0</v>
      </c>
      <c r="I93">
        <f t="shared" si="2"/>
        <v>0</v>
      </c>
      <c r="J93" t="str">
        <f t="shared" si="3"/>
        <v>Low Risk</v>
      </c>
    </row>
    <row r="94" spans="1:10" x14ac:dyDescent="0.2">
      <c r="A94" t="str">
        <f>'Claims Data'!A94</f>
        <v>CLM00093</v>
      </c>
      <c r="B94" t="str">
        <f>'Claims Data'!B94</f>
        <v>PAT0196</v>
      </c>
      <c r="C94" t="str">
        <f>'Claims Data'!C94</f>
        <v>PRV0052</v>
      </c>
      <c r="D94" s="1">
        <f>'Claims Data'!D94</f>
        <v>45293</v>
      </c>
      <c r="E94">
        <f>'Claims Data'!H94</f>
        <v>6.6</v>
      </c>
      <c r="F94">
        <f>'Claims Data'!J94</f>
        <v>473.14</v>
      </c>
      <c r="G94">
        <f>'Claims Data'!M94</f>
        <v>0</v>
      </c>
      <c r="H94" t="b">
        <f>'Claims Data'!L94</f>
        <v>0</v>
      </c>
      <c r="I94">
        <f t="shared" si="2"/>
        <v>0</v>
      </c>
      <c r="J94" t="str">
        <f t="shared" si="3"/>
        <v>Low Risk</v>
      </c>
    </row>
    <row r="95" spans="1:10" x14ac:dyDescent="0.2">
      <c r="A95" t="str">
        <f>'Claims Data'!A95</f>
        <v>CLM00094</v>
      </c>
      <c r="B95" t="str">
        <f>'Claims Data'!B95</f>
        <v>PAT0010</v>
      </c>
      <c r="C95" t="str">
        <f>'Claims Data'!C95</f>
        <v>PRV0033</v>
      </c>
      <c r="D95" s="1">
        <f>'Claims Data'!D95</f>
        <v>45441</v>
      </c>
      <c r="E95">
        <f>'Claims Data'!H95</f>
        <v>7.8</v>
      </c>
      <c r="F95">
        <f>'Claims Data'!J95</f>
        <v>577.30999999999995</v>
      </c>
      <c r="G95">
        <f>'Claims Data'!M95</f>
        <v>0</v>
      </c>
      <c r="H95" t="b">
        <f>'Claims Data'!L95</f>
        <v>0</v>
      </c>
      <c r="I95">
        <f t="shared" si="2"/>
        <v>0</v>
      </c>
      <c r="J95" t="str">
        <f t="shared" si="3"/>
        <v>Low Risk</v>
      </c>
    </row>
    <row r="96" spans="1:10" x14ac:dyDescent="0.2">
      <c r="A96" t="str">
        <f>'Claims Data'!A96</f>
        <v>CLM00095</v>
      </c>
      <c r="B96" t="str">
        <f>'Claims Data'!B96</f>
        <v>PAT0204</v>
      </c>
      <c r="C96" t="str">
        <f>'Claims Data'!C96</f>
        <v>PRV0024</v>
      </c>
      <c r="D96" s="1">
        <f>'Claims Data'!D96</f>
        <v>45015</v>
      </c>
      <c r="E96">
        <f>'Claims Data'!H96</f>
        <v>7.2</v>
      </c>
      <c r="F96">
        <f>'Claims Data'!J96</f>
        <v>202.54</v>
      </c>
      <c r="G96">
        <f>'Claims Data'!M96</f>
        <v>0</v>
      </c>
      <c r="H96" t="b">
        <f>'Claims Data'!L96</f>
        <v>0</v>
      </c>
      <c r="I96">
        <f t="shared" si="2"/>
        <v>0</v>
      </c>
      <c r="J96" t="str">
        <f t="shared" si="3"/>
        <v>Low Risk</v>
      </c>
    </row>
    <row r="97" spans="1:10" x14ac:dyDescent="0.2">
      <c r="A97" t="str">
        <f>'Claims Data'!A97</f>
        <v>CLM00096</v>
      </c>
      <c r="B97" t="str">
        <f>'Claims Data'!B97</f>
        <v>PAT0147</v>
      </c>
      <c r="C97" t="str">
        <f>'Claims Data'!C97</f>
        <v>PRV0005</v>
      </c>
      <c r="D97" s="1">
        <f>'Claims Data'!D97</f>
        <v>45404</v>
      </c>
      <c r="E97">
        <f>'Claims Data'!H97</f>
        <v>5.3</v>
      </c>
      <c r="F97">
        <f>'Claims Data'!J97</f>
        <v>165.12</v>
      </c>
      <c r="G97">
        <f>'Claims Data'!M97</f>
        <v>0</v>
      </c>
      <c r="H97" t="b">
        <f>'Claims Data'!L97</f>
        <v>0</v>
      </c>
      <c r="I97">
        <f t="shared" si="2"/>
        <v>0</v>
      </c>
      <c r="J97" t="str">
        <f t="shared" si="3"/>
        <v>Low Risk</v>
      </c>
    </row>
    <row r="98" spans="1:10" x14ac:dyDescent="0.2">
      <c r="A98" t="str">
        <f>'Claims Data'!A98</f>
        <v>CLM00097</v>
      </c>
      <c r="B98" t="str">
        <f>'Claims Data'!B98</f>
        <v>PAT0238</v>
      </c>
      <c r="C98" t="str">
        <f>'Claims Data'!C98</f>
        <v>PRV0020</v>
      </c>
      <c r="D98" s="1">
        <f>'Claims Data'!D98</f>
        <v>45645</v>
      </c>
      <c r="E98">
        <f>'Claims Data'!H98</f>
        <v>3.7</v>
      </c>
      <c r="F98">
        <f>'Claims Data'!J98</f>
        <v>261.91000000000003</v>
      </c>
      <c r="G98">
        <f>'Claims Data'!M98</f>
        <v>0</v>
      </c>
      <c r="H98" t="b">
        <f>'Claims Data'!L98</f>
        <v>0</v>
      </c>
      <c r="I98">
        <f t="shared" si="2"/>
        <v>0</v>
      </c>
      <c r="J98" t="str">
        <f t="shared" si="3"/>
        <v>Low Risk</v>
      </c>
    </row>
    <row r="99" spans="1:10" x14ac:dyDescent="0.2">
      <c r="A99" t="str">
        <f>'Claims Data'!A99</f>
        <v>CLM00098</v>
      </c>
      <c r="B99" t="str">
        <f>'Claims Data'!B99</f>
        <v>PAT0154</v>
      </c>
      <c r="C99" t="str">
        <f>'Claims Data'!C99</f>
        <v>PRV0049</v>
      </c>
      <c r="D99" s="1">
        <f>'Claims Data'!D99</f>
        <v>45018</v>
      </c>
      <c r="E99">
        <f>'Claims Data'!H99</f>
        <v>7.4</v>
      </c>
      <c r="F99">
        <f>'Claims Data'!J99</f>
        <v>250.42</v>
      </c>
      <c r="G99">
        <f>'Claims Data'!M99</f>
        <v>0</v>
      </c>
      <c r="H99" t="b">
        <f>'Claims Data'!L99</f>
        <v>0</v>
      </c>
      <c r="I99">
        <f t="shared" si="2"/>
        <v>0</v>
      </c>
      <c r="J99" t="str">
        <f t="shared" si="3"/>
        <v>Low Risk</v>
      </c>
    </row>
    <row r="100" spans="1:10" x14ac:dyDescent="0.2">
      <c r="A100" t="str">
        <f>'Claims Data'!A100</f>
        <v>CLM00099</v>
      </c>
      <c r="B100" t="str">
        <f>'Claims Data'!B100</f>
        <v>PAT0213</v>
      </c>
      <c r="C100" t="str">
        <f>'Claims Data'!C100</f>
        <v>PRV0039</v>
      </c>
      <c r="D100" s="1">
        <f>'Claims Data'!D100</f>
        <v>40753</v>
      </c>
      <c r="E100">
        <f>'Claims Data'!H100</f>
        <v>7.7</v>
      </c>
      <c r="F100">
        <f>'Claims Data'!J100</f>
        <v>295.08</v>
      </c>
      <c r="G100" t="str">
        <f>'Claims Data'!M100</f>
        <v>deceased_patient_billing</v>
      </c>
      <c r="H100" t="b">
        <f>'Claims Data'!L100</f>
        <v>1</v>
      </c>
      <c r="I100">
        <f t="shared" si="2"/>
        <v>10</v>
      </c>
      <c r="J100" t="str">
        <f t="shared" si="3"/>
        <v>Low Risk</v>
      </c>
    </row>
    <row r="101" spans="1:10" x14ac:dyDescent="0.2">
      <c r="A101" t="str">
        <f>'Claims Data'!A101</f>
        <v>CLM00100</v>
      </c>
      <c r="B101" t="str">
        <f>'Claims Data'!B101</f>
        <v>PAT0188</v>
      </c>
      <c r="C101" t="str">
        <f>'Claims Data'!C101</f>
        <v>PRV0047</v>
      </c>
      <c r="D101" s="1">
        <f>'Claims Data'!D101</f>
        <v>45183</v>
      </c>
      <c r="E101">
        <f>'Claims Data'!H101</f>
        <v>7.6</v>
      </c>
      <c r="F101">
        <f>'Claims Data'!J101</f>
        <v>379.19</v>
      </c>
      <c r="G101">
        <f>'Claims Data'!M101</f>
        <v>0</v>
      </c>
      <c r="H101" t="b">
        <f>'Claims Data'!L101</f>
        <v>0</v>
      </c>
      <c r="I101">
        <f t="shared" si="2"/>
        <v>0</v>
      </c>
      <c r="J101" t="str">
        <f t="shared" si="3"/>
        <v>Low Risk</v>
      </c>
    </row>
    <row r="102" spans="1:10" x14ac:dyDescent="0.2">
      <c r="A102" t="str">
        <f>'Claims Data'!A102</f>
        <v>CLM00101</v>
      </c>
      <c r="B102" t="str">
        <f>'Claims Data'!B102</f>
        <v>PAT0230</v>
      </c>
      <c r="C102" t="str">
        <f>'Claims Data'!C102</f>
        <v>PRV0005</v>
      </c>
      <c r="D102" s="1">
        <f>'Claims Data'!D102</f>
        <v>45198</v>
      </c>
      <c r="E102">
        <f>'Claims Data'!H102</f>
        <v>3.4</v>
      </c>
      <c r="F102">
        <f>'Claims Data'!J102</f>
        <v>287.88</v>
      </c>
      <c r="G102">
        <f>'Claims Data'!M102</f>
        <v>0</v>
      </c>
      <c r="H102" t="b">
        <f>'Claims Data'!L102</f>
        <v>0</v>
      </c>
      <c r="I102">
        <f t="shared" si="2"/>
        <v>0</v>
      </c>
      <c r="J102" t="str">
        <f t="shared" si="3"/>
        <v>Low Risk</v>
      </c>
    </row>
    <row r="103" spans="1:10" x14ac:dyDescent="0.2">
      <c r="A103" t="str">
        <f>'Claims Data'!A103</f>
        <v>CLM00102</v>
      </c>
      <c r="B103" t="str">
        <f>'Claims Data'!B103</f>
        <v>PAT0154</v>
      </c>
      <c r="C103" t="str">
        <f>'Claims Data'!C103</f>
        <v>PRV0001</v>
      </c>
      <c r="D103" s="1">
        <f>'Claims Data'!D103</f>
        <v>45209</v>
      </c>
      <c r="E103">
        <f>'Claims Data'!H103</f>
        <v>2.2000000000000002</v>
      </c>
      <c r="F103">
        <f>'Claims Data'!J103</f>
        <v>177.87</v>
      </c>
      <c r="G103">
        <f>'Claims Data'!M103</f>
        <v>0</v>
      </c>
      <c r="H103" t="b">
        <f>'Claims Data'!L103</f>
        <v>0</v>
      </c>
      <c r="I103">
        <f t="shared" si="2"/>
        <v>0</v>
      </c>
      <c r="J103" t="str">
        <f t="shared" si="3"/>
        <v>Low Risk</v>
      </c>
    </row>
    <row r="104" spans="1:10" x14ac:dyDescent="0.2">
      <c r="A104" t="str">
        <f>'Claims Data'!A104</f>
        <v>CLM00103</v>
      </c>
      <c r="B104" t="str">
        <f>'Claims Data'!B104</f>
        <v>PAT0147</v>
      </c>
      <c r="C104" t="str">
        <f>'Claims Data'!C104</f>
        <v>PRV0044</v>
      </c>
      <c r="D104" s="1">
        <f>'Claims Data'!D104</f>
        <v>45112</v>
      </c>
      <c r="E104">
        <f>'Claims Data'!H104</f>
        <v>6.7</v>
      </c>
      <c r="F104">
        <f>'Claims Data'!J104</f>
        <v>222.82</v>
      </c>
      <c r="G104">
        <f>'Claims Data'!M104</f>
        <v>0</v>
      </c>
      <c r="H104" t="b">
        <f>'Claims Data'!L104</f>
        <v>0</v>
      </c>
      <c r="I104">
        <f t="shared" si="2"/>
        <v>0</v>
      </c>
      <c r="J104" t="str">
        <f t="shared" si="3"/>
        <v>Low Risk</v>
      </c>
    </row>
    <row r="105" spans="1:10" x14ac:dyDescent="0.2">
      <c r="A105" t="str">
        <f>'Claims Data'!A105</f>
        <v>CLM00104</v>
      </c>
      <c r="B105" t="str">
        <f>'Claims Data'!B105</f>
        <v>PAT0115</v>
      </c>
      <c r="C105" t="str">
        <f>'Claims Data'!C105</f>
        <v>PRV0003</v>
      </c>
      <c r="D105" s="1">
        <f>'Claims Data'!D105</f>
        <v>45488</v>
      </c>
      <c r="E105">
        <f>'Claims Data'!H105</f>
        <v>6.2</v>
      </c>
      <c r="F105">
        <f>'Claims Data'!J105</f>
        <v>206.63</v>
      </c>
      <c r="G105">
        <f>'Claims Data'!M105</f>
        <v>0</v>
      </c>
      <c r="H105" t="b">
        <f>'Claims Data'!L105</f>
        <v>0</v>
      </c>
      <c r="I105">
        <f t="shared" si="2"/>
        <v>0</v>
      </c>
      <c r="J105" t="str">
        <f t="shared" si="3"/>
        <v>Low Risk</v>
      </c>
    </row>
    <row r="106" spans="1:10" x14ac:dyDescent="0.2">
      <c r="A106" t="str">
        <f>'Claims Data'!A106</f>
        <v>CLM00105</v>
      </c>
      <c r="B106" t="str">
        <f>'Claims Data'!B106</f>
        <v>PAT0234</v>
      </c>
      <c r="C106" t="str">
        <f>'Claims Data'!C106</f>
        <v>PRV0052</v>
      </c>
      <c r="D106" s="1">
        <f>'Claims Data'!D106</f>
        <v>45380</v>
      </c>
      <c r="E106">
        <f>'Claims Data'!H106</f>
        <v>39.5</v>
      </c>
      <c r="F106">
        <f>'Claims Data'!J106</f>
        <v>1000</v>
      </c>
      <c r="G106" t="str">
        <f>'Claims Data'!M106</f>
        <v>phantom_round_amount</v>
      </c>
      <c r="H106" t="b">
        <f>'Claims Data'!L106</f>
        <v>1</v>
      </c>
      <c r="I106">
        <f t="shared" si="2"/>
        <v>80</v>
      </c>
      <c r="J106" t="str">
        <f t="shared" si="3"/>
        <v>High Risk</v>
      </c>
    </row>
    <row r="107" spans="1:10" x14ac:dyDescent="0.2">
      <c r="A107" t="str">
        <f>'Claims Data'!A107</f>
        <v>CLM00106</v>
      </c>
      <c r="B107" t="str">
        <f>'Claims Data'!B107</f>
        <v>PAT0160</v>
      </c>
      <c r="C107" t="str">
        <f>'Claims Data'!C107</f>
        <v>PRV0017</v>
      </c>
      <c r="D107" s="1">
        <f>'Claims Data'!D107</f>
        <v>45141</v>
      </c>
      <c r="E107">
        <f>'Claims Data'!H107</f>
        <v>3.5</v>
      </c>
      <c r="F107">
        <f>'Claims Data'!J107</f>
        <v>262.83999999999997</v>
      </c>
      <c r="G107">
        <f>'Claims Data'!M107</f>
        <v>0</v>
      </c>
      <c r="H107" t="b">
        <f>'Claims Data'!L107</f>
        <v>0</v>
      </c>
      <c r="I107">
        <f t="shared" si="2"/>
        <v>0</v>
      </c>
      <c r="J107" t="str">
        <f t="shared" si="3"/>
        <v>Low Risk</v>
      </c>
    </row>
    <row r="108" spans="1:10" x14ac:dyDescent="0.2">
      <c r="A108" t="str">
        <f>'Claims Data'!A108</f>
        <v>CLM00107</v>
      </c>
      <c r="B108" t="str">
        <f>'Claims Data'!B108</f>
        <v>PAT0074</v>
      </c>
      <c r="C108" t="str">
        <f>'Claims Data'!C108</f>
        <v>PRV0041</v>
      </c>
      <c r="D108" s="1">
        <f>'Claims Data'!D108</f>
        <v>45574</v>
      </c>
      <c r="E108">
        <f>'Claims Data'!H108</f>
        <v>2.7</v>
      </c>
      <c r="F108">
        <f>'Claims Data'!J108</f>
        <v>114.17</v>
      </c>
      <c r="G108">
        <f>'Claims Data'!M108</f>
        <v>0</v>
      </c>
      <c r="H108" t="b">
        <f>'Claims Data'!L108</f>
        <v>0</v>
      </c>
      <c r="I108">
        <f t="shared" si="2"/>
        <v>0</v>
      </c>
      <c r="J108" t="str">
        <f t="shared" si="3"/>
        <v>Low Risk</v>
      </c>
    </row>
    <row r="109" spans="1:10" x14ac:dyDescent="0.2">
      <c r="A109" t="str">
        <f>'Claims Data'!A109</f>
        <v>CLM00108</v>
      </c>
      <c r="B109" t="str">
        <f>'Claims Data'!B109</f>
        <v>PAT0177</v>
      </c>
      <c r="C109" t="str">
        <f>'Claims Data'!C109</f>
        <v>PRV0040</v>
      </c>
      <c r="D109" s="1">
        <f>'Claims Data'!D109</f>
        <v>45009</v>
      </c>
      <c r="E109">
        <f>'Claims Data'!H109</f>
        <v>2.2999999999999998</v>
      </c>
      <c r="F109">
        <f>'Claims Data'!J109</f>
        <v>115.44</v>
      </c>
      <c r="G109">
        <f>'Claims Data'!M109</f>
        <v>0</v>
      </c>
      <c r="H109" t="b">
        <f>'Claims Data'!L109</f>
        <v>0</v>
      </c>
      <c r="I109">
        <f t="shared" si="2"/>
        <v>0</v>
      </c>
      <c r="J109" t="str">
        <f t="shared" si="3"/>
        <v>Low Risk</v>
      </c>
    </row>
    <row r="110" spans="1:10" x14ac:dyDescent="0.2">
      <c r="A110" t="str">
        <f>'Claims Data'!A110</f>
        <v>CLM00109</v>
      </c>
      <c r="B110" t="str">
        <f>'Claims Data'!B110</f>
        <v>PAT0102</v>
      </c>
      <c r="C110" t="str">
        <f>'Claims Data'!C110</f>
        <v>PRV0016</v>
      </c>
      <c r="D110" s="1">
        <f>'Claims Data'!D110</f>
        <v>45423</v>
      </c>
      <c r="E110">
        <f>'Claims Data'!H110</f>
        <v>22.2</v>
      </c>
      <c r="F110">
        <f>'Claims Data'!J110</f>
        <v>1669.44</v>
      </c>
      <c r="G110" t="str">
        <f>'Claims Data'!M110</f>
        <v>inflated_hours</v>
      </c>
      <c r="H110" t="b">
        <f>'Claims Data'!L110</f>
        <v>1</v>
      </c>
      <c r="I110">
        <f t="shared" si="2"/>
        <v>50</v>
      </c>
      <c r="J110" t="str">
        <f t="shared" si="3"/>
        <v>Medium Risk</v>
      </c>
    </row>
    <row r="111" spans="1:10" x14ac:dyDescent="0.2">
      <c r="A111" t="str">
        <f>'Claims Data'!A111</f>
        <v>CLM00110</v>
      </c>
      <c r="B111" t="str">
        <f>'Claims Data'!B111</f>
        <v>PAT0236</v>
      </c>
      <c r="C111" t="str">
        <f>'Claims Data'!C111</f>
        <v>PRV0008</v>
      </c>
      <c r="D111" s="1">
        <f>'Claims Data'!D111</f>
        <v>45077</v>
      </c>
      <c r="E111">
        <f>'Claims Data'!H111</f>
        <v>5.8</v>
      </c>
      <c r="F111">
        <f>'Claims Data'!J111</f>
        <v>345.12</v>
      </c>
      <c r="G111">
        <f>'Claims Data'!M111</f>
        <v>0</v>
      </c>
      <c r="H111" t="b">
        <f>'Claims Data'!L111</f>
        <v>0</v>
      </c>
      <c r="I111">
        <f t="shared" si="2"/>
        <v>0</v>
      </c>
      <c r="J111" t="str">
        <f t="shared" si="3"/>
        <v>Low Risk</v>
      </c>
    </row>
    <row r="112" spans="1:10" x14ac:dyDescent="0.2">
      <c r="A112" t="str">
        <f>'Claims Data'!A112</f>
        <v>CLM00111</v>
      </c>
      <c r="B112" t="str">
        <f>'Claims Data'!B112</f>
        <v>PAT0196</v>
      </c>
      <c r="C112" t="str">
        <f>'Claims Data'!C112</f>
        <v>PRV0051</v>
      </c>
      <c r="D112" s="1">
        <f>'Claims Data'!D112</f>
        <v>45263</v>
      </c>
      <c r="E112">
        <f>'Claims Data'!H112</f>
        <v>3.7</v>
      </c>
      <c r="F112">
        <f>'Claims Data'!J112</f>
        <v>92.85</v>
      </c>
      <c r="G112">
        <f>'Claims Data'!M112</f>
        <v>0</v>
      </c>
      <c r="H112" t="b">
        <f>'Claims Data'!L112</f>
        <v>0</v>
      </c>
      <c r="I112">
        <f t="shared" si="2"/>
        <v>0</v>
      </c>
      <c r="J112" t="str">
        <f t="shared" si="3"/>
        <v>Low Risk</v>
      </c>
    </row>
    <row r="113" spans="1:10" x14ac:dyDescent="0.2">
      <c r="A113" t="str">
        <f>'Claims Data'!A113</f>
        <v>CLM00112</v>
      </c>
      <c r="B113" t="str">
        <f>'Claims Data'!B113</f>
        <v>PAT0110</v>
      </c>
      <c r="C113" t="str">
        <f>'Claims Data'!C113</f>
        <v>PRV0031</v>
      </c>
      <c r="D113" s="1">
        <f>'Claims Data'!D113</f>
        <v>45354</v>
      </c>
      <c r="E113">
        <f>'Claims Data'!H113</f>
        <v>5.4</v>
      </c>
      <c r="F113">
        <f>'Claims Data'!J113</f>
        <v>195.69</v>
      </c>
      <c r="G113">
        <f>'Claims Data'!M113</f>
        <v>0</v>
      </c>
      <c r="H113" t="b">
        <f>'Claims Data'!L113</f>
        <v>0</v>
      </c>
      <c r="I113">
        <f t="shared" si="2"/>
        <v>0</v>
      </c>
      <c r="J113" t="str">
        <f t="shared" si="3"/>
        <v>Low Risk</v>
      </c>
    </row>
    <row r="114" spans="1:10" x14ac:dyDescent="0.2">
      <c r="A114" t="str">
        <f>'Claims Data'!A114</f>
        <v>CLM00113</v>
      </c>
      <c r="B114" t="str">
        <f>'Claims Data'!B114</f>
        <v>PAT0109</v>
      </c>
      <c r="C114" t="str">
        <f>'Claims Data'!C114</f>
        <v>PRV0041</v>
      </c>
      <c r="D114" s="1">
        <f>'Claims Data'!D114</f>
        <v>45266</v>
      </c>
      <c r="E114">
        <f>'Claims Data'!H114</f>
        <v>5.0999999999999996</v>
      </c>
      <c r="F114">
        <f>'Claims Data'!J114</f>
        <v>237.84</v>
      </c>
      <c r="G114">
        <f>'Claims Data'!M114</f>
        <v>0</v>
      </c>
      <c r="H114" t="b">
        <f>'Claims Data'!L114</f>
        <v>0</v>
      </c>
      <c r="I114">
        <f t="shared" si="2"/>
        <v>0</v>
      </c>
      <c r="J114" t="str">
        <f t="shared" si="3"/>
        <v>Low Risk</v>
      </c>
    </row>
    <row r="115" spans="1:10" x14ac:dyDescent="0.2">
      <c r="A115" t="str">
        <f>'Claims Data'!A115</f>
        <v>CLM00114</v>
      </c>
      <c r="B115" t="str">
        <f>'Claims Data'!B115</f>
        <v>PAT0233</v>
      </c>
      <c r="C115" t="str">
        <f>'Claims Data'!C115</f>
        <v>PRV0040</v>
      </c>
      <c r="D115" s="1">
        <f>'Claims Data'!D115</f>
        <v>45066</v>
      </c>
      <c r="E115">
        <f>'Claims Data'!H115</f>
        <v>4.3</v>
      </c>
      <c r="F115">
        <f>'Claims Data'!J115</f>
        <v>228.79</v>
      </c>
      <c r="G115">
        <f>'Claims Data'!M115</f>
        <v>0</v>
      </c>
      <c r="H115" t="b">
        <f>'Claims Data'!L115</f>
        <v>0</v>
      </c>
      <c r="I115">
        <f t="shared" si="2"/>
        <v>0</v>
      </c>
      <c r="J115" t="str">
        <f t="shared" si="3"/>
        <v>Low Risk</v>
      </c>
    </row>
    <row r="116" spans="1:10" x14ac:dyDescent="0.2">
      <c r="A116" t="str">
        <f>'Claims Data'!A116</f>
        <v>CLM00115</v>
      </c>
      <c r="B116" t="str">
        <f>'Claims Data'!B116</f>
        <v>PAT0059</v>
      </c>
      <c r="C116" t="str">
        <f>'Claims Data'!C116</f>
        <v>PRV0050</v>
      </c>
      <c r="D116" s="1">
        <f>'Claims Data'!D116</f>
        <v>45337</v>
      </c>
      <c r="E116">
        <f>'Claims Data'!H116</f>
        <v>7.9</v>
      </c>
      <c r="F116">
        <f>'Claims Data'!J116</f>
        <v>317.73</v>
      </c>
      <c r="G116">
        <f>'Claims Data'!M116</f>
        <v>0</v>
      </c>
      <c r="H116" t="b">
        <f>'Claims Data'!L116</f>
        <v>0</v>
      </c>
      <c r="I116">
        <f t="shared" si="2"/>
        <v>0</v>
      </c>
      <c r="J116" t="str">
        <f t="shared" si="3"/>
        <v>Low Risk</v>
      </c>
    </row>
    <row r="117" spans="1:10" x14ac:dyDescent="0.2">
      <c r="A117" t="str">
        <f>'Claims Data'!A117</f>
        <v>CLM00116</v>
      </c>
      <c r="B117" t="str">
        <f>'Claims Data'!B117</f>
        <v>PAT0093</v>
      </c>
      <c r="C117" t="str">
        <f>'Claims Data'!C117</f>
        <v>PRV0022</v>
      </c>
      <c r="D117" s="1">
        <f>'Claims Data'!D117</f>
        <v>45219</v>
      </c>
      <c r="E117">
        <f>'Claims Data'!H117</f>
        <v>6.7</v>
      </c>
      <c r="F117">
        <f>'Claims Data'!J117</f>
        <v>306.11</v>
      </c>
      <c r="G117">
        <f>'Claims Data'!M117</f>
        <v>0</v>
      </c>
      <c r="H117" t="b">
        <f>'Claims Data'!L117</f>
        <v>0</v>
      </c>
      <c r="I117">
        <f t="shared" si="2"/>
        <v>0</v>
      </c>
      <c r="J117" t="str">
        <f t="shared" si="3"/>
        <v>Low Risk</v>
      </c>
    </row>
    <row r="118" spans="1:10" x14ac:dyDescent="0.2">
      <c r="A118" t="str">
        <f>'Claims Data'!A118</f>
        <v>CLM00117</v>
      </c>
      <c r="B118" t="str">
        <f>'Claims Data'!B118</f>
        <v>PAT0270</v>
      </c>
      <c r="C118" t="str">
        <f>'Claims Data'!C118</f>
        <v>PRV0011</v>
      </c>
      <c r="D118" s="1">
        <f>'Claims Data'!D118</f>
        <v>45021</v>
      </c>
      <c r="E118">
        <f>'Claims Data'!H118</f>
        <v>6.6</v>
      </c>
      <c r="F118">
        <f>'Claims Data'!J118</f>
        <v>456.13</v>
      </c>
      <c r="G118">
        <f>'Claims Data'!M118</f>
        <v>0</v>
      </c>
      <c r="H118" t="b">
        <f>'Claims Data'!L118</f>
        <v>0</v>
      </c>
      <c r="I118">
        <f t="shared" si="2"/>
        <v>0</v>
      </c>
      <c r="J118" t="str">
        <f t="shared" si="3"/>
        <v>Low Risk</v>
      </c>
    </row>
    <row r="119" spans="1:10" x14ac:dyDescent="0.2">
      <c r="A119" t="str">
        <f>'Claims Data'!A119</f>
        <v>CLM00118</v>
      </c>
      <c r="B119" t="str">
        <f>'Claims Data'!B119</f>
        <v>PAT0099</v>
      </c>
      <c r="C119" t="str">
        <f>'Claims Data'!C119</f>
        <v>PRV0040</v>
      </c>
      <c r="D119" s="1">
        <f>'Claims Data'!D119</f>
        <v>45353</v>
      </c>
      <c r="E119">
        <f>'Claims Data'!H119</f>
        <v>22</v>
      </c>
      <c r="F119">
        <f>'Claims Data'!J119</f>
        <v>1270.72</v>
      </c>
      <c r="G119" t="str">
        <f>'Claims Data'!M119</f>
        <v>inflated_hours</v>
      </c>
      <c r="H119" t="b">
        <f>'Claims Data'!L119</f>
        <v>1</v>
      </c>
      <c r="I119">
        <f t="shared" si="2"/>
        <v>50</v>
      </c>
      <c r="J119" t="str">
        <f t="shared" si="3"/>
        <v>Medium Risk</v>
      </c>
    </row>
    <row r="120" spans="1:10" x14ac:dyDescent="0.2">
      <c r="A120" t="str">
        <f>'Claims Data'!A120</f>
        <v>CLM00119</v>
      </c>
      <c r="B120" t="str">
        <f>'Claims Data'!B120</f>
        <v>PAT0088</v>
      </c>
      <c r="C120" t="str">
        <f>'Claims Data'!C120</f>
        <v>PRV0018</v>
      </c>
      <c r="D120" s="1">
        <f>'Claims Data'!D120</f>
        <v>45094</v>
      </c>
      <c r="E120">
        <f>'Claims Data'!H120</f>
        <v>7</v>
      </c>
      <c r="F120">
        <f>'Claims Data'!J120</f>
        <v>462.57</v>
      </c>
      <c r="G120">
        <f>'Claims Data'!M120</f>
        <v>0</v>
      </c>
      <c r="H120" t="b">
        <f>'Claims Data'!L120</f>
        <v>0</v>
      </c>
      <c r="I120">
        <f t="shared" si="2"/>
        <v>0</v>
      </c>
      <c r="J120" t="str">
        <f t="shared" si="3"/>
        <v>Low Risk</v>
      </c>
    </row>
    <row r="121" spans="1:10" x14ac:dyDescent="0.2">
      <c r="A121" t="str">
        <f>'Claims Data'!A121</f>
        <v>CLM00120</v>
      </c>
      <c r="B121" t="str">
        <f>'Claims Data'!B121</f>
        <v>PAT0087</v>
      </c>
      <c r="C121" t="str">
        <f>'Claims Data'!C121</f>
        <v>PRV0034</v>
      </c>
      <c r="D121" s="1">
        <f>'Claims Data'!D121</f>
        <v>45262</v>
      </c>
      <c r="E121">
        <f>'Claims Data'!H121</f>
        <v>5.8</v>
      </c>
      <c r="F121">
        <f>'Claims Data'!J121</f>
        <v>427.4</v>
      </c>
      <c r="G121">
        <f>'Claims Data'!M121</f>
        <v>0</v>
      </c>
      <c r="H121" t="b">
        <f>'Claims Data'!L121</f>
        <v>0</v>
      </c>
      <c r="I121">
        <f t="shared" si="2"/>
        <v>0</v>
      </c>
      <c r="J121" t="str">
        <f t="shared" si="3"/>
        <v>Low Risk</v>
      </c>
    </row>
    <row r="122" spans="1:10" x14ac:dyDescent="0.2">
      <c r="A122" t="str">
        <f>'Claims Data'!A122</f>
        <v>CLM00121</v>
      </c>
      <c r="B122" t="str">
        <f>'Claims Data'!B122</f>
        <v>PAT0012</v>
      </c>
      <c r="C122" t="str">
        <f>'Claims Data'!C122</f>
        <v>PRV0040</v>
      </c>
      <c r="D122" s="1">
        <f>'Claims Data'!D122</f>
        <v>45308</v>
      </c>
      <c r="E122">
        <f>'Claims Data'!H122</f>
        <v>2.2000000000000002</v>
      </c>
      <c r="F122">
        <f>'Claims Data'!J122</f>
        <v>81.61</v>
      </c>
      <c r="G122">
        <f>'Claims Data'!M122</f>
        <v>0</v>
      </c>
      <c r="H122" t="b">
        <f>'Claims Data'!L122</f>
        <v>0</v>
      </c>
      <c r="I122">
        <f t="shared" si="2"/>
        <v>0</v>
      </c>
      <c r="J122" t="str">
        <f t="shared" si="3"/>
        <v>Low Risk</v>
      </c>
    </row>
    <row r="123" spans="1:10" x14ac:dyDescent="0.2">
      <c r="A123" t="str">
        <f>'Claims Data'!A123</f>
        <v>CLM00122</v>
      </c>
      <c r="B123" t="str">
        <f>'Claims Data'!B123</f>
        <v>PAT0127</v>
      </c>
      <c r="C123" t="str">
        <f>'Claims Data'!C123</f>
        <v>PRV0042</v>
      </c>
      <c r="D123" s="1">
        <f>'Claims Data'!D123</f>
        <v>45517</v>
      </c>
      <c r="E123">
        <f>'Claims Data'!H123</f>
        <v>3.9</v>
      </c>
      <c r="F123">
        <f>'Claims Data'!J123</f>
        <v>170.06</v>
      </c>
      <c r="G123">
        <f>'Claims Data'!M123</f>
        <v>0</v>
      </c>
      <c r="H123" t="b">
        <f>'Claims Data'!L123</f>
        <v>0</v>
      </c>
      <c r="I123">
        <f t="shared" si="2"/>
        <v>0</v>
      </c>
      <c r="J123" t="str">
        <f t="shared" si="3"/>
        <v>Low Risk</v>
      </c>
    </row>
    <row r="124" spans="1:10" x14ac:dyDescent="0.2">
      <c r="A124" t="str">
        <f>'Claims Data'!A124</f>
        <v>CLM00123</v>
      </c>
      <c r="B124" t="str">
        <f>'Claims Data'!B124</f>
        <v>PAT0110</v>
      </c>
      <c r="C124" t="str">
        <f>'Claims Data'!C124</f>
        <v>PRV0057</v>
      </c>
      <c r="D124" s="1">
        <f>'Claims Data'!D124</f>
        <v>45261</v>
      </c>
      <c r="E124">
        <f>'Claims Data'!H124</f>
        <v>3.5</v>
      </c>
      <c r="F124">
        <f>'Claims Data'!J124</f>
        <v>245.69</v>
      </c>
      <c r="G124">
        <f>'Claims Data'!M124</f>
        <v>0</v>
      </c>
      <c r="H124" t="b">
        <f>'Claims Data'!L124</f>
        <v>0</v>
      </c>
      <c r="I124">
        <f t="shared" si="2"/>
        <v>0</v>
      </c>
      <c r="J124" t="str">
        <f t="shared" si="3"/>
        <v>Low Risk</v>
      </c>
    </row>
    <row r="125" spans="1:10" x14ac:dyDescent="0.2">
      <c r="A125" t="str">
        <f>'Claims Data'!A125</f>
        <v>CLM00124</v>
      </c>
      <c r="B125" t="str">
        <f>'Claims Data'!B125</f>
        <v>PAT0027</v>
      </c>
      <c r="C125" t="str">
        <f>'Claims Data'!C125</f>
        <v>PRV0004</v>
      </c>
      <c r="D125" s="1">
        <f>'Claims Data'!D125</f>
        <v>45595</v>
      </c>
      <c r="E125">
        <f>'Claims Data'!H125</f>
        <v>4.0999999999999996</v>
      </c>
      <c r="F125">
        <f>'Claims Data'!J125</f>
        <v>294.58999999999997</v>
      </c>
      <c r="G125">
        <f>'Claims Data'!M125</f>
        <v>0</v>
      </c>
      <c r="H125" t="b">
        <f>'Claims Data'!L125</f>
        <v>0</v>
      </c>
      <c r="I125">
        <f t="shared" si="2"/>
        <v>0</v>
      </c>
      <c r="J125" t="str">
        <f t="shared" si="3"/>
        <v>Low Risk</v>
      </c>
    </row>
    <row r="126" spans="1:10" x14ac:dyDescent="0.2">
      <c r="A126" t="str">
        <f>'Claims Data'!A126</f>
        <v>CLM00125</v>
      </c>
      <c r="B126" t="str">
        <f>'Claims Data'!B126</f>
        <v>PAT0237</v>
      </c>
      <c r="C126" t="str">
        <f>'Claims Data'!C126</f>
        <v>PRV0010</v>
      </c>
      <c r="D126" s="1">
        <f>'Claims Data'!D126</f>
        <v>45126</v>
      </c>
      <c r="E126">
        <f>'Claims Data'!H126</f>
        <v>3.6</v>
      </c>
      <c r="F126">
        <f>'Claims Data'!J126</f>
        <v>262.66000000000003</v>
      </c>
      <c r="G126">
        <f>'Claims Data'!M126</f>
        <v>0</v>
      </c>
      <c r="H126" t="b">
        <f>'Claims Data'!L126</f>
        <v>0</v>
      </c>
      <c r="I126">
        <f t="shared" si="2"/>
        <v>0</v>
      </c>
      <c r="J126" t="str">
        <f t="shared" si="3"/>
        <v>Low Risk</v>
      </c>
    </row>
    <row r="127" spans="1:10" x14ac:dyDescent="0.2">
      <c r="A127" t="str">
        <f>'Claims Data'!A127</f>
        <v>CLM00126</v>
      </c>
      <c r="B127" t="str">
        <f>'Claims Data'!B127</f>
        <v>PAT0105</v>
      </c>
      <c r="C127" t="str">
        <f>'Claims Data'!C127</f>
        <v>PRV0031</v>
      </c>
      <c r="D127" s="1">
        <f>'Claims Data'!D127</f>
        <v>45337</v>
      </c>
      <c r="E127">
        <f>'Claims Data'!H127</f>
        <v>6.5</v>
      </c>
      <c r="F127">
        <f>'Claims Data'!J127</f>
        <v>511.41</v>
      </c>
      <c r="G127">
        <f>'Claims Data'!M127</f>
        <v>0</v>
      </c>
      <c r="H127" t="b">
        <f>'Claims Data'!L127</f>
        <v>0</v>
      </c>
      <c r="I127">
        <f t="shared" si="2"/>
        <v>0</v>
      </c>
      <c r="J127" t="str">
        <f t="shared" si="3"/>
        <v>Low Risk</v>
      </c>
    </row>
    <row r="128" spans="1:10" x14ac:dyDescent="0.2">
      <c r="A128" t="str">
        <f>'Claims Data'!A128</f>
        <v>CLM00127</v>
      </c>
      <c r="B128" t="str">
        <f>'Claims Data'!B128</f>
        <v>PAT0125</v>
      </c>
      <c r="C128" t="str">
        <f>'Claims Data'!C128</f>
        <v>PRV0005</v>
      </c>
      <c r="D128" s="1">
        <f>'Claims Data'!D128</f>
        <v>45387</v>
      </c>
      <c r="E128">
        <f>'Claims Data'!H128</f>
        <v>7.8</v>
      </c>
      <c r="F128">
        <f>'Claims Data'!J128</f>
        <v>427.22</v>
      </c>
      <c r="G128">
        <f>'Claims Data'!M128</f>
        <v>0</v>
      </c>
      <c r="H128" t="b">
        <f>'Claims Data'!L128</f>
        <v>0</v>
      </c>
      <c r="I128">
        <f t="shared" si="2"/>
        <v>0</v>
      </c>
      <c r="J128" t="str">
        <f t="shared" si="3"/>
        <v>Low Risk</v>
      </c>
    </row>
    <row r="129" spans="1:10" x14ac:dyDescent="0.2">
      <c r="A129" t="str">
        <f>'Claims Data'!A129</f>
        <v>CLM00128</v>
      </c>
      <c r="B129" t="str">
        <f>'Claims Data'!B129</f>
        <v>PAT0221</v>
      </c>
      <c r="C129" t="str">
        <f>'Claims Data'!C129</f>
        <v>PRV0049</v>
      </c>
      <c r="D129" s="1">
        <f>'Claims Data'!D129</f>
        <v>44944</v>
      </c>
      <c r="E129">
        <f>'Claims Data'!H129</f>
        <v>7.5</v>
      </c>
      <c r="F129">
        <f>'Claims Data'!J129</f>
        <v>421.17</v>
      </c>
      <c r="G129">
        <f>'Claims Data'!M129</f>
        <v>0</v>
      </c>
      <c r="H129" t="b">
        <f>'Claims Data'!L129</f>
        <v>0</v>
      </c>
      <c r="I129">
        <f t="shared" si="2"/>
        <v>0</v>
      </c>
      <c r="J129" t="str">
        <f t="shared" si="3"/>
        <v>Low Risk</v>
      </c>
    </row>
    <row r="130" spans="1:10" x14ac:dyDescent="0.2">
      <c r="A130" t="str">
        <f>'Claims Data'!A130</f>
        <v>CLM00129</v>
      </c>
      <c r="B130" t="str">
        <f>'Claims Data'!B130</f>
        <v>PAT0268</v>
      </c>
      <c r="C130" t="str">
        <f>'Claims Data'!C130</f>
        <v>PRV0032</v>
      </c>
      <c r="D130" s="1">
        <f>'Claims Data'!D130</f>
        <v>45432</v>
      </c>
      <c r="E130">
        <f>'Claims Data'!H130</f>
        <v>2.5</v>
      </c>
      <c r="F130">
        <f>'Claims Data'!J130</f>
        <v>152.87</v>
      </c>
      <c r="G130">
        <f>'Claims Data'!M130</f>
        <v>0</v>
      </c>
      <c r="H130" t="b">
        <f>'Claims Data'!L130</f>
        <v>0</v>
      </c>
      <c r="I130">
        <f t="shared" si="2"/>
        <v>0</v>
      </c>
      <c r="J130" t="str">
        <f t="shared" si="3"/>
        <v>Low Risk</v>
      </c>
    </row>
    <row r="131" spans="1:10" x14ac:dyDescent="0.2">
      <c r="A131" t="str">
        <f>'Claims Data'!A131</f>
        <v>CLM00130</v>
      </c>
      <c r="B131" t="str">
        <f>'Claims Data'!B131</f>
        <v>PAT0182</v>
      </c>
      <c r="C131" t="str">
        <f>'Claims Data'!C131</f>
        <v>PRV0018</v>
      </c>
      <c r="D131" s="1">
        <f>'Claims Data'!D131</f>
        <v>45372</v>
      </c>
      <c r="E131">
        <f>'Claims Data'!H131</f>
        <v>3.9</v>
      </c>
      <c r="F131">
        <f>'Claims Data'!J131</f>
        <v>116.24</v>
      </c>
      <c r="G131">
        <f>'Claims Data'!M131</f>
        <v>0</v>
      </c>
      <c r="H131" t="b">
        <f>'Claims Data'!L131</f>
        <v>0</v>
      </c>
      <c r="I131">
        <f t="shared" ref="I131:I194" si="4">IF(E131&gt;16,40,0)+IF(MOD(F131,250)=0,30,0)+IF(H131=TRUE,10,0)</f>
        <v>0</v>
      </c>
      <c r="J131" t="str">
        <f t="shared" ref="J131:J194" si="5">IF(I131&gt;=70,"High Risk",IF(I131&gt;=30,"Medium Risk","Low Risk"))</f>
        <v>Low Risk</v>
      </c>
    </row>
    <row r="132" spans="1:10" x14ac:dyDescent="0.2">
      <c r="A132" t="str">
        <f>'Claims Data'!A132</f>
        <v>CLM00131</v>
      </c>
      <c r="B132" t="str">
        <f>'Claims Data'!B132</f>
        <v>PAT0124</v>
      </c>
      <c r="C132" t="str">
        <f>'Claims Data'!C132</f>
        <v>PRV0002</v>
      </c>
      <c r="D132" s="1">
        <f>'Claims Data'!D132</f>
        <v>45570</v>
      </c>
      <c r="E132">
        <f>'Claims Data'!H132</f>
        <v>3.8</v>
      </c>
      <c r="F132">
        <f>'Claims Data'!J132</f>
        <v>232.4</v>
      </c>
      <c r="G132">
        <f>'Claims Data'!M132</f>
        <v>0</v>
      </c>
      <c r="H132" t="b">
        <f>'Claims Data'!L132</f>
        <v>0</v>
      </c>
      <c r="I132">
        <f t="shared" si="4"/>
        <v>0</v>
      </c>
      <c r="J132" t="str">
        <f t="shared" si="5"/>
        <v>Low Risk</v>
      </c>
    </row>
    <row r="133" spans="1:10" x14ac:dyDescent="0.2">
      <c r="A133" t="str">
        <f>'Claims Data'!A133</f>
        <v>CLM00132</v>
      </c>
      <c r="B133" t="str">
        <f>'Claims Data'!B133</f>
        <v>PAT0128</v>
      </c>
      <c r="C133" t="str">
        <f>'Claims Data'!C133</f>
        <v>PRV0037</v>
      </c>
      <c r="D133" s="1">
        <f>'Claims Data'!D133</f>
        <v>45275</v>
      </c>
      <c r="E133">
        <f>'Claims Data'!H133</f>
        <v>6.1</v>
      </c>
      <c r="F133">
        <f>'Claims Data'!J133</f>
        <v>281.17</v>
      </c>
      <c r="G133">
        <f>'Claims Data'!M133</f>
        <v>0</v>
      </c>
      <c r="H133" t="b">
        <f>'Claims Data'!L133</f>
        <v>0</v>
      </c>
      <c r="I133">
        <f t="shared" si="4"/>
        <v>0</v>
      </c>
      <c r="J133" t="str">
        <f t="shared" si="5"/>
        <v>Low Risk</v>
      </c>
    </row>
    <row r="134" spans="1:10" x14ac:dyDescent="0.2">
      <c r="A134" t="str">
        <f>'Claims Data'!A134</f>
        <v>CLM00133</v>
      </c>
      <c r="B134" t="str">
        <f>'Claims Data'!B134</f>
        <v>PAT0018</v>
      </c>
      <c r="C134" t="str">
        <f>'Claims Data'!C134</f>
        <v>PRV0052</v>
      </c>
      <c r="D134" s="1">
        <f>'Claims Data'!D134</f>
        <v>45224</v>
      </c>
      <c r="E134">
        <f>'Claims Data'!H134</f>
        <v>5.7</v>
      </c>
      <c r="F134">
        <f>'Claims Data'!J134</f>
        <v>291.25</v>
      </c>
      <c r="G134">
        <f>'Claims Data'!M134</f>
        <v>0</v>
      </c>
      <c r="H134" t="b">
        <f>'Claims Data'!L134</f>
        <v>0</v>
      </c>
      <c r="I134">
        <f t="shared" si="4"/>
        <v>0</v>
      </c>
      <c r="J134" t="str">
        <f t="shared" si="5"/>
        <v>Low Risk</v>
      </c>
    </row>
    <row r="135" spans="1:10" x14ac:dyDescent="0.2">
      <c r="A135" t="str">
        <f>'Claims Data'!A135</f>
        <v>CLM00134</v>
      </c>
      <c r="B135" t="str">
        <f>'Claims Data'!B135</f>
        <v>PAT0244</v>
      </c>
      <c r="C135" t="str">
        <f>'Claims Data'!C135</f>
        <v>PRV0058</v>
      </c>
      <c r="D135" s="1">
        <f>'Claims Data'!D135</f>
        <v>45352</v>
      </c>
      <c r="E135">
        <f>'Claims Data'!H135</f>
        <v>2.5</v>
      </c>
      <c r="F135">
        <f>'Claims Data'!J135</f>
        <v>158.13</v>
      </c>
      <c r="G135">
        <f>'Claims Data'!M135</f>
        <v>0</v>
      </c>
      <c r="H135" t="b">
        <f>'Claims Data'!L135</f>
        <v>0</v>
      </c>
      <c r="I135">
        <f t="shared" si="4"/>
        <v>0</v>
      </c>
      <c r="J135" t="str">
        <f t="shared" si="5"/>
        <v>Low Risk</v>
      </c>
    </row>
    <row r="136" spans="1:10" x14ac:dyDescent="0.2">
      <c r="A136" t="str">
        <f>'Claims Data'!A136</f>
        <v>CLM00135</v>
      </c>
      <c r="B136" t="str">
        <f>'Claims Data'!B136</f>
        <v>PAT0135</v>
      </c>
      <c r="C136" t="str">
        <f>'Claims Data'!C136</f>
        <v>PRV0004</v>
      </c>
      <c r="D136" s="1">
        <f>'Claims Data'!D136</f>
        <v>45207</v>
      </c>
      <c r="E136">
        <f>'Claims Data'!H136</f>
        <v>7.7</v>
      </c>
      <c r="F136">
        <f>'Claims Data'!J136</f>
        <v>258.45999999999998</v>
      </c>
      <c r="G136">
        <f>'Claims Data'!M136</f>
        <v>0</v>
      </c>
      <c r="H136" t="b">
        <f>'Claims Data'!L136</f>
        <v>0</v>
      </c>
      <c r="I136">
        <f t="shared" si="4"/>
        <v>0</v>
      </c>
      <c r="J136" t="str">
        <f t="shared" si="5"/>
        <v>Low Risk</v>
      </c>
    </row>
    <row r="137" spans="1:10" x14ac:dyDescent="0.2">
      <c r="A137" t="str">
        <f>'Claims Data'!A137</f>
        <v>CLM00136</v>
      </c>
      <c r="B137" t="str">
        <f>'Claims Data'!B137</f>
        <v>PAT0116</v>
      </c>
      <c r="C137" t="str">
        <f>'Claims Data'!C137</f>
        <v>PRV0048</v>
      </c>
      <c r="D137" s="1">
        <f>'Claims Data'!D137</f>
        <v>45174</v>
      </c>
      <c r="E137">
        <f>'Claims Data'!H137</f>
        <v>2.2000000000000002</v>
      </c>
      <c r="F137">
        <f>'Claims Data'!J137</f>
        <v>63.87</v>
      </c>
      <c r="G137" t="str">
        <f>'Claims Data'!M137</f>
        <v>duplicate_claim</v>
      </c>
      <c r="H137" t="b">
        <f>'Claims Data'!L137</f>
        <v>1</v>
      </c>
      <c r="I137">
        <f t="shared" si="4"/>
        <v>10</v>
      </c>
      <c r="J137" t="str">
        <f t="shared" si="5"/>
        <v>Low Risk</v>
      </c>
    </row>
    <row r="138" spans="1:10" x14ac:dyDescent="0.2">
      <c r="A138" t="str">
        <f>'Claims Data'!A138</f>
        <v>CLM00137</v>
      </c>
      <c r="B138" t="str">
        <f>'Claims Data'!B138</f>
        <v>PAT0217</v>
      </c>
      <c r="C138" t="str">
        <f>'Claims Data'!C138</f>
        <v>PRV0060</v>
      </c>
      <c r="D138" s="1">
        <f>'Claims Data'!D138</f>
        <v>45179</v>
      </c>
      <c r="E138">
        <f>'Claims Data'!H138</f>
        <v>4.2</v>
      </c>
      <c r="F138">
        <f>'Claims Data'!J138</f>
        <v>344.27</v>
      </c>
      <c r="G138">
        <f>'Claims Data'!M138</f>
        <v>0</v>
      </c>
      <c r="H138" t="b">
        <f>'Claims Data'!L138</f>
        <v>0</v>
      </c>
      <c r="I138">
        <f t="shared" si="4"/>
        <v>0</v>
      </c>
      <c r="J138" t="str">
        <f t="shared" si="5"/>
        <v>Low Risk</v>
      </c>
    </row>
    <row r="139" spans="1:10" x14ac:dyDescent="0.2">
      <c r="A139" t="str">
        <f>'Claims Data'!A139</f>
        <v>CLM00138</v>
      </c>
      <c r="B139" t="str">
        <f>'Claims Data'!B139</f>
        <v>PAT0159</v>
      </c>
      <c r="C139" t="str">
        <f>'Claims Data'!C139</f>
        <v>PRV0012</v>
      </c>
      <c r="D139" s="1">
        <f>'Claims Data'!D139</f>
        <v>44952</v>
      </c>
      <c r="E139">
        <f>'Claims Data'!H139</f>
        <v>6.1</v>
      </c>
      <c r="F139">
        <f>'Claims Data'!J139</f>
        <v>499.77</v>
      </c>
      <c r="G139">
        <f>'Claims Data'!M139</f>
        <v>0</v>
      </c>
      <c r="H139" t="b">
        <f>'Claims Data'!L139</f>
        <v>0</v>
      </c>
      <c r="I139">
        <f t="shared" si="4"/>
        <v>0</v>
      </c>
      <c r="J139" t="str">
        <f t="shared" si="5"/>
        <v>Low Risk</v>
      </c>
    </row>
    <row r="140" spans="1:10" x14ac:dyDescent="0.2">
      <c r="A140" t="str">
        <f>'Claims Data'!A140</f>
        <v>CLM00139</v>
      </c>
      <c r="B140" t="str">
        <f>'Claims Data'!B140</f>
        <v>PAT0074</v>
      </c>
      <c r="C140" t="str">
        <f>'Claims Data'!C140</f>
        <v>PRV0028</v>
      </c>
      <c r="D140" s="1">
        <f>'Claims Data'!D140</f>
        <v>45035</v>
      </c>
      <c r="E140">
        <f>'Claims Data'!H140</f>
        <v>6.6</v>
      </c>
      <c r="F140">
        <f>'Claims Data'!J140</f>
        <v>392.27</v>
      </c>
      <c r="G140">
        <f>'Claims Data'!M140</f>
        <v>0</v>
      </c>
      <c r="H140" t="b">
        <f>'Claims Data'!L140</f>
        <v>0</v>
      </c>
      <c r="I140">
        <f t="shared" si="4"/>
        <v>0</v>
      </c>
      <c r="J140" t="str">
        <f t="shared" si="5"/>
        <v>Low Risk</v>
      </c>
    </row>
    <row r="141" spans="1:10" x14ac:dyDescent="0.2">
      <c r="A141" t="str">
        <f>'Claims Data'!A141</f>
        <v>CLM00140</v>
      </c>
      <c r="B141" t="str">
        <f>'Claims Data'!B141</f>
        <v>PAT0262</v>
      </c>
      <c r="C141" t="str">
        <f>'Claims Data'!C141</f>
        <v>PRV0039</v>
      </c>
      <c r="D141" s="1">
        <f>'Claims Data'!D141</f>
        <v>45404</v>
      </c>
      <c r="E141">
        <f>'Claims Data'!H141</f>
        <v>4.4000000000000004</v>
      </c>
      <c r="F141">
        <f>'Claims Data'!J141</f>
        <v>281.48</v>
      </c>
      <c r="G141">
        <f>'Claims Data'!M141</f>
        <v>0</v>
      </c>
      <c r="H141" t="b">
        <f>'Claims Data'!L141</f>
        <v>0</v>
      </c>
      <c r="I141">
        <f t="shared" si="4"/>
        <v>0</v>
      </c>
      <c r="J141" t="str">
        <f t="shared" si="5"/>
        <v>Low Risk</v>
      </c>
    </row>
    <row r="142" spans="1:10" x14ac:dyDescent="0.2">
      <c r="A142" t="str">
        <f>'Claims Data'!A142</f>
        <v>CLM00141</v>
      </c>
      <c r="B142" t="str">
        <f>'Claims Data'!B142</f>
        <v>PAT0020</v>
      </c>
      <c r="C142" t="str">
        <f>'Claims Data'!C142</f>
        <v>PRV0042</v>
      </c>
      <c r="D142" s="1">
        <f>'Claims Data'!D142</f>
        <v>45540</v>
      </c>
      <c r="E142">
        <f>'Claims Data'!H142</f>
        <v>2.2000000000000002</v>
      </c>
      <c r="F142">
        <f>'Claims Data'!J142</f>
        <v>79.56</v>
      </c>
      <c r="G142">
        <f>'Claims Data'!M142</f>
        <v>0</v>
      </c>
      <c r="H142" t="b">
        <f>'Claims Data'!L142</f>
        <v>0</v>
      </c>
      <c r="I142">
        <f t="shared" si="4"/>
        <v>0</v>
      </c>
      <c r="J142" t="str">
        <f t="shared" si="5"/>
        <v>Low Risk</v>
      </c>
    </row>
    <row r="143" spans="1:10" x14ac:dyDescent="0.2">
      <c r="A143" t="str">
        <f>'Claims Data'!A143</f>
        <v>CLM00142</v>
      </c>
      <c r="B143" t="str">
        <f>'Claims Data'!B143</f>
        <v>PAT0050</v>
      </c>
      <c r="C143" t="str">
        <f>'Claims Data'!C143</f>
        <v>PRV0039</v>
      </c>
      <c r="D143" s="1">
        <f>'Claims Data'!D143</f>
        <v>45462</v>
      </c>
      <c r="E143">
        <f>'Claims Data'!H143</f>
        <v>7.5</v>
      </c>
      <c r="F143">
        <f>'Claims Data'!J143</f>
        <v>240.49</v>
      </c>
      <c r="G143">
        <f>'Claims Data'!M143</f>
        <v>0</v>
      </c>
      <c r="H143" t="b">
        <f>'Claims Data'!L143</f>
        <v>0</v>
      </c>
      <c r="I143">
        <f t="shared" si="4"/>
        <v>0</v>
      </c>
      <c r="J143" t="str">
        <f t="shared" si="5"/>
        <v>Low Risk</v>
      </c>
    </row>
    <row r="144" spans="1:10" x14ac:dyDescent="0.2">
      <c r="A144" t="str">
        <f>'Claims Data'!A144</f>
        <v>CLM00143</v>
      </c>
      <c r="B144" t="str">
        <f>'Claims Data'!B144</f>
        <v>PAT0247</v>
      </c>
      <c r="C144" t="str">
        <f>'Claims Data'!C144</f>
        <v>PRV0018</v>
      </c>
      <c r="D144" s="1">
        <f>'Claims Data'!D144</f>
        <v>45102</v>
      </c>
      <c r="E144">
        <f>'Claims Data'!H144</f>
        <v>3.3</v>
      </c>
      <c r="F144">
        <f>'Claims Data'!J144</f>
        <v>203.65</v>
      </c>
      <c r="G144">
        <f>'Claims Data'!M144</f>
        <v>0</v>
      </c>
      <c r="H144" t="b">
        <f>'Claims Data'!L144</f>
        <v>0</v>
      </c>
      <c r="I144">
        <f t="shared" si="4"/>
        <v>0</v>
      </c>
      <c r="J144" t="str">
        <f t="shared" si="5"/>
        <v>Low Risk</v>
      </c>
    </row>
    <row r="145" spans="1:10" x14ac:dyDescent="0.2">
      <c r="A145" t="str">
        <f>'Claims Data'!A145</f>
        <v>CLM00144</v>
      </c>
      <c r="B145" t="str">
        <f>'Claims Data'!B145</f>
        <v>PAT0092</v>
      </c>
      <c r="C145" t="str">
        <f>'Claims Data'!C145</f>
        <v>PRV0051</v>
      </c>
      <c r="D145" s="1">
        <f>'Claims Data'!D145</f>
        <v>45541</v>
      </c>
      <c r="E145">
        <f>'Claims Data'!H145</f>
        <v>3.2</v>
      </c>
      <c r="F145">
        <f>'Claims Data'!J145</f>
        <v>106.06</v>
      </c>
      <c r="G145">
        <f>'Claims Data'!M145</f>
        <v>0</v>
      </c>
      <c r="H145" t="b">
        <f>'Claims Data'!L145</f>
        <v>0</v>
      </c>
      <c r="I145">
        <f t="shared" si="4"/>
        <v>0</v>
      </c>
      <c r="J145" t="str">
        <f t="shared" si="5"/>
        <v>Low Risk</v>
      </c>
    </row>
    <row r="146" spans="1:10" x14ac:dyDescent="0.2">
      <c r="A146" t="str">
        <f>'Claims Data'!A146</f>
        <v>CLM00145</v>
      </c>
      <c r="B146" t="str">
        <f>'Claims Data'!B146</f>
        <v>PAT0019</v>
      </c>
      <c r="C146" t="str">
        <f>'Claims Data'!C146</f>
        <v>PRV0019</v>
      </c>
      <c r="D146" s="1">
        <f>'Claims Data'!D146</f>
        <v>45413</v>
      </c>
      <c r="E146">
        <f>'Claims Data'!H146</f>
        <v>3</v>
      </c>
      <c r="F146">
        <f>'Claims Data'!J146</f>
        <v>203.41</v>
      </c>
      <c r="G146" t="str">
        <f>'Claims Data'!M146</f>
        <v>duplicate_claim</v>
      </c>
      <c r="H146" t="b">
        <f>'Claims Data'!L146</f>
        <v>1</v>
      </c>
      <c r="I146">
        <f t="shared" si="4"/>
        <v>10</v>
      </c>
      <c r="J146" t="str">
        <f t="shared" si="5"/>
        <v>Low Risk</v>
      </c>
    </row>
    <row r="147" spans="1:10" x14ac:dyDescent="0.2">
      <c r="A147" t="str">
        <f>'Claims Data'!A147</f>
        <v>CLM00146</v>
      </c>
      <c r="B147" t="str">
        <f>'Claims Data'!B147</f>
        <v>PAT0241</v>
      </c>
      <c r="C147" t="str">
        <f>'Claims Data'!C147</f>
        <v>PRV0012</v>
      </c>
      <c r="D147" s="1">
        <f>'Claims Data'!D147</f>
        <v>45074</v>
      </c>
      <c r="E147">
        <f>'Claims Data'!H147</f>
        <v>6</v>
      </c>
      <c r="F147">
        <f>'Claims Data'!J147</f>
        <v>405.43</v>
      </c>
      <c r="G147">
        <f>'Claims Data'!M147</f>
        <v>0</v>
      </c>
      <c r="H147" t="b">
        <f>'Claims Data'!L147</f>
        <v>0</v>
      </c>
      <c r="I147">
        <f t="shared" si="4"/>
        <v>0</v>
      </c>
      <c r="J147" t="str">
        <f t="shared" si="5"/>
        <v>Low Risk</v>
      </c>
    </row>
    <row r="148" spans="1:10" x14ac:dyDescent="0.2">
      <c r="A148" t="str">
        <f>'Claims Data'!A148</f>
        <v>CLM00147</v>
      </c>
      <c r="B148" t="str">
        <f>'Claims Data'!B148</f>
        <v>PAT0226</v>
      </c>
      <c r="C148" t="str">
        <f>'Claims Data'!C148</f>
        <v>PRV0015</v>
      </c>
      <c r="D148" s="1">
        <f>'Claims Data'!D148</f>
        <v>45534</v>
      </c>
      <c r="E148">
        <f>'Claims Data'!H148</f>
        <v>7.3</v>
      </c>
      <c r="F148">
        <f>'Claims Data'!J148</f>
        <v>555.4</v>
      </c>
      <c r="G148">
        <f>'Claims Data'!M148</f>
        <v>0</v>
      </c>
      <c r="H148" t="b">
        <f>'Claims Data'!L148</f>
        <v>0</v>
      </c>
      <c r="I148">
        <f t="shared" si="4"/>
        <v>0</v>
      </c>
      <c r="J148" t="str">
        <f t="shared" si="5"/>
        <v>Low Risk</v>
      </c>
    </row>
    <row r="149" spans="1:10" x14ac:dyDescent="0.2">
      <c r="A149" t="str">
        <f>'Claims Data'!A149</f>
        <v>CLM00148</v>
      </c>
      <c r="B149" t="str">
        <f>'Claims Data'!B149</f>
        <v>PAT0064</v>
      </c>
      <c r="C149" t="str">
        <f>'Claims Data'!C149</f>
        <v>PRV0060</v>
      </c>
      <c r="D149" s="1">
        <f>'Claims Data'!D149</f>
        <v>45286</v>
      </c>
      <c r="E149">
        <f>'Claims Data'!H149</f>
        <v>6.8</v>
      </c>
      <c r="F149">
        <f>'Claims Data'!J149</f>
        <v>377.57</v>
      </c>
      <c r="G149">
        <f>'Claims Data'!M149</f>
        <v>0</v>
      </c>
      <c r="H149" t="b">
        <f>'Claims Data'!L149</f>
        <v>0</v>
      </c>
      <c r="I149">
        <f t="shared" si="4"/>
        <v>0</v>
      </c>
      <c r="J149" t="str">
        <f t="shared" si="5"/>
        <v>Low Risk</v>
      </c>
    </row>
    <row r="150" spans="1:10" x14ac:dyDescent="0.2">
      <c r="A150" t="str">
        <f>'Claims Data'!A150</f>
        <v>CLM00149</v>
      </c>
      <c r="B150" t="str">
        <f>'Claims Data'!B150</f>
        <v>PAT0190</v>
      </c>
      <c r="C150" t="str">
        <f>'Claims Data'!C150</f>
        <v>PRV0002</v>
      </c>
      <c r="D150" s="1">
        <f>'Claims Data'!D150</f>
        <v>45438</v>
      </c>
      <c r="E150">
        <f>'Claims Data'!H150</f>
        <v>6.8</v>
      </c>
      <c r="F150">
        <f>'Claims Data'!J150</f>
        <v>266.58999999999997</v>
      </c>
      <c r="G150">
        <f>'Claims Data'!M150</f>
        <v>0</v>
      </c>
      <c r="H150" t="b">
        <f>'Claims Data'!L150</f>
        <v>0</v>
      </c>
      <c r="I150">
        <f t="shared" si="4"/>
        <v>0</v>
      </c>
      <c r="J150" t="str">
        <f t="shared" si="5"/>
        <v>Low Risk</v>
      </c>
    </row>
    <row r="151" spans="1:10" x14ac:dyDescent="0.2">
      <c r="A151" t="str">
        <f>'Claims Data'!A151</f>
        <v>CLM00150</v>
      </c>
      <c r="B151" t="str">
        <f>'Claims Data'!B151</f>
        <v>PAT0265</v>
      </c>
      <c r="C151" t="str">
        <f>'Claims Data'!C151</f>
        <v>PRV0060</v>
      </c>
      <c r="D151" s="1">
        <f>'Claims Data'!D151</f>
        <v>45491</v>
      </c>
      <c r="E151">
        <f>'Claims Data'!H151</f>
        <v>4.2</v>
      </c>
      <c r="F151">
        <f>'Claims Data'!J151</f>
        <v>249.21</v>
      </c>
      <c r="G151">
        <f>'Claims Data'!M151</f>
        <v>0</v>
      </c>
      <c r="H151" t="b">
        <f>'Claims Data'!L151</f>
        <v>0</v>
      </c>
      <c r="I151">
        <f t="shared" si="4"/>
        <v>0</v>
      </c>
      <c r="J151" t="str">
        <f t="shared" si="5"/>
        <v>Low Risk</v>
      </c>
    </row>
    <row r="152" spans="1:10" x14ac:dyDescent="0.2">
      <c r="A152" t="str">
        <f>'Claims Data'!A152</f>
        <v>CLM00151</v>
      </c>
      <c r="B152" t="str">
        <f>'Claims Data'!B152</f>
        <v>PAT0155</v>
      </c>
      <c r="C152" t="str">
        <f>'Claims Data'!C152</f>
        <v>PRV0045</v>
      </c>
      <c r="D152" s="1">
        <f>'Claims Data'!D152</f>
        <v>45496</v>
      </c>
      <c r="E152">
        <f>'Claims Data'!H152</f>
        <v>5.7</v>
      </c>
      <c r="F152">
        <f>'Claims Data'!J152</f>
        <v>171.99</v>
      </c>
      <c r="G152">
        <f>'Claims Data'!M152</f>
        <v>0</v>
      </c>
      <c r="H152" t="b">
        <f>'Claims Data'!L152</f>
        <v>0</v>
      </c>
      <c r="I152">
        <f t="shared" si="4"/>
        <v>0</v>
      </c>
      <c r="J152" t="str">
        <f t="shared" si="5"/>
        <v>Low Risk</v>
      </c>
    </row>
    <row r="153" spans="1:10" x14ac:dyDescent="0.2">
      <c r="A153" t="str">
        <f>'Claims Data'!A153</f>
        <v>CLM00152</v>
      </c>
      <c r="B153" t="str">
        <f>'Claims Data'!B153</f>
        <v>PAT0172</v>
      </c>
      <c r="C153" t="str">
        <f>'Claims Data'!C153</f>
        <v>PRV0026</v>
      </c>
      <c r="D153" s="1">
        <f>'Claims Data'!D153</f>
        <v>45289</v>
      </c>
      <c r="E153">
        <f>'Claims Data'!H153</f>
        <v>8</v>
      </c>
      <c r="F153">
        <f>'Claims Data'!J153</f>
        <v>545.05999999999995</v>
      </c>
      <c r="G153">
        <f>'Claims Data'!M153</f>
        <v>0</v>
      </c>
      <c r="H153" t="b">
        <f>'Claims Data'!L153</f>
        <v>0</v>
      </c>
      <c r="I153">
        <f t="shared" si="4"/>
        <v>0</v>
      </c>
      <c r="J153" t="str">
        <f t="shared" si="5"/>
        <v>Low Risk</v>
      </c>
    </row>
    <row r="154" spans="1:10" x14ac:dyDescent="0.2">
      <c r="A154" t="str">
        <f>'Claims Data'!A154</f>
        <v>CLM00153</v>
      </c>
      <c r="B154" t="str">
        <f>'Claims Data'!B154</f>
        <v>PAT0105</v>
      </c>
      <c r="C154" t="str">
        <f>'Claims Data'!C154</f>
        <v>PRV0009</v>
      </c>
      <c r="D154" s="1">
        <f>'Claims Data'!D154</f>
        <v>44991</v>
      </c>
      <c r="E154">
        <f>'Claims Data'!H154</f>
        <v>6.6</v>
      </c>
      <c r="F154">
        <f>'Claims Data'!J154</f>
        <v>491.04</v>
      </c>
      <c r="G154">
        <f>'Claims Data'!M154</f>
        <v>0</v>
      </c>
      <c r="H154" t="b">
        <f>'Claims Data'!L154</f>
        <v>0</v>
      </c>
      <c r="I154">
        <f t="shared" si="4"/>
        <v>0</v>
      </c>
      <c r="J154" t="str">
        <f t="shared" si="5"/>
        <v>Low Risk</v>
      </c>
    </row>
    <row r="155" spans="1:10" x14ac:dyDescent="0.2">
      <c r="A155" t="str">
        <f>'Claims Data'!A155</f>
        <v>CLM00154</v>
      </c>
      <c r="B155" t="str">
        <f>'Claims Data'!B155</f>
        <v>PAT0168</v>
      </c>
      <c r="C155" t="str">
        <f>'Claims Data'!C155</f>
        <v>PRV0016</v>
      </c>
      <c r="D155" s="1">
        <f>'Claims Data'!D155</f>
        <v>45617</v>
      </c>
      <c r="E155">
        <f>'Claims Data'!H155</f>
        <v>39.299999999999997</v>
      </c>
      <c r="F155">
        <f>'Claims Data'!J155</f>
        <v>2500</v>
      </c>
      <c r="G155" t="str">
        <f>'Claims Data'!M155</f>
        <v>phantom_round_amount</v>
      </c>
      <c r="H155" t="b">
        <f>'Claims Data'!L155</f>
        <v>1</v>
      </c>
      <c r="I155">
        <f t="shared" si="4"/>
        <v>80</v>
      </c>
      <c r="J155" t="str">
        <f t="shared" si="5"/>
        <v>High Risk</v>
      </c>
    </row>
    <row r="156" spans="1:10" x14ac:dyDescent="0.2">
      <c r="A156" t="str">
        <f>'Claims Data'!A156</f>
        <v>CLM00155</v>
      </c>
      <c r="B156" t="str">
        <f>'Claims Data'!B156</f>
        <v>PAT0083</v>
      </c>
      <c r="C156" t="str">
        <f>'Claims Data'!C156</f>
        <v>PRV0039</v>
      </c>
      <c r="D156" s="1">
        <f>'Claims Data'!D156</f>
        <v>45446</v>
      </c>
      <c r="E156">
        <f>'Claims Data'!H156</f>
        <v>6.1</v>
      </c>
      <c r="F156">
        <f>'Claims Data'!J156</f>
        <v>278.58999999999997</v>
      </c>
      <c r="G156">
        <f>'Claims Data'!M156</f>
        <v>0</v>
      </c>
      <c r="H156" t="b">
        <f>'Claims Data'!L156</f>
        <v>0</v>
      </c>
      <c r="I156">
        <f t="shared" si="4"/>
        <v>0</v>
      </c>
      <c r="J156" t="str">
        <f t="shared" si="5"/>
        <v>Low Risk</v>
      </c>
    </row>
    <row r="157" spans="1:10" x14ac:dyDescent="0.2">
      <c r="A157" t="str">
        <f>'Claims Data'!A157</f>
        <v>CLM00156</v>
      </c>
      <c r="B157" t="str">
        <f>'Claims Data'!B157</f>
        <v>PAT0208</v>
      </c>
      <c r="C157" t="str">
        <f>'Claims Data'!C157</f>
        <v>PRV0011</v>
      </c>
      <c r="D157" s="1">
        <f>'Claims Data'!D157</f>
        <v>45550</v>
      </c>
      <c r="E157">
        <f>'Claims Data'!H157</f>
        <v>6.6</v>
      </c>
      <c r="F157">
        <f>'Claims Data'!J157</f>
        <v>216.1</v>
      </c>
      <c r="G157">
        <f>'Claims Data'!M157</f>
        <v>0</v>
      </c>
      <c r="H157" t="b">
        <f>'Claims Data'!L157</f>
        <v>0</v>
      </c>
      <c r="I157">
        <f t="shared" si="4"/>
        <v>0</v>
      </c>
      <c r="J157" t="str">
        <f t="shared" si="5"/>
        <v>Low Risk</v>
      </c>
    </row>
    <row r="158" spans="1:10" x14ac:dyDescent="0.2">
      <c r="A158" t="str">
        <f>'Claims Data'!A158</f>
        <v>CLM00157</v>
      </c>
      <c r="B158" t="str">
        <f>'Claims Data'!B158</f>
        <v>PAT0276</v>
      </c>
      <c r="C158" t="str">
        <f>'Claims Data'!C158</f>
        <v>PRV0017</v>
      </c>
      <c r="D158" s="1">
        <f>'Claims Data'!D158</f>
        <v>45229</v>
      </c>
      <c r="E158">
        <f>'Claims Data'!H158</f>
        <v>7</v>
      </c>
      <c r="F158">
        <f>'Claims Data'!J158</f>
        <v>392.6</v>
      </c>
      <c r="G158">
        <f>'Claims Data'!M158</f>
        <v>0</v>
      </c>
      <c r="H158" t="b">
        <f>'Claims Data'!L158</f>
        <v>0</v>
      </c>
      <c r="I158">
        <f t="shared" si="4"/>
        <v>0</v>
      </c>
      <c r="J158" t="str">
        <f t="shared" si="5"/>
        <v>Low Risk</v>
      </c>
    </row>
    <row r="159" spans="1:10" x14ac:dyDescent="0.2">
      <c r="A159" t="str">
        <f>'Claims Data'!A159</f>
        <v>CLM00158</v>
      </c>
      <c r="B159" t="str">
        <f>'Claims Data'!B159</f>
        <v>PAT0295</v>
      </c>
      <c r="C159" t="str">
        <f>'Claims Data'!C159</f>
        <v>PRV0036</v>
      </c>
      <c r="D159" s="1">
        <f>'Claims Data'!D159</f>
        <v>45389</v>
      </c>
      <c r="E159">
        <f>'Claims Data'!H159</f>
        <v>18.8</v>
      </c>
      <c r="F159">
        <f>'Claims Data'!J159</f>
        <v>1524.3</v>
      </c>
      <c r="G159" t="str">
        <f>'Claims Data'!M159</f>
        <v>inflated_hours</v>
      </c>
      <c r="H159" t="b">
        <f>'Claims Data'!L159</f>
        <v>1</v>
      </c>
      <c r="I159">
        <f t="shared" si="4"/>
        <v>50</v>
      </c>
      <c r="J159" t="str">
        <f t="shared" si="5"/>
        <v>Medium Risk</v>
      </c>
    </row>
    <row r="160" spans="1:10" x14ac:dyDescent="0.2">
      <c r="A160" t="str">
        <f>'Claims Data'!A160</f>
        <v>CLM00159</v>
      </c>
      <c r="B160" t="str">
        <f>'Claims Data'!B160</f>
        <v>PAT0093</v>
      </c>
      <c r="C160" t="str">
        <f>'Claims Data'!C160</f>
        <v>PRV0004</v>
      </c>
      <c r="D160" s="1">
        <f>'Claims Data'!D160</f>
        <v>45273</v>
      </c>
      <c r="E160">
        <f>'Claims Data'!H160</f>
        <v>7.7</v>
      </c>
      <c r="F160">
        <f>'Claims Data'!J160</f>
        <v>432.23</v>
      </c>
      <c r="G160" t="str">
        <f>'Claims Data'!M160</f>
        <v>duplicate_claim</v>
      </c>
      <c r="H160" t="b">
        <f>'Claims Data'!L160</f>
        <v>1</v>
      </c>
      <c r="I160">
        <f t="shared" si="4"/>
        <v>10</v>
      </c>
      <c r="J160" t="str">
        <f t="shared" si="5"/>
        <v>Low Risk</v>
      </c>
    </row>
    <row r="161" spans="1:10" x14ac:dyDescent="0.2">
      <c r="A161" t="str">
        <f>'Claims Data'!A161</f>
        <v>CLM00160</v>
      </c>
      <c r="B161" t="str">
        <f>'Claims Data'!B161</f>
        <v>PAT0017</v>
      </c>
      <c r="C161" t="str">
        <f>'Claims Data'!C161</f>
        <v>PRV0036</v>
      </c>
      <c r="D161" s="1">
        <f>'Claims Data'!D161</f>
        <v>45283</v>
      </c>
      <c r="E161">
        <f>'Claims Data'!H161</f>
        <v>3.5</v>
      </c>
      <c r="F161">
        <f>'Claims Data'!J161</f>
        <v>220.86</v>
      </c>
      <c r="G161">
        <f>'Claims Data'!M161</f>
        <v>0</v>
      </c>
      <c r="H161" t="b">
        <f>'Claims Data'!L161</f>
        <v>0</v>
      </c>
      <c r="I161">
        <f t="shared" si="4"/>
        <v>0</v>
      </c>
      <c r="J161" t="str">
        <f t="shared" si="5"/>
        <v>Low Risk</v>
      </c>
    </row>
    <row r="162" spans="1:10" x14ac:dyDescent="0.2">
      <c r="A162" t="str">
        <f>'Claims Data'!A162</f>
        <v>CLM00161</v>
      </c>
      <c r="B162" t="str">
        <f>'Claims Data'!B162</f>
        <v>PAT0026</v>
      </c>
      <c r="C162" t="str">
        <f>'Claims Data'!C162</f>
        <v>PRV0007</v>
      </c>
      <c r="D162" s="1">
        <f>'Claims Data'!D162</f>
        <v>45265</v>
      </c>
      <c r="E162">
        <f>'Claims Data'!H162</f>
        <v>2.8</v>
      </c>
      <c r="F162">
        <f>'Claims Data'!J162</f>
        <v>120.87</v>
      </c>
      <c r="G162">
        <f>'Claims Data'!M162</f>
        <v>0</v>
      </c>
      <c r="H162" t="b">
        <f>'Claims Data'!L162</f>
        <v>0</v>
      </c>
      <c r="I162">
        <f t="shared" si="4"/>
        <v>0</v>
      </c>
      <c r="J162" t="str">
        <f t="shared" si="5"/>
        <v>Low Risk</v>
      </c>
    </row>
    <row r="163" spans="1:10" x14ac:dyDescent="0.2">
      <c r="A163" t="str">
        <f>'Claims Data'!A163</f>
        <v>CLM00162</v>
      </c>
      <c r="B163" t="str">
        <f>'Claims Data'!B163</f>
        <v>PAT0070</v>
      </c>
      <c r="C163" t="str">
        <f>'Claims Data'!C163</f>
        <v>PRV0003</v>
      </c>
      <c r="D163" s="1">
        <f>'Claims Data'!D163</f>
        <v>45164</v>
      </c>
      <c r="E163">
        <f>'Claims Data'!H163</f>
        <v>5</v>
      </c>
      <c r="F163">
        <f>'Claims Data'!J163</f>
        <v>175.59</v>
      </c>
      <c r="G163">
        <f>'Claims Data'!M163</f>
        <v>0</v>
      </c>
      <c r="H163" t="b">
        <f>'Claims Data'!L163</f>
        <v>0</v>
      </c>
      <c r="I163">
        <f t="shared" si="4"/>
        <v>0</v>
      </c>
      <c r="J163" t="str">
        <f t="shared" si="5"/>
        <v>Low Risk</v>
      </c>
    </row>
    <row r="164" spans="1:10" x14ac:dyDescent="0.2">
      <c r="A164" t="str">
        <f>'Claims Data'!A164</f>
        <v>CLM00163</v>
      </c>
      <c r="B164" t="str">
        <f>'Claims Data'!B164</f>
        <v>PAT0236</v>
      </c>
      <c r="C164" t="str">
        <f>'Claims Data'!C164</f>
        <v>PRV0012</v>
      </c>
      <c r="D164" s="1">
        <f>'Claims Data'!D164</f>
        <v>45117</v>
      </c>
      <c r="E164">
        <f>'Claims Data'!H164</f>
        <v>20.9</v>
      </c>
      <c r="F164">
        <f>'Claims Data'!J164</f>
        <v>1305.6199999999999</v>
      </c>
      <c r="G164" t="str">
        <f>'Claims Data'!M164</f>
        <v>inflated_hours</v>
      </c>
      <c r="H164" t="b">
        <f>'Claims Data'!L164</f>
        <v>1</v>
      </c>
      <c r="I164">
        <f t="shared" si="4"/>
        <v>50</v>
      </c>
      <c r="J164" t="str">
        <f t="shared" si="5"/>
        <v>Medium Risk</v>
      </c>
    </row>
    <row r="165" spans="1:10" x14ac:dyDescent="0.2">
      <c r="A165" t="str">
        <f>'Claims Data'!A165</f>
        <v>CLM00164</v>
      </c>
      <c r="B165" t="str">
        <f>'Claims Data'!B165</f>
        <v>PAT0145</v>
      </c>
      <c r="C165" t="str">
        <f>'Claims Data'!C165</f>
        <v>PRV0026</v>
      </c>
      <c r="D165" s="1">
        <f>'Claims Data'!D165</f>
        <v>45531</v>
      </c>
      <c r="E165">
        <f>'Claims Data'!H165</f>
        <v>7.1</v>
      </c>
      <c r="F165">
        <f>'Claims Data'!J165</f>
        <v>417.6</v>
      </c>
      <c r="G165">
        <f>'Claims Data'!M165</f>
        <v>0</v>
      </c>
      <c r="H165" t="b">
        <f>'Claims Data'!L165</f>
        <v>0</v>
      </c>
      <c r="I165">
        <f t="shared" si="4"/>
        <v>0</v>
      </c>
      <c r="J165" t="str">
        <f t="shared" si="5"/>
        <v>Low Risk</v>
      </c>
    </row>
    <row r="166" spans="1:10" x14ac:dyDescent="0.2">
      <c r="A166" t="str">
        <f>'Claims Data'!A166</f>
        <v>CLM00165</v>
      </c>
      <c r="B166" t="str">
        <f>'Claims Data'!B166</f>
        <v>PAT0300</v>
      </c>
      <c r="C166" t="str">
        <f>'Claims Data'!C166</f>
        <v>PRV0030</v>
      </c>
      <c r="D166" s="1">
        <f>'Claims Data'!D166</f>
        <v>45429</v>
      </c>
      <c r="E166">
        <f>'Claims Data'!H166</f>
        <v>2.2999999999999998</v>
      </c>
      <c r="F166">
        <f>'Claims Data'!J166</f>
        <v>146.02000000000001</v>
      </c>
      <c r="G166">
        <f>'Claims Data'!M166</f>
        <v>0</v>
      </c>
      <c r="H166" t="b">
        <f>'Claims Data'!L166</f>
        <v>0</v>
      </c>
      <c r="I166">
        <f t="shared" si="4"/>
        <v>0</v>
      </c>
      <c r="J166" t="str">
        <f t="shared" si="5"/>
        <v>Low Risk</v>
      </c>
    </row>
    <row r="167" spans="1:10" x14ac:dyDescent="0.2">
      <c r="A167" t="str">
        <f>'Claims Data'!A167</f>
        <v>CLM00166</v>
      </c>
      <c r="B167" t="str">
        <f>'Claims Data'!B167</f>
        <v>PAT0089</v>
      </c>
      <c r="C167" t="str">
        <f>'Claims Data'!C167</f>
        <v>PRV0017</v>
      </c>
      <c r="D167" s="1">
        <f>'Claims Data'!D167</f>
        <v>45381</v>
      </c>
      <c r="E167">
        <f>'Claims Data'!H167</f>
        <v>5.9</v>
      </c>
      <c r="F167">
        <f>'Claims Data'!J167</f>
        <v>419</v>
      </c>
      <c r="G167">
        <f>'Claims Data'!M167</f>
        <v>0</v>
      </c>
      <c r="H167" t="b">
        <f>'Claims Data'!L167</f>
        <v>0</v>
      </c>
      <c r="I167">
        <f t="shared" si="4"/>
        <v>0</v>
      </c>
      <c r="J167" t="str">
        <f t="shared" si="5"/>
        <v>Low Risk</v>
      </c>
    </row>
    <row r="168" spans="1:10" x14ac:dyDescent="0.2">
      <c r="A168" t="str">
        <f>'Claims Data'!A168</f>
        <v>CLM00167</v>
      </c>
      <c r="B168" t="str">
        <f>'Claims Data'!B168</f>
        <v>PAT0210</v>
      </c>
      <c r="C168" t="str">
        <f>'Claims Data'!C168</f>
        <v>PRV0057</v>
      </c>
      <c r="D168" s="1">
        <f>'Claims Data'!D168</f>
        <v>45276</v>
      </c>
      <c r="E168">
        <f>'Claims Data'!H168</f>
        <v>5</v>
      </c>
      <c r="F168">
        <f>'Claims Data'!J168</f>
        <v>313.14999999999998</v>
      </c>
      <c r="G168">
        <f>'Claims Data'!M168</f>
        <v>0</v>
      </c>
      <c r="H168" t="b">
        <f>'Claims Data'!L168</f>
        <v>0</v>
      </c>
      <c r="I168">
        <f t="shared" si="4"/>
        <v>0</v>
      </c>
      <c r="J168" t="str">
        <f t="shared" si="5"/>
        <v>Low Risk</v>
      </c>
    </row>
    <row r="169" spans="1:10" x14ac:dyDescent="0.2">
      <c r="A169" t="str">
        <f>'Claims Data'!A169</f>
        <v>CLM00168</v>
      </c>
      <c r="B169" t="str">
        <f>'Claims Data'!B169</f>
        <v>PAT0157</v>
      </c>
      <c r="C169" t="str">
        <f>'Claims Data'!C169</f>
        <v>PRV0053</v>
      </c>
      <c r="D169" s="1">
        <f>'Claims Data'!D169</f>
        <v>45570</v>
      </c>
      <c r="E169">
        <f>'Claims Data'!H169</f>
        <v>4.9000000000000004</v>
      </c>
      <c r="F169">
        <f>'Claims Data'!J169</f>
        <v>359.08</v>
      </c>
      <c r="G169">
        <f>'Claims Data'!M169</f>
        <v>0</v>
      </c>
      <c r="H169" t="b">
        <f>'Claims Data'!L169</f>
        <v>0</v>
      </c>
      <c r="I169">
        <f t="shared" si="4"/>
        <v>0</v>
      </c>
      <c r="J169" t="str">
        <f t="shared" si="5"/>
        <v>Low Risk</v>
      </c>
    </row>
    <row r="170" spans="1:10" x14ac:dyDescent="0.2">
      <c r="A170" t="str">
        <f>'Claims Data'!A170</f>
        <v>CLM00169</v>
      </c>
      <c r="B170" t="str">
        <f>'Claims Data'!B170</f>
        <v>PAT0296</v>
      </c>
      <c r="C170" t="str">
        <f>'Claims Data'!C170</f>
        <v>PRV0039</v>
      </c>
      <c r="D170" s="1">
        <f>'Claims Data'!D170</f>
        <v>45299</v>
      </c>
      <c r="E170">
        <f>'Claims Data'!H170</f>
        <v>3.8</v>
      </c>
      <c r="F170">
        <f>'Claims Data'!J170</f>
        <v>111.64</v>
      </c>
      <c r="G170">
        <f>'Claims Data'!M170</f>
        <v>0</v>
      </c>
      <c r="H170" t="b">
        <f>'Claims Data'!L170</f>
        <v>0</v>
      </c>
      <c r="I170">
        <f t="shared" si="4"/>
        <v>0</v>
      </c>
      <c r="J170" t="str">
        <f t="shared" si="5"/>
        <v>Low Risk</v>
      </c>
    </row>
    <row r="171" spans="1:10" x14ac:dyDescent="0.2">
      <c r="A171" t="str">
        <f>'Claims Data'!A171</f>
        <v>CLM00170</v>
      </c>
      <c r="B171" t="str">
        <f>'Claims Data'!B171</f>
        <v>PAT0163</v>
      </c>
      <c r="C171" t="str">
        <f>'Claims Data'!C171</f>
        <v>PRV0029</v>
      </c>
      <c r="D171" s="1">
        <f>'Claims Data'!D171</f>
        <v>45634</v>
      </c>
      <c r="E171">
        <f>'Claims Data'!H171</f>
        <v>4.5999999999999996</v>
      </c>
      <c r="F171">
        <f>'Claims Data'!J171</f>
        <v>248.65</v>
      </c>
      <c r="G171">
        <f>'Claims Data'!M171</f>
        <v>0</v>
      </c>
      <c r="H171" t="b">
        <f>'Claims Data'!L171</f>
        <v>0</v>
      </c>
      <c r="I171">
        <f t="shared" si="4"/>
        <v>0</v>
      </c>
      <c r="J171" t="str">
        <f t="shared" si="5"/>
        <v>Low Risk</v>
      </c>
    </row>
    <row r="172" spans="1:10" x14ac:dyDescent="0.2">
      <c r="A172" t="str">
        <f>'Claims Data'!A172</f>
        <v>CLM00171</v>
      </c>
      <c r="B172" t="str">
        <f>'Claims Data'!B172</f>
        <v>PAT0266</v>
      </c>
      <c r="C172" t="str">
        <f>'Claims Data'!C172</f>
        <v>PRV0021</v>
      </c>
      <c r="D172" s="1">
        <f>'Claims Data'!D172</f>
        <v>45282</v>
      </c>
      <c r="E172">
        <f>'Claims Data'!H172</f>
        <v>5.6</v>
      </c>
      <c r="F172">
        <f>'Claims Data'!J172</f>
        <v>245.03</v>
      </c>
      <c r="G172">
        <f>'Claims Data'!M172</f>
        <v>0</v>
      </c>
      <c r="H172" t="b">
        <f>'Claims Data'!L172</f>
        <v>0</v>
      </c>
      <c r="I172">
        <f t="shared" si="4"/>
        <v>0</v>
      </c>
      <c r="J172" t="str">
        <f t="shared" si="5"/>
        <v>Low Risk</v>
      </c>
    </row>
    <row r="173" spans="1:10" x14ac:dyDescent="0.2">
      <c r="A173" t="str">
        <f>'Claims Data'!A173</f>
        <v>CLM00172</v>
      </c>
      <c r="B173" t="str">
        <f>'Claims Data'!B173</f>
        <v>PAT0071</v>
      </c>
      <c r="C173" t="str">
        <f>'Claims Data'!C173</f>
        <v>PRV0019</v>
      </c>
      <c r="D173" s="1">
        <f>'Claims Data'!D173</f>
        <v>45070</v>
      </c>
      <c r="E173">
        <f>'Claims Data'!H173</f>
        <v>6.4</v>
      </c>
      <c r="F173">
        <f>'Claims Data'!J173</f>
        <v>490.54</v>
      </c>
      <c r="G173">
        <f>'Claims Data'!M173</f>
        <v>0</v>
      </c>
      <c r="H173" t="b">
        <f>'Claims Data'!L173</f>
        <v>0</v>
      </c>
      <c r="I173">
        <f t="shared" si="4"/>
        <v>0</v>
      </c>
      <c r="J173" t="str">
        <f t="shared" si="5"/>
        <v>Low Risk</v>
      </c>
    </row>
    <row r="174" spans="1:10" x14ac:dyDescent="0.2">
      <c r="A174" t="str">
        <f>'Claims Data'!A174</f>
        <v>CLM00173</v>
      </c>
      <c r="B174" t="str">
        <f>'Claims Data'!B174</f>
        <v>PAT0181</v>
      </c>
      <c r="C174" t="str">
        <f>'Claims Data'!C174</f>
        <v>PRV0050</v>
      </c>
      <c r="D174" s="1">
        <f>'Claims Data'!D174</f>
        <v>45339</v>
      </c>
      <c r="E174">
        <f>'Claims Data'!H174</f>
        <v>6.6</v>
      </c>
      <c r="F174">
        <f>'Claims Data'!J174</f>
        <v>368.93</v>
      </c>
      <c r="G174">
        <f>'Claims Data'!M174</f>
        <v>0</v>
      </c>
      <c r="H174" t="b">
        <f>'Claims Data'!L174</f>
        <v>0</v>
      </c>
      <c r="I174">
        <f t="shared" si="4"/>
        <v>0</v>
      </c>
      <c r="J174" t="str">
        <f t="shared" si="5"/>
        <v>Low Risk</v>
      </c>
    </row>
    <row r="175" spans="1:10" x14ac:dyDescent="0.2">
      <c r="A175" t="str">
        <f>'Claims Data'!A175</f>
        <v>CLM00174</v>
      </c>
      <c r="B175" t="str">
        <f>'Claims Data'!B175</f>
        <v>PAT0239</v>
      </c>
      <c r="C175" t="str">
        <f>'Claims Data'!C175</f>
        <v>PRV0006</v>
      </c>
      <c r="D175" s="1">
        <f>'Claims Data'!D175</f>
        <v>45072</v>
      </c>
      <c r="E175">
        <f>'Claims Data'!H175</f>
        <v>23.4</v>
      </c>
      <c r="F175">
        <f>'Claims Data'!J175</f>
        <v>756.99</v>
      </c>
      <c r="G175" t="str">
        <f>'Claims Data'!M175</f>
        <v>inflated_hours</v>
      </c>
      <c r="H175" t="b">
        <f>'Claims Data'!L175</f>
        <v>1</v>
      </c>
      <c r="I175">
        <f t="shared" si="4"/>
        <v>50</v>
      </c>
      <c r="J175" t="str">
        <f t="shared" si="5"/>
        <v>Medium Risk</v>
      </c>
    </row>
    <row r="176" spans="1:10" x14ac:dyDescent="0.2">
      <c r="A176" t="str">
        <f>'Claims Data'!A176</f>
        <v>CLM00175</v>
      </c>
      <c r="B176" t="str">
        <f>'Claims Data'!B176</f>
        <v>PAT0250</v>
      </c>
      <c r="C176" t="str">
        <f>'Claims Data'!C176</f>
        <v>PRV0041</v>
      </c>
      <c r="D176" s="1">
        <f>'Claims Data'!D176</f>
        <v>45447</v>
      </c>
      <c r="E176">
        <f>'Claims Data'!H176</f>
        <v>2.8</v>
      </c>
      <c r="F176">
        <f>'Claims Data'!J176</f>
        <v>78.5</v>
      </c>
      <c r="G176">
        <f>'Claims Data'!M176</f>
        <v>0</v>
      </c>
      <c r="H176" t="b">
        <f>'Claims Data'!L176</f>
        <v>0</v>
      </c>
      <c r="I176">
        <f t="shared" si="4"/>
        <v>0</v>
      </c>
      <c r="J176" t="str">
        <f t="shared" si="5"/>
        <v>Low Risk</v>
      </c>
    </row>
    <row r="177" spans="1:10" x14ac:dyDescent="0.2">
      <c r="A177" t="str">
        <f>'Claims Data'!A177</f>
        <v>CLM00176</v>
      </c>
      <c r="B177" t="str">
        <f>'Claims Data'!B177</f>
        <v>PAT0233</v>
      </c>
      <c r="C177" t="str">
        <f>'Claims Data'!C177</f>
        <v>PRV0006</v>
      </c>
      <c r="D177" s="1">
        <f>'Claims Data'!D177</f>
        <v>45375</v>
      </c>
      <c r="E177">
        <f>'Claims Data'!H177</f>
        <v>3.5</v>
      </c>
      <c r="F177">
        <f>'Claims Data'!J177</f>
        <v>269.20999999999998</v>
      </c>
      <c r="G177">
        <f>'Claims Data'!M177</f>
        <v>0</v>
      </c>
      <c r="H177" t="b">
        <f>'Claims Data'!L177</f>
        <v>0</v>
      </c>
      <c r="I177">
        <f t="shared" si="4"/>
        <v>0</v>
      </c>
      <c r="J177" t="str">
        <f t="shared" si="5"/>
        <v>Low Risk</v>
      </c>
    </row>
    <row r="178" spans="1:10" x14ac:dyDescent="0.2">
      <c r="A178" t="str">
        <f>'Claims Data'!A178</f>
        <v>CLM00177</v>
      </c>
      <c r="B178" t="str">
        <f>'Claims Data'!B178</f>
        <v>PAT0145</v>
      </c>
      <c r="C178" t="str">
        <f>'Claims Data'!C178</f>
        <v>PRV0030</v>
      </c>
      <c r="D178" s="1">
        <f>'Claims Data'!D178</f>
        <v>45519</v>
      </c>
      <c r="E178">
        <f>'Claims Data'!H178</f>
        <v>7.6</v>
      </c>
      <c r="F178">
        <f>'Claims Data'!J178</f>
        <v>518.83000000000004</v>
      </c>
      <c r="G178">
        <f>'Claims Data'!M178</f>
        <v>0</v>
      </c>
      <c r="H178" t="b">
        <f>'Claims Data'!L178</f>
        <v>0</v>
      </c>
      <c r="I178">
        <f t="shared" si="4"/>
        <v>0</v>
      </c>
      <c r="J178" t="str">
        <f t="shared" si="5"/>
        <v>Low Risk</v>
      </c>
    </row>
    <row r="179" spans="1:10" x14ac:dyDescent="0.2">
      <c r="A179" t="str">
        <f>'Claims Data'!A179</f>
        <v>CLM00178</v>
      </c>
      <c r="B179" t="str">
        <f>'Claims Data'!B179</f>
        <v>PAT0198</v>
      </c>
      <c r="C179" t="str">
        <f>'Claims Data'!C179</f>
        <v>PRV0052</v>
      </c>
      <c r="D179" s="1">
        <f>'Claims Data'!D179</f>
        <v>45345</v>
      </c>
      <c r="E179">
        <f>'Claims Data'!H179</f>
        <v>5</v>
      </c>
      <c r="F179">
        <f>'Claims Data'!J179</f>
        <v>279.42</v>
      </c>
      <c r="G179">
        <f>'Claims Data'!M179</f>
        <v>0</v>
      </c>
      <c r="H179" t="b">
        <f>'Claims Data'!L179</f>
        <v>0</v>
      </c>
      <c r="I179">
        <f t="shared" si="4"/>
        <v>0</v>
      </c>
      <c r="J179" t="str">
        <f t="shared" si="5"/>
        <v>Low Risk</v>
      </c>
    </row>
    <row r="180" spans="1:10" x14ac:dyDescent="0.2">
      <c r="A180" t="str">
        <f>'Claims Data'!A180</f>
        <v>CLM00179</v>
      </c>
      <c r="B180" t="str">
        <f>'Claims Data'!B180</f>
        <v>PAT0028</v>
      </c>
      <c r="C180" t="str">
        <f>'Claims Data'!C180</f>
        <v>PRV0039</v>
      </c>
      <c r="D180" s="1">
        <f>'Claims Data'!D180</f>
        <v>45465</v>
      </c>
      <c r="E180">
        <f>'Claims Data'!H180</f>
        <v>20.8</v>
      </c>
      <c r="F180">
        <f>'Claims Data'!J180</f>
        <v>632.32000000000005</v>
      </c>
      <c r="G180" t="str">
        <f>'Claims Data'!M180</f>
        <v>inflated_hours</v>
      </c>
      <c r="H180" t="b">
        <f>'Claims Data'!L180</f>
        <v>1</v>
      </c>
      <c r="I180">
        <f t="shared" si="4"/>
        <v>50</v>
      </c>
      <c r="J180" t="str">
        <f t="shared" si="5"/>
        <v>Medium Risk</v>
      </c>
    </row>
    <row r="181" spans="1:10" x14ac:dyDescent="0.2">
      <c r="A181" t="str">
        <f>'Claims Data'!A181</f>
        <v>CLM00180</v>
      </c>
      <c r="B181" t="str">
        <f>'Claims Data'!B181</f>
        <v>PAT0197</v>
      </c>
      <c r="C181" t="str">
        <f>'Claims Data'!C181</f>
        <v>PRV0059</v>
      </c>
      <c r="D181" s="1">
        <f>'Claims Data'!D181</f>
        <v>45312</v>
      </c>
      <c r="E181">
        <f>'Claims Data'!H181</f>
        <v>7.8</v>
      </c>
      <c r="F181">
        <f>'Claims Data'!J181</f>
        <v>295.69</v>
      </c>
      <c r="G181">
        <f>'Claims Data'!M181</f>
        <v>0</v>
      </c>
      <c r="H181" t="b">
        <f>'Claims Data'!L181</f>
        <v>0</v>
      </c>
      <c r="I181">
        <f t="shared" si="4"/>
        <v>0</v>
      </c>
      <c r="J181" t="str">
        <f t="shared" si="5"/>
        <v>Low Risk</v>
      </c>
    </row>
    <row r="182" spans="1:10" x14ac:dyDescent="0.2">
      <c r="A182" t="str">
        <f>'Claims Data'!A182</f>
        <v>CLM00181</v>
      </c>
      <c r="B182" t="str">
        <f>'Claims Data'!B182</f>
        <v>PAT0040</v>
      </c>
      <c r="C182" t="str">
        <f>'Claims Data'!C182</f>
        <v>PRV0048</v>
      </c>
      <c r="D182" s="1">
        <f>'Claims Data'!D182</f>
        <v>45630</v>
      </c>
      <c r="E182">
        <f>'Claims Data'!H182</f>
        <v>2.2999999999999998</v>
      </c>
      <c r="F182">
        <f>'Claims Data'!J182</f>
        <v>125.8</v>
      </c>
      <c r="G182">
        <f>'Claims Data'!M182</f>
        <v>0</v>
      </c>
      <c r="H182" t="b">
        <f>'Claims Data'!L182</f>
        <v>0</v>
      </c>
      <c r="I182">
        <f t="shared" si="4"/>
        <v>0</v>
      </c>
      <c r="J182" t="str">
        <f t="shared" si="5"/>
        <v>Low Risk</v>
      </c>
    </row>
    <row r="183" spans="1:10" x14ac:dyDescent="0.2">
      <c r="A183" t="str">
        <f>'Claims Data'!A183</f>
        <v>CLM00182</v>
      </c>
      <c r="B183" t="str">
        <f>'Claims Data'!B183</f>
        <v>PAT0010</v>
      </c>
      <c r="C183" t="str">
        <f>'Claims Data'!C183</f>
        <v>PRV0022</v>
      </c>
      <c r="D183" s="1">
        <f>'Claims Data'!D183</f>
        <v>45300</v>
      </c>
      <c r="E183">
        <f>'Claims Data'!H183</f>
        <v>3.7</v>
      </c>
      <c r="F183">
        <f>'Claims Data'!J183</f>
        <v>94.32</v>
      </c>
      <c r="G183">
        <f>'Claims Data'!M183</f>
        <v>0</v>
      </c>
      <c r="H183" t="b">
        <f>'Claims Data'!L183</f>
        <v>0</v>
      </c>
      <c r="I183">
        <f t="shared" si="4"/>
        <v>0</v>
      </c>
      <c r="J183" t="str">
        <f t="shared" si="5"/>
        <v>Low Risk</v>
      </c>
    </row>
    <row r="184" spans="1:10" x14ac:dyDescent="0.2">
      <c r="A184" t="str">
        <f>'Claims Data'!A184</f>
        <v>CLM00183</v>
      </c>
      <c r="B184" t="str">
        <f>'Claims Data'!B184</f>
        <v>PAT0180</v>
      </c>
      <c r="C184" t="str">
        <f>'Claims Data'!C184</f>
        <v>PRV0040</v>
      </c>
      <c r="D184" s="1">
        <f>'Claims Data'!D184</f>
        <v>45617</v>
      </c>
      <c r="E184">
        <f>'Claims Data'!H184</f>
        <v>2.8</v>
      </c>
      <c r="F184">
        <f>'Claims Data'!J184</f>
        <v>114.43</v>
      </c>
      <c r="G184" t="str">
        <f>'Claims Data'!M184</f>
        <v>duplicate_claim</v>
      </c>
      <c r="H184" t="b">
        <f>'Claims Data'!L184</f>
        <v>1</v>
      </c>
      <c r="I184">
        <f t="shared" si="4"/>
        <v>10</v>
      </c>
      <c r="J184" t="str">
        <f t="shared" si="5"/>
        <v>Low Risk</v>
      </c>
    </row>
    <row r="185" spans="1:10" x14ac:dyDescent="0.2">
      <c r="A185" t="str">
        <f>'Claims Data'!A185</f>
        <v>CLM00184</v>
      </c>
      <c r="B185" t="str">
        <f>'Claims Data'!B185</f>
        <v>PAT0198</v>
      </c>
      <c r="C185" t="str">
        <f>'Claims Data'!C185</f>
        <v>PRV0007</v>
      </c>
      <c r="D185" s="1">
        <f>'Claims Data'!D185</f>
        <v>45438</v>
      </c>
      <c r="E185">
        <f>'Claims Data'!H185</f>
        <v>4.2</v>
      </c>
      <c r="F185">
        <f>'Claims Data'!J185</f>
        <v>205.95</v>
      </c>
      <c r="G185">
        <f>'Claims Data'!M185</f>
        <v>0</v>
      </c>
      <c r="H185" t="b">
        <f>'Claims Data'!L185</f>
        <v>0</v>
      </c>
      <c r="I185">
        <f t="shared" si="4"/>
        <v>0</v>
      </c>
      <c r="J185" t="str">
        <f t="shared" si="5"/>
        <v>Low Risk</v>
      </c>
    </row>
    <row r="186" spans="1:10" x14ac:dyDescent="0.2">
      <c r="A186" t="str">
        <f>'Claims Data'!A186</f>
        <v>CLM00185</v>
      </c>
      <c r="B186" t="str">
        <f>'Claims Data'!B186</f>
        <v>PAT0155</v>
      </c>
      <c r="C186" t="str">
        <f>'Claims Data'!C186</f>
        <v>PRV0037</v>
      </c>
      <c r="D186" s="1">
        <f>'Claims Data'!D186</f>
        <v>45215</v>
      </c>
      <c r="E186">
        <f>'Claims Data'!H186</f>
        <v>17.3</v>
      </c>
      <c r="F186">
        <f>'Claims Data'!J186</f>
        <v>732.14</v>
      </c>
      <c r="G186" t="str">
        <f>'Claims Data'!M186</f>
        <v>inflated_hours</v>
      </c>
      <c r="H186" t="b">
        <f>'Claims Data'!L186</f>
        <v>1</v>
      </c>
      <c r="I186">
        <f t="shared" si="4"/>
        <v>50</v>
      </c>
      <c r="J186" t="str">
        <f t="shared" si="5"/>
        <v>Medium Risk</v>
      </c>
    </row>
    <row r="187" spans="1:10" x14ac:dyDescent="0.2">
      <c r="A187" t="str">
        <f>'Claims Data'!A187</f>
        <v>CLM00186</v>
      </c>
      <c r="B187" t="str">
        <f>'Claims Data'!B187</f>
        <v>PAT0233</v>
      </c>
      <c r="C187" t="str">
        <f>'Claims Data'!C187</f>
        <v>PRV0046</v>
      </c>
      <c r="D187" s="1">
        <f>'Claims Data'!D187</f>
        <v>45475</v>
      </c>
      <c r="E187">
        <f>'Claims Data'!H187</f>
        <v>6.6</v>
      </c>
      <c r="F187">
        <f>'Claims Data'!J187</f>
        <v>275.77</v>
      </c>
      <c r="G187">
        <f>'Claims Data'!M187</f>
        <v>0</v>
      </c>
      <c r="H187" t="b">
        <f>'Claims Data'!L187</f>
        <v>0</v>
      </c>
      <c r="I187">
        <f t="shared" si="4"/>
        <v>0</v>
      </c>
      <c r="J187" t="str">
        <f t="shared" si="5"/>
        <v>Low Risk</v>
      </c>
    </row>
    <row r="188" spans="1:10" x14ac:dyDescent="0.2">
      <c r="A188" t="str">
        <f>'Claims Data'!A188</f>
        <v>CLM00187</v>
      </c>
      <c r="B188" t="str">
        <f>'Claims Data'!B188</f>
        <v>PAT0256</v>
      </c>
      <c r="C188" t="str">
        <f>'Claims Data'!C188</f>
        <v>PRV0038</v>
      </c>
      <c r="D188" s="1">
        <f>'Claims Data'!D188</f>
        <v>44987</v>
      </c>
      <c r="E188">
        <f>'Claims Data'!H188</f>
        <v>2.8</v>
      </c>
      <c r="F188">
        <f>'Claims Data'!J188</f>
        <v>86.24</v>
      </c>
      <c r="G188">
        <f>'Claims Data'!M188</f>
        <v>0</v>
      </c>
      <c r="H188" t="b">
        <f>'Claims Data'!L188</f>
        <v>0</v>
      </c>
      <c r="I188">
        <f t="shared" si="4"/>
        <v>0</v>
      </c>
      <c r="J188" t="str">
        <f t="shared" si="5"/>
        <v>Low Risk</v>
      </c>
    </row>
    <row r="189" spans="1:10" x14ac:dyDescent="0.2">
      <c r="A189" t="str">
        <f>'Claims Data'!A189</f>
        <v>CLM00188</v>
      </c>
      <c r="B189" t="str">
        <f>'Claims Data'!B189</f>
        <v>PAT0187</v>
      </c>
      <c r="C189" t="str">
        <f>'Claims Data'!C189</f>
        <v>PRV0025</v>
      </c>
      <c r="D189" s="1">
        <f>'Claims Data'!D189</f>
        <v>45409</v>
      </c>
      <c r="E189">
        <f>'Claims Data'!H189</f>
        <v>5.3</v>
      </c>
      <c r="F189">
        <f>'Claims Data'!J189</f>
        <v>248.76</v>
      </c>
      <c r="G189">
        <f>'Claims Data'!M189</f>
        <v>0</v>
      </c>
      <c r="H189" t="b">
        <f>'Claims Data'!L189</f>
        <v>0</v>
      </c>
      <c r="I189">
        <f t="shared" si="4"/>
        <v>0</v>
      </c>
      <c r="J189" t="str">
        <f t="shared" si="5"/>
        <v>Low Risk</v>
      </c>
    </row>
    <row r="190" spans="1:10" x14ac:dyDescent="0.2">
      <c r="A190" t="str">
        <f>'Claims Data'!A190</f>
        <v>CLM00189</v>
      </c>
      <c r="B190" t="str">
        <f>'Claims Data'!B190</f>
        <v>PAT0060</v>
      </c>
      <c r="C190" t="str">
        <f>'Claims Data'!C190</f>
        <v>PRV0032</v>
      </c>
      <c r="D190" s="1">
        <f>'Claims Data'!D190</f>
        <v>45401</v>
      </c>
      <c r="E190">
        <f>'Claims Data'!H190</f>
        <v>5.6</v>
      </c>
      <c r="F190">
        <f>'Claims Data'!J190</f>
        <v>274.87</v>
      </c>
      <c r="G190">
        <f>'Claims Data'!M190</f>
        <v>0</v>
      </c>
      <c r="H190" t="b">
        <f>'Claims Data'!L190</f>
        <v>0</v>
      </c>
      <c r="I190">
        <f t="shared" si="4"/>
        <v>0</v>
      </c>
      <c r="J190" t="str">
        <f t="shared" si="5"/>
        <v>Low Risk</v>
      </c>
    </row>
    <row r="191" spans="1:10" x14ac:dyDescent="0.2">
      <c r="A191" t="str">
        <f>'Claims Data'!A191</f>
        <v>CLM00190</v>
      </c>
      <c r="B191" t="str">
        <f>'Claims Data'!B191</f>
        <v>PAT0148</v>
      </c>
      <c r="C191" t="str">
        <f>'Claims Data'!C191</f>
        <v>PRV0052</v>
      </c>
      <c r="D191" s="1">
        <f>'Claims Data'!D191</f>
        <v>45171</v>
      </c>
      <c r="E191">
        <f>'Claims Data'!H191</f>
        <v>2.2000000000000002</v>
      </c>
      <c r="F191">
        <f>'Claims Data'!J191</f>
        <v>149.19</v>
      </c>
      <c r="G191">
        <f>'Claims Data'!M191</f>
        <v>0</v>
      </c>
      <c r="H191" t="b">
        <f>'Claims Data'!L191</f>
        <v>0</v>
      </c>
      <c r="I191">
        <f t="shared" si="4"/>
        <v>0</v>
      </c>
      <c r="J191" t="str">
        <f t="shared" si="5"/>
        <v>Low Risk</v>
      </c>
    </row>
    <row r="192" spans="1:10" x14ac:dyDescent="0.2">
      <c r="A192" t="str">
        <f>'Claims Data'!A192</f>
        <v>CLM00191</v>
      </c>
      <c r="B192" t="str">
        <f>'Claims Data'!B192</f>
        <v>PAT0200</v>
      </c>
      <c r="C192" t="str">
        <f>'Claims Data'!C192</f>
        <v>PRV0051</v>
      </c>
      <c r="D192" s="1">
        <f>'Claims Data'!D192</f>
        <v>45259</v>
      </c>
      <c r="E192">
        <f>'Claims Data'!H192</f>
        <v>2.9</v>
      </c>
      <c r="F192">
        <f>'Claims Data'!J192</f>
        <v>227.9</v>
      </c>
      <c r="G192">
        <f>'Claims Data'!M192</f>
        <v>0</v>
      </c>
      <c r="H192" t="b">
        <f>'Claims Data'!L192</f>
        <v>0</v>
      </c>
      <c r="I192">
        <f t="shared" si="4"/>
        <v>0</v>
      </c>
      <c r="J192" t="str">
        <f t="shared" si="5"/>
        <v>Low Risk</v>
      </c>
    </row>
    <row r="193" spans="1:10" x14ac:dyDescent="0.2">
      <c r="A193" t="str">
        <f>'Claims Data'!A193</f>
        <v>CLM00192</v>
      </c>
      <c r="B193" t="str">
        <f>'Claims Data'!B193</f>
        <v>PAT0115</v>
      </c>
      <c r="C193" t="str">
        <f>'Claims Data'!C193</f>
        <v>PRV0057</v>
      </c>
      <c r="D193" s="1">
        <f>'Claims Data'!D193</f>
        <v>45074</v>
      </c>
      <c r="E193">
        <f>'Claims Data'!H193</f>
        <v>23.8</v>
      </c>
      <c r="F193">
        <f>'Claims Data'!J193</f>
        <v>1049.82</v>
      </c>
      <c r="G193" t="str">
        <f>'Claims Data'!M193</f>
        <v>inflated_hours</v>
      </c>
      <c r="H193" t="b">
        <f>'Claims Data'!L193</f>
        <v>1</v>
      </c>
      <c r="I193">
        <f t="shared" si="4"/>
        <v>50</v>
      </c>
      <c r="J193" t="str">
        <f t="shared" si="5"/>
        <v>Medium Risk</v>
      </c>
    </row>
    <row r="194" spans="1:10" x14ac:dyDescent="0.2">
      <c r="A194" t="str">
        <f>'Claims Data'!A194</f>
        <v>CLM00193</v>
      </c>
      <c r="B194" t="str">
        <f>'Claims Data'!B194</f>
        <v>PAT0100</v>
      </c>
      <c r="C194" t="str">
        <f>'Claims Data'!C194</f>
        <v>PRV0029</v>
      </c>
      <c r="D194" s="1">
        <f>'Claims Data'!D194</f>
        <v>45052</v>
      </c>
      <c r="E194">
        <f>'Claims Data'!H194</f>
        <v>5.6</v>
      </c>
      <c r="F194">
        <f>'Claims Data'!J194</f>
        <v>310.45999999999998</v>
      </c>
      <c r="G194">
        <f>'Claims Data'!M194</f>
        <v>0</v>
      </c>
      <c r="H194" t="b">
        <f>'Claims Data'!L194</f>
        <v>0</v>
      </c>
      <c r="I194">
        <f t="shared" si="4"/>
        <v>0</v>
      </c>
      <c r="J194" t="str">
        <f t="shared" si="5"/>
        <v>Low Risk</v>
      </c>
    </row>
    <row r="195" spans="1:10" x14ac:dyDescent="0.2">
      <c r="A195" t="str">
        <f>'Claims Data'!A195</f>
        <v>CLM00194</v>
      </c>
      <c r="B195" t="str">
        <f>'Claims Data'!B195</f>
        <v>PAT0053</v>
      </c>
      <c r="C195" t="str">
        <f>'Claims Data'!C195</f>
        <v>PRV0060</v>
      </c>
      <c r="D195" s="1">
        <f>'Claims Data'!D195</f>
        <v>45044</v>
      </c>
      <c r="E195">
        <f>'Claims Data'!H195</f>
        <v>6.3</v>
      </c>
      <c r="F195">
        <f>'Claims Data'!J195</f>
        <v>270.82</v>
      </c>
      <c r="G195">
        <f>'Claims Data'!M195</f>
        <v>0</v>
      </c>
      <c r="H195" t="b">
        <f>'Claims Data'!L195</f>
        <v>0</v>
      </c>
      <c r="I195">
        <f t="shared" ref="I195:I258" si="6">IF(E195&gt;16,40,0)+IF(MOD(F195,250)=0,30,0)+IF(H195=TRUE,10,0)</f>
        <v>0</v>
      </c>
      <c r="J195" t="str">
        <f t="shared" ref="J195:J258" si="7">IF(I195&gt;=70,"High Risk",IF(I195&gt;=30,"Medium Risk","Low Risk"))</f>
        <v>Low Risk</v>
      </c>
    </row>
    <row r="196" spans="1:10" x14ac:dyDescent="0.2">
      <c r="A196" t="str">
        <f>'Claims Data'!A196</f>
        <v>CLM00195</v>
      </c>
      <c r="B196" t="str">
        <f>'Claims Data'!B196</f>
        <v>PAT0068</v>
      </c>
      <c r="C196" t="str">
        <f>'Claims Data'!C196</f>
        <v>PRV0046</v>
      </c>
      <c r="D196" s="1">
        <f>'Claims Data'!D196</f>
        <v>45482</v>
      </c>
      <c r="E196">
        <f>'Claims Data'!H196</f>
        <v>4</v>
      </c>
      <c r="F196">
        <f>'Claims Data'!J196</f>
        <v>126.31</v>
      </c>
      <c r="G196">
        <f>'Claims Data'!M196</f>
        <v>0</v>
      </c>
      <c r="H196" t="b">
        <f>'Claims Data'!L196</f>
        <v>0</v>
      </c>
      <c r="I196">
        <f t="shared" si="6"/>
        <v>0</v>
      </c>
      <c r="J196" t="str">
        <f t="shared" si="7"/>
        <v>Low Risk</v>
      </c>
    </row>
    <row r="197" spans="1:10" x14ac:dyDescent="0.2">
      <c r="A197" t="str">
        <f>'Claims Data'!A197</f>
        <v>CLM00196</v>
      </c>
      <c r="B197" t="str">
        <f>'Claims Data'!B197</f>
        <v>PAT0026</v>
      </c>
      <c r="C197" t="str">
        <f>'Claims Data'!C197</f>
        <v>PRV0053</v>
      </c>
      <c r="D197" s="1">
        <f>'Claims Data'!D197</f>
        <v>45346</v>
      </c>
      <c r="E197">
        <f>'Claims Data'!H197</f>
        <v>6.8</v>
      </c>
      <c r="F197">
        <f>'Claims Data'!J197</f>
        <v>465.93</v>
      </c>
      <c r="G197" t="str">
        <f>'Claims Data'!M197</f>
        <v>duplicate_claim</v>
      </c>
      <c r="H197" t="b">
        <f>'Claims Data'!L197</f>
        <v>1</v>
      </c>
      <c r="I197">
        <f t="shared" si="6"/>
        <v>10</v>
      </c>
      <c r="J197" t="str">
        <f t="shared" si="7"/>
        <v>Low Risk</v>
      </c>
    </row>
    <row r="198" spans="1:10" x14ac:dyDescent="0.2">
      <c r="A198" t="str">
        <f>'Claims Data'!A198</f>
        <v>CLM00197</v>
      </c>
      <c r="B198" t="str">
        <f>'Claims Data'!B198</f>
        <v>PAT0258</v>
      </c>
      <c r="C198" t="str">
        <f>'Claims Data'!C198</f>
        <v>PRV0017</v>
      </c>
      <c r="D198" s="1">
        <f>'Claims Data'!D198</f>
        <v>45236</v>
      </c>
      <c r="E198">
        <f>'Claims Data'!H198</f>
        <v>5.6</v>
      </c>
      <c r="F198">
        <f>'Claims Data'!J198</f>
        <v>229.22</v>
      </c>
      <c r="G198">
        <f>'Claims Data'!M198</f>
        <v>0</v>
      </c>
      <c r="H198" t="b">
        <f>'Claims Data'!L198</f>
        <v>0</v>
      </c>
      <c r="I198">
        <f t="shared" si="6"/>
        <v>0</v>
      </c>
      <c r="J198" t="str">
        <f t="shared" si="7"/>
        <v>Low Risk</v>
      </c>
    </row>
    <row r="199" spans="1:10" x14ac:dyDescent="0.2">
      <c r="A199" t="str">
        <f>'Claims Data'!A199</f>
        <v>CLM00198</v>
      </c>
      <c r="B199" t="str">
        <f>'Claims Data'!B199</f>
        <v>PAT0044</v>
      </c>
      <c r="C199" t="str">
        <f>'Claims Data'!C199</f>
        <v>PRV0054</v>
      </c>
      <c r="D199" s="1">
        <f>'Claims Data'!D199</f>
        <v>45303</v>
      </c>
      <c r="E199">
        <f>'Claims Data'!H199</f>
        <v>6.3</v>
      </c>
      <c r="F199">
        <f>'Claims Data'!J199</f>
        <v>378.07</v>
      </c>
      <c r="G199">
        <f>'Claims Data'!M199</f>
        <v>0</v>
      </c>
      <c r="H199" t="b">
        <f>'Claims Data'!L199</f>
        <v>0</v>
      </c>
      <c r="I199">
        <f t="shared" si="6"/>
        <v>0</v>
      </c>
      <c r="J199" t="str">
        <f t="shared" si="7"/>
        <v>Low Risk</v>
      </c>
    </row>
    <row r="200" spans="1:10" x14ac:dyDescent="0.2">
      <c r="A200" t="str">
        <f>'Claims Data'!A200</f>
        <v>CLM00199</v>
      </c>
      <c r="B200" t="str">
        <f>'Claims Data'!B200</f>
        <v>PAT0122</v>
      </c>
      <c r="C200" t="str">
        <f>'Claims Data'!C200</f>
        <v>PRV0037</v>
      </c>
      <c r="D200" s="1">
        <f>'Claims Data'!D200</f>
        <v>45329</v>
      </c>
      <c r="E200">
        <f>'Claims Data'!H200</f>
        <v>2.9</v>
      </c>
      <c r="F200">
        <f>'Claims Data'!J200</f>
        <v>190.95</v>
      </c>
      <c r="G200">
        <f>'Claims Data'!M200</f>
        <v>0</v>
      </c>
      <c r="H200" t="b">
        <f>'Claims Data'!L200</f>
        <v>0</v>
      </c>
      <c r="I200">
        <f t="shared" si="6"/>
        <v>0</v>
      </c>
      <c r="J200" t="str">
        <f t="shared" si="7"/>
        <v>Low Risk</v>
      </c>
    </row>
    <row r="201" spans="1:10" x14ac:dyDescent="0.2">
      <c r="A201" t="str">
        <f>'Claims Data'!A201</f>
        <v>CLM00200</v>
      </c>
      <c r="B201" t="str">
        <f>'Claims Data'!B201</f>
        <v>PAT0191</v>
      </c>
      <c r="C201" t="str">
        <f>'Claims Data'!C201</f>
        <v>PRV0031</v>
      </c>
      <c r="D201" s="1">
        <f>'Claims Data'!D201</f>
        <v>45322</v>
      </c>
      <c r="E201">
        <f>'Claims Data'!H201</f>
        <v>3.1</v>
      </c>
      <c r="F201">
        <f>'Claims Data'!J201</f>
        <v>159.53</v>
      </c>
      <c r="G201">
        <f>'Claims Data'!M201</f>
        <v>0</v>
      </c>
      <c r="H201" t="b">
        <f>'Claims Data'!L201</f>
        <v>0</v>
      </c>
      <c r="I201">
        <f t="shared" si="6"/>
        <v>0</v>
      </c>
      <c r="J201" t="str">
        <f t="shared" si="7"/>
        <v>Low Risk</v>
      </c>
    </row>
    <row r="202" spans="1:10" x14ac:dyDescent="0.2">
      <c r="A202" t="str">
        <f>'Claims Data'!A202</f>
        <v>CLM00201</v>
      </c>
      <c r="B202" t="str">
        <f>'Claims Data'!B202</f>
        <v>PAT0201</v>
      </c>
      <c r="C202" t="str">
        <f>'Claims Data'!C202</f>
        <v>PRV0050</v>
      </c>
      <c r="D202" s="1">
        <f>'Claims Data'!D202</f>
        <v>45007</v>
      </c>
      <c r="E202">
        <f>'Claims Data'!H202</f>
        <v>4.5</v>
      </c>
      <c r="F202">
        <f>'Claims Data'!J202</f>
        <v>167.55</v>
      </c>
      <c r="G202" t="str">
        <f>'Claims Data'!M202</f>
        <v>duplicate_claim</v>
      </c>
      <c r="H202" t="b">
        <f>'Claims Data'!L202</f>
        <v>1</v>
      </c>
      <c r="I202">
        <f t="shared" si="6"/>
        <v>10</v>
      </c>
      <c r="J202" t="str">
        <f t="shared" si="7"/>
        <v>Low Risk</v>
      </c>
    </row>
    <row r="203" spans="1:10" x14ac:dyDescent="0.2">
      <c r="A203" t="str">
        <f>'Claims Data'!A203</f>
        <v>CLM00202</v>
      </c>
      <c r="B203" t="str">
        <f>'Claims Data'!B203</f>
        <v>PAT0049</v>
      </c>
      <c r="C203" t="str">
        <f>'Claims Data'!C203</f>
        <v>PRV0052</v>
      </c>
      <c r="D203" s="1">
        <f>'Claims Data'!D203</f>
        <v>45552</v>
      </c>
      <c r="E203">
        <f>'Claims Data'!H203</f>
        <v>7.2</v>
      </c>
      <c r="F203">
        <f>'Claims Data'!J203</f>
        <v>497.88</v>
      </c>
      <c r="G203">
        <f>'Claims Data'!M203</f>
        <v>0</v>
      </c>
      <c r="H203" t="b">
        <f>'Claims Data'!L203</f>
        <v>0</v>
      </c>
      <c r="I203">
        <f t="shared" si="6"/>
        <v>0</v>
      </c>
      <c r="J203" t="str">
        <f t="shared" si="7"/>
        <v>Low Risk</v>
      </c>
    </row>
    <row r="204" spans="1:10" x14ac:dyDescent="0.2">
      <c r="A204" t="str">
        <f>'Claims Data'!A204</f>
        <v>CLM00203</v>
      </c>
      <c r="B204" t="str">
        <f>'Claims Data'!B204</f>
        <v>PAT0131</v>
      </c>
      <c r="C204" t="str">
        <f>'Claims Data'!C204</f>
        <v>PRV0047</v>
      </c>
      <c r="D204" s="1">
        <f>'Claims Data'!D204</f>
        <v>38319</v>
      </c>
      <c r="E204">
        <f>'Claims Data'!H204</f>
        <v>5.0999999999999996</v>
      </c>
      <c r="F204">
        <f>'Claims Data'!J204</f>
        <v>299.13</v>
      </c>
      <c r="G204" t="str">
        <f>'Claims Data'!M204</f>
        <v>deceased_patient_billing</v>
      </c>
      <c r="H204" t="b">
        <f>'Claims Data'!L204</f>
        <v>1</v>
      </c>
      <c r="I204">
        <f t="shared" si="6"/>
        <v>10</v>
      </c>
      <c r="J204" t="str">
        <f t="shared" si="7"/>
        <v>Low Risk</v>
      </c>
    </row>
    <row r="205" spans="1:10" x14ac:dyDescent="0.2">
      <c r="A205" t="str">
        <f>'Claims Data'!A205</f>
        <v>CLM00204</v>
      </c>
      <c r="B205" t="str">
        <f>'Claims Data'!B205</f>
        <v>PAT0007</v>
      </c>
      <c r="C205" t="str">
        <f>'Claims Data'!C205</f>
        <v>PRV0038</v>
      </c>
      <c r="D205" s="1">
        <f>'Claims Data'!D205</f>
        <v>45279</v>
      </c>
      <c r="E205">
        <f>'Claims Data'!H205</f>
        <v>5.2</v>
      </c>
      <c r="F205">
        <f>'Claims Data'!J205</f>
        <v>227.89</v>
      </c>
      <c r="G205">
        <f>'Claims Data'!M205</f>
        <v>0</v>
      </c>
      <c r="H205" t="b">
        <f>'Claims Data'!L205</f>
        <v>0</v>
      </c>
      <c r="I205">
        <f t="shared" si="6"/>
        <v>0</v>
      </c>
      <c r="J205" t="str">
        <f t="shared" si="7"/>
        <v>Low Risk</v>
      </c>
    </row>
    <row r="206" spans="1:10" x14ac:dyDescent="0.2">
      <c r="A206" t="str">
        <f>'Claims Data'!A206</f>
        <v>CLM00205</v>
      </c>
      <c r="B206" t="str">
        <f>'Claims Data'!B206</f>
        <v>PAT0174</v>
      </c>
      <c r="C206" t="str">
        <f>'Claims Data'!C206</f>
        <v>PRV0029</v>
      </c>
      <c r="D206" s="1">
        <f>'Claims Data'!D206</f>
        <v>44968</v>
      </c>
      <c r="E206">
        <f>'Claims Data'!H206</f>
        <v>7.5</v>
      </c>
      <c r="F206">
        <f>'Claims Data'!J206</f>
        <v>341.55</v>
      </c>
      <c r="G206">
        <f>'Claims Data'!M206</f>
        <v>0</v>
      </c>
      <c r="H206" t="b">
        <f>'Claims Data'!L206</f>
        <v>0</v>
      </c>
      <c r="I206">
        <f t="shared" si="6"/>
        <v>0</v>
      </c>
      <c r="J206" t="str">
        <f t="shared" si="7"/>
        <v>Low Risk</v>
      </c>
    </row>
    <row r="207" spans="1:10" x14ac:dyDescent="0.2">
      <c r="A207" t="str">
        <f>'Claims Data'!A207</f>
        <v>CLM00206</v>
      </c>
      <c r="B207" t="str">
        <f>'Claims Data'!B207</f>
        <v>PAT0290</v>
      </c>
      <c r="C207" t="str">
        <f>'Claims Data'!C207</f>
        <v>PRV0019</v>
      </c>
      <c r="D207" s="1">
        <f>'Claims Data'!D207</f>
        <v>45245</v>
      </c>
      <c r="E207">
        <f>'Claims Data'!H207</f>
        <v>5.7</v>
      </c>
      <c r="F207">
        <f>'Claims Data'!J207</f>
        <v>208.25</v>
      </c>
      <c r="G207">
        <f>'Claims Data'!M207</f>
        <v>0</v>
      </c>
      <c r="H207" t="b">
        <f>'Claims Data'!L207</f>
        <v>0</v>
      </c>
      <c r="I207">
        <f t="shared" si="6"/>
        <v>0</v>
      </c>
      <c r="J207" t="str">
        <f t="shared" si="7"/>
        <v>Low Risk</v>
      </c>
    </row>
    <row r="208" spans="1:10" x14ac:dyDescent="0.2">
      <c r="A208" t="str">
        <f>'Claims Data'!A208</f>
        <v>CLM00207</v>
      </c>
      <c r="B208" t="str">
        <f>'Claims Data'!B208</f>
        <v>PAT0158</v>
      </c>
      <c r="C208" t="str">
        <f>'Claims Data'!C208</f>
        <v>PRV0025</v>
      </c>
      <c r="D208" s="1">
        <f>'Claims Data'!D208</f>
        <v>45095</v>
      </c>
      <c r="E208">
        <f>'Claims Data'!H208</f>
        <v>5.3</v>
      </c>
      <c r="F208">
        <f>'Claims Data'!J208</f>
        <v>204.01</v>
      </c>
      <c r="G208">
        <f>'Claims Data'!M208</f>
        <v>0</v>
      </c>
      <c r="H208" t="b">
        <f>'Claims Data'!L208</f>
        <v>0</v>
      </c>
      <c r="I208">
        <f t="shared" si="6"/>
        <v>0</v>
      </c>
      <c r="J208" t="str">
        <f t="shared" si="7"/>
        <v>Low Risk</v>
      </c>
    </row>
    <row r="209" spans="1:10" x14ac:dyDescent="0.2">
      <c r="A209" t="str">
        <f>'Claims Data'!A209</f>
        <v>CLM00208</v>
      </c>
      <c r="B209" t="str">
        <f>'Claims Data'!B209</f>
        <v>PAT0248</v>
      </c>
      <c r="C209" t="str">
        <f>'Claims Data'!C209</f>
        <v>PRV0045</v>
      </c>
      <c r="D209" s="1">
        <f>'Claims Data'!D209</f>
        <v>45093</v>
      </c>
      <c r="E209">
        <f>'Claims Data'!H209</f>
        <v>18.8</v>
      </c>
      <c r="F209">
        <f>'Claims Data'!J209</f>
        <v>1250</v>
      </c>
      <c r="G209" t="str">
        <f>'Claims Data'!M209</f>
        <v>phantom_round_amount</v>
      </c>
      <c r="H209" t="b">
        <f>'Claims Data'!L209</f>
        <v>1</v>
      </c>
      <c r="I209">
        <f t="shared" si="6"/>
        <v>80</v>
      </c>
      <c r="J209" t="str">
        <f t="shared" si="7"/>
        <v>High Risk</v>
      </c>
    </row>
    <row r="210" spans="1:10" x14ac:dyDescent="0.2">
      <c r="A210" t="str">
        <f>'Claims Data'!A210</f>
        <v>CLM00209</v>
      </c>
      <c r="B210" t="str">
        <f>'Claims Data'!B210</f>
        <v>PAT0183</v>
      </c>
      <c r="C210" t="str">
        <f>'Claims Data'!C210</f>
        <v>PRV0015</v>
      </c>
      <c r="D210" s="1">
        <f>'Claims Data'!D210</f>
        <v>44939</v>
      </c>
      <c r="E210">
        <f>'Claims Data'!H210</f>
        <v>4.9000000000000004</v>
      </c>
      <c r="F210">
        <f>'Claims Data'!J210</f>
        <v>287.27999999999997</v>
      </c>
      <c r="G210">
        <f>'Claims Data'!M210</f>
        <v>0</v>
      </c>
      <c r="H210" t="b">
        <f>'Claims Data'!L210</f>
        <v>0</v>
      </c>
      <c r="I210">
        <f t="shared" si="6"/>
        <v>0</v>
      </c>
      <c r="J210" t="str">
        <f t="shared" si="7"/>
        <v>Low Risk</v>
      </c>
    </row>
    <row r="211" spans="1:10" x14ac:dyDescent="0.2">
      <c r="A211" t="str">
        <f>'Claims Data'!A211</f>
        <v>CLM00210</v>
      </c>
      <c r="B211" t="str">
        <f>'Claims Data'!B211</f>
        <v>PAT0168</v>
      </c>
      <c r="C211" t="str">
        <f>'Claims Data'!C211</f>
        <v>PRV0048</v>
      </c>
      <c r="D211" s="1">
        <f>'Claims Data'!D211</f>
        <v>45633</v>
      </c>
      <c r="E211">
        <f>'Claims Data'!H211</f>
        <v>3.7</v>
      </c>
      <c r="F211">
        <f>'Claims Data'!J211</f>
        <v>219.81</v>
      </c>
      <c r="G211">
        <f>'Claims Data'!M211</f>
        <v>0</v>
      </c>
      <c r="H211" t="b">
        <f>'Claims Data'!L211</f>
        <v>0</v>
      </c>
      <c r="I211">
        <f t="shared" si="6"/>
        <v>0</v>
      </c>
      <c r="J211" t="str">
        <f t="shared" si="7"/>
        <v>Low Risk</v>
      </c>
    </row>
    <row r="212" spans="1:10" x14ac:dyDescent="0.2">
      <c r="A212" t="str">
        <f>'Claims Data'!A212</f>
        <v>CLM00211</v>
      </c>
      <c r="B212" t="str">
        <f>'Claims Data'!B212</f>
        <v>PAT0233</v>
      </c>
      <c r="C212" t="str">
        <f>'Claims Data'!C212</f>
        <v>PRV0021</v>
      </c>
      <c r="D212" s="1">
        <f>'Claims Data'!D212</f>
        <v>45480</v>
      </c>
      <c r="E212">
        <f>'Claims Data'!H212</f>
        <v>7.4</v>
      </c>
      <c r="F212">
        <f>'Claims Data'!J212</f>
        <v>360.17</v>
      </c>
      <c r="G212">
        <f>'Claims Data'!M212</f>
        <v>0</v>
      </c>
      <c r="H212" t="b">
        <f>'Claims Data'!L212</f>
        <v>0</v>
      </c>
      <c r="I212">
        <f t="shared" si="6"/>
        <v>0</v>
      </c>
      <c r="J212" t="str">
        <f t="shared" si="7"/>
        <v>Low Risk</v>
      </c>
    </row>
    <row r="213" spans="1:10" x14ac:dyDescent="0.2">
      <c r="A213" t="str">
        <f>'Claims Data'!A213</f>
        <v>CLM00212</v>
      </c>
      <c r="B213" t="str">
        <f>'Claims Data'!B213</f>
        <v>PAT0171</v>
      </c>
      <c r="C213" t="str">
        <f>'Claims Data'!C213</f>
        <v>PRV0030</v>
      </c>
      <c r="D213" s="1">
        <f>'Claims Data'!D213</f>
        <v>45246</v>
      </c>
      <c r="E213">
        <f>'Claims Data'!H213</f>
        <v>3.7</v>
      </c>
      <c r="F213">
        <f>'Claims Data'!J213</f>
        <v>156.35</v>
      </c>
      <c r="G213">
        <f>'Claims Data'!M213</f>
        <v>0</v>
      </c>
      <c r="H213" t="b">
        <f>'Claims Data'!L213</f>
        <v>0</v>
      </c>
      <c r="I213">
        <f t="shared" si="6"/>
        <v>0</v>
      </c>
      <c r="J213" t="str">
        <f t="shared" si="7"/>
        <v>Low Risk</v>
      </c>
    </row>
    <row r="214" spans="1:10" x14ac:dyDescent="0.2">
      <c r="A214" t="str">
        <f>'Claims Data'!A214</f>
        <v>CLM00213</v>
      </c>
      <c r="B214" t="str">
        <f>'Claims Data'!B214</f>
        <v>PAT0105</v>
      </c>
      <c r="C214" t="str">
        <f>'Claims Data'!C214</f>
        <v>PRV0025</v>
      </c>
      <c r="D214" s="1">
        <f>'Claims Data'!D214</f>
        <v>45328</v>
      </c>
      <c r="E214">
        <f>'Claims Data'!H214</f>
        <v>4.0999999999999996</v>
      </c>
      <c r="F214">
        <f>'Claims Data'!J214</f>
        <v>211.32</v>
      </c>
      <c r="G214">
        <f>'Claims Data'!M214</f>
        <v>0</v>
      </c>
      <c r="H214" t="b">
        <f>'Claims Data'!L214</f>
        <v>0</v>
      </c>
      <c r="I214">
        <f t="shared" si="6"/>
        <v>0</v>
      </c>
      <c r="J214" t="str">
        <f t="shared" si="7"/>
        <v>Low Risk</v>
      </c>
    </row>
    <row r="215" spans="1:10" x14ac:dyDescent="0.2">
      <c r="A215" t="str">
        <f>'Claims Data'!A215</f>
        <v>CLM00214</v>
      </c>
      <c r="B215" t="str">
        <f>'Claims Data'!B215</f>
        <v>PAT0045</v>
      </c>
      <c r="C215" t="str">
        <f>'Claims Data'!C215</f>
        <v>PRV0005</v>
      </c>
      <c r="D215" s="1">
        <f>'Claims Data'!D215</f>
        <v>45559</v>
      </c>
      <c r="E215">
        <f>'Claims Data'!H215</f>
        <v>3.3</v>
      </c>
      <c r="F215">
        <f>'Claims Data'!J215</f>
        <v>246.43</v>
      </c>
      <c r="G215">
        <f>'Claims Data'!M215</f>
        <v>0</v>
      </c>
      <c r="H215" t="b">
        <f>'Claims Data'!L215</f>
        <v>0</v>
      </c>
      <c r="I215">
        <f t="shared" si="6"/>
        <v>0</v>
      </c>
      <c r="J215" t="str">
        <f t="shared" si="7"/>
        <v>Low Risk</v>
      </c>
    </row>
    <row r="216" spans="1:10" x14ac:dyDescent="0.2">
      <c r="A216" t="str">
        <f>'Claims Data'!A216</f>
        <v>CLM00215</v>
      </c>
      <c r="B216" t="str">
        <f>'Claims Data'!B216</f>
        <v>PAT0127</v>
      </c>
      <c r="C216" t="str">
        <f>'Claims Data'!C216</f>
        <v>PRV0034</v>
      </c>
      <c r="D216" s="1">
        <f>'Claims Data'!D216</f>
        <v>45455</v>
      </c>
      <c r="E216">
        <f>'Claims Data'!H216</f>
        <v>2.8</v>
      </c>
      <c r="F216">
        <f>'Claims Data'!J216</f>
        <v>173.43</v>
      </c>
      <c r="G216">
        <f>'Claims Data'!M216</f>
        <v>0</v>
      </c>
      <c r="H216" t="b">
        <f>'Claims Data'!L216</f>
        <v>0</v>
      </c>
      <c r="I216">
        <f t="shared" si="6"/>
        <v>0</v>
      </c>
      <c r="J216" t="str">
        <f t="shared" si="7"/>
        <v>Low Risk</v>
      </c>
    </row>
    <row r="217" spans="1:10" x14ac:dyDescent="0.2">
      <c r="A217" t="str">
        <f>'Claims Data'!A217</f>
        <v>CLM00216</v>
      </c>
      <c r="B217" t="str">
        <f>'Claims Data'!B217</f>
        <v>PAT0092</v>
      </c>
      <c r="C217" t="str">
        <f>'Claims Data'!C217</f>
        <v>PRV0046</v>
      </c>
      <c r="D217" s="1">
        <f>'Claims Data'!D217</f>
        <v>45534</v>
      </c>
      <c r="E217">
        <f>'Claims Data'!H217</f>
        <v>3.5</v>
      </c>
      <c r="F217">
        <f>'Claims Data'!J217</f>
        <v>228.17</v>
      </c>
      <c r="G217" t="str">
        <f>'Claims Data'!M217</f>
        <v>duplicate_claim</v>
      </c>
      <c r="H217" t="b">
        <f>'Claims Data'!L217</f>
        <v>1</v>
      </c>
      <c r="I217">
        <f t="shared" si="6"/>
        <v>10</v>
      </c>
      <c r="J217" t="str">
        <f t="shared" si="7"/>
        <v>Low Risk</v>
      </c>
    </row>
    <row r="218" spans="1:10" x14ac:dyDescent="0.2">
      <c r="A218" t="str">
        <f>'Claims Data'!A218</f>
        <v>CLM00217</v>
      </c>
      <c r="B218" t="str">
        <f>'Claims Data'!B218</f>
        <v>PAT0259</v>
      </c>
      <c r="C218" t="str">
        <f>'Claims Data'!C218</f>
        <v>PRV0005</v>
      </c>
      <c r="D218" s="1">
        <f>'Claims Data'!D218</f>
        <v>45591</v>
      </c>
      <c r="E218">
        <f>'Claims Data'!H218</f>
        <v>5.8</v>
      </c>
      <c r="F218">
        <f>'Claims Data'!J218</f>
        <v>163.27000000000001</v>
      </c>
      <c r="G218">
        <f>'Claims Data'!M218</f>
        <v>0</v>
      </c>
      <c r="H218" t="b">
        <f>'Claims Data'!L218</f>
        <v>0</v>
      </c>
      <c r="I218">
        <f t="shared" si="6"/>
        <v>0</v>
      </c>
      <c r="J218" t="str">
        <f t="shared" si="7"/>
        <v>Low Risk</v>
      </c>
    </row>
    <row r="219" spans="1:10" x14ac:dyDescent="0.2">
      <c r="A219" t="str">
        <f>'Claims Data'!A219</f>
        <v>CLM00218</v>
      </c>
      <c r="B219" t="str">
        <f>'Claims Data'!B219</f>
        <v>PAT0189</v>
      </c>
      <c r="C219" t="str">
        <f>'Claims Data'!C219</f>
        <v>PRV0036</v>
      </c>
      <c r="D219" s="1">
        <f>'Claims Data'!D219</f>
        <v>45275</v>
      </c>
      <c r="E219">
        <f>'Claims Data'!H219</f>
        <v>6.3</v>
      </c>
      <c r="F219">
        <f>'Claims Data'!J219</f>
        <v>195.51</v>
      </c>
      <c r="G219">
        <f>'Claims Data'!M219</f>
        <v>0</v>
      </c>
      <c r="H219" t="b">
        <f>'Claims Data'!L219</f>
        <v>0</v>
      </c>
      <c r="I219">
        <f t="shared" si="6"/>
        <v>0</v>
      </c>
      <c r="J219" t="str">
        <f t="shared" si="7"/>
        <v>Low Risk</v>
      </c>
    </row>
    <row r="220" spans="1:10" x14ac:dyDescent="0.2">
      <c r="A220" t="str">
        <f>'Claims Data'!A220</f>
        <v>CLM00219</v>
      </c>
      <c r="B220" t="str">
        <f>'Claims Data'!B220</f>
        <v>PAT0243</v>
      </c>
      <c r="C220" t="str">
        <f>'Claims Data'!C220</f>
        <v>PRV0024</v>
      </c>
      <c r="D220" s="1">
        <f>'Claims Data'!D220</f>
        <v>44927</v>
      </c>
      <c r="E220">
        <f>'Claims Data'!H220</f>
        <v>7.8</v>
      </c>
      <c r="F220">
        <f>'Claims Data'!J220</f>
        <v>652.66</v>
      </c>
      <c r="G220">
        <f>'Claims Data'!M220</f>
        <v>0</v>
      </c>
      <c r="H220" t="b">
        <f>'Claims Data'!L220</f>
        <v>0</v>
      </c>
      <c r="I220">
        <f t="shared" si="6"/>
        <v>0</v>
      </c>
      <c r="J220" t="str">
        <f t="shared" si="7"/>
        <v>Low Risk</v>
      </c>
    </row>
    <row r="221" spans="1:10" x14ac:dyDescent="0.2">
      <c r="A221" t="str">
        <f>'Claims Data'!A221</f>
        <v>CLM00220</v>
      </c>
      <c r="B221" t="str">
        <f>'Claims Data'!B221</f>
        <v>PAT0039</v>
      </c>
      <c r="C221" t="str">
        <f>'Claims Data'!C221</f>
        <v>PRV0029</v>
      </c>
      <c r="D221" s="1">
        <f>'Claims Data'!D221</f>
        <v>45625</v>
      </c>
      <c r="E221">
        <f>'Claims Data'!H221</f>
        <v>12.8</v>
      </c>
      <c r="F221">
        <f>'Claims Data'!J221</f>
        <v>1000</v>
      </c>
      <c r="G221" t="str">
        <f>'Claims Data'!M221</f>
        <v>phantom_round_amount</v>
      </c>
      <c r="H221" t="b">
        <f>'Claims Data'!L221</f>
        <v>1</v>
      </c>
      <c r="I221">
        <f t="shared" si="6"/>
        <v>40</v>
      </c>
      <c r="J221" t="str">
        <f t="shared" si="7"/>
        <v>Medium Risk</v>
      </c>
    </row>
    <row r="222" spans="1:10" x14ac:dyDescent="0.2">
      <c r="A222" t="str">
        <f>'Claims Data'!A222</f>
        <v>CLM00221</v>
      </c>
      <c r="B222" t="str">
        <f>'Claims Data'!B222</f>
        <v>PAT0003</v>
      </c>
      <c r="C222" t="str">
        <f>'Claims Data'!C222</f>
        <v>PRV0034</v>
      </c>
      <c r="D222" s="1">
        <f>'Claims Data'!D222</f>
        <v>45001</v>
      </c>
      <c r="E222">
        <f>'Claims Data'!H222</f>
        <v>5.9</v>
      </c>
      <c r="F222">
        <f>'Claims Data'!J222</f>
        <v>415.09</v>
      </c>
      <c r="G222">
        <f>'Claims Data'!M222</f>
        <v>0</v>
      </c>
      <c r="H222" t="b">
        <f>'Claims Data'!L222</f>
        <v>0</v>
      </c>
      <c r="I222">
        <f t="shared" si="6"/>
        <v>0</v>
      </c>
      <c r="J222" t="str">
        <f t="shared" si="7"/>
        <v>Low Risk</v>
      </c>
    </row>
    <row r="223" spans="1:10" x14ac:dyDescent="0.2">
      <c r="A223" t="str">
        <f>'Claims Data'!A223</f>
        <v>CLM00222</v>
      </c>
      <c r="B223" t="str">
        <f>'Claims Data'!B223</f>
        <v>PAT0249</v>
      </c>
      <c r="C223" t="str">
        <f>'Claims Data'!C223</f>
        <v>PRV0040</v>
      </c>
      <c r="D223" s="1">
        <f>'Claims Data'!D223</f>
        <v>45277</v>
      </c>
      <c r="E223">
        <f>'Claims Data'!H223</f>
        <v>3.7</v>
      </c>
      <c r="F223">
        <f>'Claims Data'!J223</f>
        <v>105.63</v>
      </c>
      <c r="G223">
        <f>'Claims Data'!M223</f>
        <v>0</v>
      </c>
      <c r="H223" t="b">
        <f>'Claims Data'!L223</f>
        <v>0</v>
      </c>
      <c r="I223">
        <f t="shared" si="6"/>
        <v>0</v>
      </c>
      <c r="J223" t="str">
        <f t="shared" si="7"/>
        <v>Low Risk</v>
      </c>
    </row>
    <row r="224" spans="1:10" x14ac:dyDescent="0.2">
      <c r="A224" t="str">
        <f>'Claims Data'!A224</f>
        <v>CLM00223</v>
      </c>
      <c r="B224" t="str">
        <f>'Claims Data'!B224</f>
        <v>PAT0085</v>
      </c>
      <c r="C224" t="str">
        <f>'Claims Data'!C224</f>
        <v>PRV0007</v>
      </c>
      <c r="D224" s="1">
        <f>'Claims Data'!D224</f>
        <v>45104</v>
      </c>
      <c r="E224">
        <f>'Claims Data'!H224</f>
        <v>5.2</v>
      </c>
      <c r="F224">
        <f>'Claims Data'!J224</f>
        <v>355.61</v>
      </c>
      <c r="G224">
        <f>'Claims Data'!M224</f>
        <v>0</v>
      </c>
      <c r="H224" t="b">
        <f>'Claims Data'!L224</f>
        <v>0</v>
      </c>
      <c r="I224">
        <f t="shared" si="6"/>
        <v>0</v>
      </c>
      <c r="J224" t="str">
        <f t="shared" si="7"/>
        <v>Low Risk</v>
      </c>
    </row>
    <row r="225" spans="1:10" x14ac:dyDescent="0.2">
      <c r="A225" t="str">
        <f>'Claims Data'!A225</f>
        <v>CLM00224</v>
      </c>
      <c r="B225" t="str">
        <f>'Claims Data'!B225</f>
        <v>PAT0230</v>
      </c>
      <c r="C225" t="str">
        <f>'Claims Data'!C225</f>
        <v>PRV0051</v>
      </c>
      <c r="D225" s="1">
        <f>'Claims Data'!D225</f>
        <v>45232</v>
      </c>
      <c r="E225">
        <f>'Claims Data'!H225</f>
        <v>4.5</v>
      </c>
      <c r="F225">
        <f>'Claims Data'!J225</f>
        <v>338.65</v>
      </c>
      <c r="G225">
        <f>'Claims Data'!M225</f>
        <v>0</v>
      </c>
      <c r="H225" t="b">
        <f>'Claims Data'!L225</f>
        <v>0</v>
      </c>
      <c r="I225">
        <f t="shared" si="6"/>
        <v>0</v>
      </c>
      <c r="J225" t="str">
        <f t="shared" si="7"/>
        <v>Low Risk</v>
      </c>
    </row>
    <row r="226" spans="1:10" x14ac:dyDescent="0.2">
      <c r="A226" t="str">
        <f>'Claims Data'!A226</f>
        <v>CLM00225</v>
      </c>
      <c r="B226" t="str">
        <f>'Claims Data'!B226</f>
        <v>PAT0268</v>
      </c>
      <c r="C226" t="str">
        <f>'Claims Data'!C226</f>
        <v>PRV0039</v>
      </c>
      <c r="D226" s="1">
        <f>'Claims Data'!D226</f>
        <v>45365</v>
      </c>
      <c r="E226">
        <f>'Claims Data'!H226</f>
        <v>6.7</v>
      </c>
      <c r="F226">
        <f>'Claims Data'!J226</f>
        <v>242.4</v>
      </c>
      <c r="G226">
        <f>'Claims Data'!M226</f>
        <v>0</v>
      </c>
      <c r="H226" t="b">
        <f>'Claims Data'!L226</f>
        <v>0</v>
      </c>
      <c r="I226">
        <f t="shared" si="6"/>
        <v>0</v>
      </c>
      <c r="J226" t="str">
        <f t="shared" si="7"/>
        <v>Low Risk</v>
      </c>
    </row>
    <row r="227" spans="1:10" x14ac:dyDescent="0.2">
      <c r="A227" t="str">
        <f>'Claims Data'!A227</f>
        <v>CLM00226</v>
      </c>
      <c r="B227" t="str">
        <f>'Claims Data'!B227</f>
        <v>PAT0299</v>
      </c>
      <c r="C227" t="str">
        <f>'Claims Data'!C227</f>
        <v>PRV0028</v>
      </c>
      <c r="D227" s="1">
        <f>'Claims Data'!D227</f>
        <v>45389</v>
      </c>
      <c r="E227">
        <f>'Claims Data'!H227</f>
        <v>7.3</v>
      </c>
      <c r="F227">
        <f>'Claims Data'!J227</f>
        <v>186.56</v>
      </c>
      <c r="G227" t="str">
        <f>'Claims Data'!M227</f>
        <v>duplicate_claim</v>
      </c>
      <c r="H227" t="b">
        <f>'Claims Data'!L227</f>
        <v>1</v>
      </c>
      <c r="I227">
        <f t="shared" si="6"/>
        <v>10</v>
      </c>
      <c r="J227" t="str">
        <f t="shared" si="7"/>
        <v>Low Risk</v>
      </c>
    </row>
    <row r="228" spans="1:10" x14ac:dyDescent="0.2">
      <c r="A228" t="str">
        <f>'Claims Data'!A228</f>
        <v>CLM00227</v>
      </c>
      <c r="B228" t="str">
        <f>'Claims Data'!B228</f>
        <v>PAT0210</v>
      </c>
      <c r="C228" t="str">
        <f>'Claims Data'!C228</f>
        <v>PRV0055</v>
      </c>
      <c r="D228" s="1">
        <f>'Claims Data'!D228</f>
        <v>45480</v>
      </c>
      <c r="E228">
        <f>'Claims Data'!H228</f>
        <v>7.6</v>
      </c>
      <c r="F228">
        <f>'Claims Data'!J228</f>
        <v>342.78</v>
      </c>
      <c r="G228">
        <f>'Claims Data'!M228</f>
        <v>0</v>
      </c>
      <c r="H228" t="b">
        <f>'Claims Data'!L228</f>
        <v>0</v>
      </c>
      <c r="I228">
        <f t="shared" si="6"/>
        <v>0</v>
      </c>
      <c r="J228" t="str">
        <f t="shared" si="7"/>
        <v>Low Risk</v>
      </c>
    </row>
    <row r="229" spans="1:10" x14ac:dyDescent="0.2">
      <c r="A229" t="str">
        <f>'Claims Data'!A229</f>
        <v>CLM00228</v>
      </c>
      <c r="B229" t="str">
        <f>'Claims Data'!B229</f>
        <v>PAT0120</v>
      </c>
      <c r="C229" t="str">
        <f>'Claims Data'!C229</f>
        <v>PRV0014</v>
      </c>
      <c r="D229" s="1">
        <f>'Claims Data'!D229</f>
        <v>45452</v>
      </c>
      <c r="E229">
        <f>'Claims Data'!H229</f>
        <v>7.3</v>
      </c>
      <c r="F229">
        <f>'Claims Data'!J229</f>
        <v>241.28</v>
      </c>
      <c r="G229">
        <f>'Claims Data'!M229</f>
        <v>0</v>
      </c>
      <c r="H229" t="b">
        <f>'Claims Data'!L229</f>
        <v>0</v>
      </c>
      <c r="I229">
        <f t="shared" si="6"/>
        <v>0</v>
      </c>
      <c r="J229" t="str">
        <f t="shared" si="7"/>
        <v>Low Risk</v>
      </c>
    </row>
    <row r="230" spans="1:10" x14ac:dyDescent="0.2">
      <c r="A230" t="str">
        <f>'Claims Data'!A230</f>
        <v>CLM00229</v>
      </c>
      <c r="B230" t="str">
        <f>'Claims Data'!B230</f>
        <v>PAT0016</v>
      </c>
      <c r="C230" t="str">
        <f>'Claims Data'!C230</f>
        <v>PRV0056</v>
      </c>
      <c r="D230" s="1">
        <f>'Claims Data'!D230</f>
        <v>45273</v>
      </c>
      <c r="E230">
        <f>'Claims Data'!H230</f>
        <v>3.6</v>
      </c>
      <c r="F230">
        <f>'Claims Data'!J230</f>
        <v>264.7</v>
      </c>
      <c r="G230">
        <f>'Claims Data'!M230</f>
        <v>0</v>
      </c>
      <c r="H230" t="b">
        <f>'Claims Data'!L230</f>
        <v>0</v>
      </c>
      <c r="I230">
        <f t="shared" si="6"/>
        <v>0</v>
      </c>
      <c r="J230" t="str">
        <f t="shared" si="7"/>
        <v>Low Risk</v>
      </c>
    </row>
    <row r="231" spans="1:10" x14ac:dyDescent="0.2">
      <c r="A231" t="str">
        <f>'Claims Data'!A231</f>
        <v>CLM00230</v>
      </c>
      <c r="B231" t="str">
        <f>'Claims Data'!B231</f>
        <v>PAT0232</v>
      </c>
      <c r="C231" t="str">
        <f>'Claims Data'!C231</f>
        <v>PRV0036</v>
      </c>
      <c r="D231" s="1">
        <f>'Claims Data'!D231</f>
        <v>45390</v>
      </c>
      <c r="E231">
        <f>'Claims Data'!H231</f>
        <v>6.4</v>
      </c>
      <c r="F231">
        <f>'Claims Data'!J231</f>
        <v>408.94</v>
      </c>
      <c r="G231">
        <f>'Claims Data'!M231</f>
        <v>0</v>
      </c>
      <c r="H231" t="b">
        <f>'Claims Data'!L231</f>
        <v>0</v>
      </c>
      <c r="I231">
        <f t="shared" si="6"/>
        <v>0</v>
      </c>
      <c r="J231" t="str">
        <f t="shared" si="7"/>
        <v>Low Risk</v>
      </c>
    </row>
    <row r="232" spans="1:10" x14ac:dyDescent="0.2">
      <c r="A232" t="str">
        <f>'Claims Data'!A232</f>
        <v>CLM00231</v>
      </c>
      <c r="B232" t="str">
        <f>'Claims Data'!B232</f>
        <v>PAT0248</v>
      </c>
      <c r="C232" t="str">
        <f>'Claims Data'!C232</f>
        <v>PRV0010</v>
      </c>
      <c r="D232" s="1">
        <f>'Claims Data'!D232</f>
        <v>45424</v>
      </c>
      <c r="E232">
        <f>'Claims Data'!H232</f>
        <v>2.1</v>
      </c>
      <c r="F232">
        <f>'Claims Data'!J232</f>
        <v>94.98</v>
      </c>
      <c r="G232">
        <f>'Claims Data'!M232</f>
        <v>0</v>
      </c>
      <c r="H232" t="b">
        <f>'Claims Data'!L232</f>
        <v>0</v>
      </c>
      <c r="I232">
        <f t="shared" si="6"/>
        <v>0</v>
      </c>
      <c r="J232" t="str">
        <f t="shared" si="7"/>
        <v>Low Risk</v>
      </c>
    </row>
    <row r="233" spans="1:10" x14ac:dyDescent="0.2">
      <c r="A233" t="str">
        <f>'Claims Data'!A233</f>
        <v>CLM00232</v>
      </c>
      <c r="B233" t="str">
        <f>'Claims Data'!B233</f>
        <v>PAT0222</v>
      </c>
      <c r="C233" t="str">
        <f>'Claims Data'!C233</f>
        <v>PRV0046</v>
      </c>
      <c r="D233" s="1">
        <f>'Claims Data'!D233</f>
        <v>45646</v>
      </c>
      <c r="E233">
        <f>'Claims Data'!H233</f>
        <v>6.5</v>
      </c>
      <c r="F233">
        <f>'Claims Data'!J233</f>
        <v>500</v>
      </c>
      <c r="G233" t="str">
        <f>'Claims Data'!M233</f>
        <v>phantom_round_amount</v>
      </c>
      <c r="H233" t="b">
        <f>'Claims Data'!L233</f>
        <v>1</v>
      </c>
      <c r="I233">
        <f t="shared" si="6"/>
        <v>40</v>
      </c>
      <c r="J233" t="str">
        <f t="shared" si="7"/>
        <v>Medium Risk</v>
      </c>
    </row>
    <row r="234" spans="1:10" x14ac:dyDescent="0.2">
      <c r="A234" t="str">
        <f>'Claims Data'!A234</f>
        <v>CLM00233</v>
      </c>
      <c r="B234" t="str">
        <f>'Claims Data'!B234</f>
        <v>PAT0248</v>
      </c>
      <c r="C234" t="str">
        <f>'Claims Data'!C234</f>
        <v>PRV0022</v>
      </c>
      <c r="D234" s="1">
        <f>'Claims Data'!D234</f>
        <v>45564</v>
      </c>
      <c r="E234">
        <f>'Claims Data'!H234</f>
        <v>5.0999999999999996</v>
      </c>
      <c r="F234">
        <f>'Claims Data'!J234</f>
        <v>154.04</v>
      </c>
      <c r="G234">
        <f>'Claims Data'!M234</f>
        <v>0</v>
      </c>
      <c r="H234" t="b">
        <f>'Claims Data'!L234</f>
        <v>0</v>
      </c>
      <c r="I234">
        <f t="shared" si="6"/>
        <v>0</v>
      </c>
      <c r="J234" t="str">
        <f t="shared" si="7"/>
        <v>Low Risk</v>
      </c>
    </row>
    <row r="235" spans="1:10" x14ac:dyDescent="0.2">
      <c r="A235" t="str">
        <f>'Claims Data'!A235</f>
        <v>CLM00234</v>
      </c>
      <c r="B235" t="str">
        <f>'Claims Data'!B235</f>
        <v>PAT0016</v>
      </c>
      <c r="C235" t="str">
        <f>'Claims Data'!C235</f>
        <v>PRV0033</v>
      </c>
      <c r="D235" s="1">
        <f>'Claims Data'!D235</f>
        <v>45106</v>
      </c>
      <c r="E235">
        <f>'Claims Data'!H235</f>
        <v>3.1</v>
      </c>
      <c r="F235">
        <f>'Claims Data'!J235</f>
        <v>103.65</v>
      </c>
      <c r="G235">
        <f>'Claims Data'!M235</f>
        <v>0</v>
      </c>
      <c r="H235" t="b">
        <f>'Claims Data'!L235</f>
        <v>0</v>
      </c>
      <c r="I235">
        <f t="shared" si="6"/>
        <v>0</v>
      </c>
      <c r="J235" t="str">
        <f t="shared" si="7"/>
        <v>Low Risk</v>
      </c>
    </row>
    <row r="236" spans="1:10" x14ac:dyDescent="0.2">
      <c r="A236" t="str">
        <f>'Claims Data'!A236</f>
        <v>CLM00235</v>
      </c>
      <c r="B236" t="str">
        <f>'Claims Data'!B236</f>
        <v>PAT0070</v>
      </c>
      <c r="C236" t="str">
        <f>'Claims Data'!C236</f>
        <v>PRV0019</v>
      </c>
      <c r="D236" s="1">
        <f>'Claims Data'!D236</f>
        <v>45134</v>
      </c>
      <c r="E236">
        <f>'Claims Data'!H236</f>
        <v>2</v>
      </c>
      <c r="F236">
        <f>'Claims Data'!J236</f>
        <v>96.03</v>
      </c>
      <c r="G236">
        <f>'Claims Data'!M236</f>
        <v>0</v>
      </c>
      <c r="H236" t="b">
        <f>'Claims Data'!L236</f>
        <v>0</v>
      </c>
      <c r="I236">
        <f t="shared" si="6"/>
        <v>0</v>
      </c>
      <c r="J236" t="str">
        <f t="shared" si="7"/>
        <v>Low Risk</v>
      </c>
    </row>
    <row r="237" spans="1:10" x14ac:dyDescent="0.2">
      <c r="A237" t="str">
        <f>'Claims Data'!A237</f>
        <v>CLM00236</v>
      </c>
      <c r="B237" t="str">
        <f>'Claims Data'!B237</f>
        <v>PAT0248</v>
      </c>
      <c r="C237" t="str">
        <f>'Claims Data'!C237</f>
        <v>PRV0036</v>
      </c>
      <c r="D237" s="1">
        <f>'Claims Data'!D237</f>
        <v>45148</v>
      </c>
      <c r="E237">
        <f>'Claims Data'!H237</f>
        <v>7.7</v>
      </c>
      <c r="F237">
        <f>'Claims Data'!J237</f>
        <v>332</v>
      </c>
      <c r="G237">
        <f>'Claims Data'!M237</f>
        <v>0</v>
      </c>
      <c r="H237" t="b">
        <f>'Claims Data'!L237</f>
        <v>0</v>
      </c>
      <c r="I237">
        <f t="shared" si="6"/>
        <v>0</v>
      </c>
      <c r="J237" t="str">
        <f t="shared" si="7"/>
        <v>Low Risk</v>
      </c>
    </row>
    <row r="238" spans="1:10" x14ac:dyDescent="0.2">
      <c r="A238" t="str">
        <f>'Claims Data'!A238</f>
        <v>CLM00237</v>
      </c>
      <c r="B238" t="str">
        <f>'Claims Data'!B238</f>
        <v>PAT0249</v>
      </c>
      <c r="C238" t="str">
        <f>'Claims Data'!C238</f>
        <v>PRV0003</v>
      </c>
      <c r="D238" s="1">
        <f>'Claims Data'!D238</f>
        <v>45286</v>
      </c>
      <c r="E238">
        <f>'Claims Data'!H238</f>
        <v>3.6</v>
      </c>
      <c r="F238">
        <f>'Claims Data'!J238</f>
        <v>167.66</v>
      </c>
      <c r="G238">
        <f>'Claims Data'!M238</f>
        <v>0</v>
      </c>
      <c r="H238" t="b">
        <f>'Claims Data'!L238</f>
        <v>0</v>
      </c>
      <c r="I238">
        <f t="shared" si="6"/>
        <v>0</v>
      </c>
      <c r="J238" t="str">
        <f t="shared" si="7"/>
        <v>Low Risk</v>
      </c>
    </row>
    <row r="239" spans="1:10" x14ac:dyDescent="0.2">
      <c r="A239" t="str">
        <f>'Claims Data'!A239</f>
        <v>CLM00238</v>
      </c>
      <c r="B239" t="str">
        <f>'Claims Data'!B239</f>
        <v>PAT0239</v>
      </c>
      <c r="C239" t="str">
        <f>'Claims Data'!C239</f>
        <v>PRV0029</v>
      </c>
      <c r="D239" s="1">
        <f>'Claims Data'!D239</f>
        <v>45306</v>
      </c>
      <c r="E239">
        <f>'Claims Data'!H239</f>
        <v>6</v>
      </c>
      <c r="F239">
        <f>'Claims Data'!J239</f>
        <v>317.54000000000002</v>
      </c>
      <c r="G239">
        <f>'Claims Data'!M239</f>
        <v>0</v>
      </c>
      <c r="H239" t="b">
        <f>'Claims Data'!L239</f>
        <v>0</v>
      </c>
      <c r="I239">
        <f t="shared" si="6"/>
        <v>0</v>
      </c>
      <c r="J239" t="str">
        <f t="shared" si="7"/>
        <v>Low Risk</v>
      </c>
    </row>
    <row r="240" spans="1:10" x14ac:dyDescent="0.2">
      <c r="A240" t="str">
        <f>'Claims Data'!A240</f>
        <v>CLM00239</v>
      </c>
      <c r="B240" t="str">
        <f>'Claims Data'!B240</f>
        <v>PAT0204</v>
      </c>
      <c r="C240" t="str">
        <f>'Claims Data'!C240</f>
        <v>PRV0001</v>
      </c>
      <c r="D240" s="1">
        <f>'Claims Data'!D240</f>
        <v>45558</v>
      </c>
      <c r="E240">
        <f>'Claims Data'!H240</f>
        <v>6.1</v>
      </c>
      <c r="F240">
        <f>'Claims Data'!J240</f>
        <v>490.36</v>
      </c>
      <c r="G240">
        <f>'Claims Data'!M240</f>
        <v>0</v>
      </c>
      <c r="H240" t="b">
        <f>'Claims Data'!L240</f>
        <v>0</v>
      </c>
      <c r="I240">
        <f t="shared" si="6"/>
        <v>0</v>
      </c>
      <c r="J240" t="str">
        <f t="shared" si="7"/>
        <v>Low Risk</v>
      </c>
    </row>
    <row r="241" spans="1:10" x14ac:dyDescent="0.2">
      <c r="A241" t="str">
        <f>'Claims Data'!A241</f>
        <v>CLM00240</v>
      </c>
      <c r="B241" t="str">
        <f>'Claims Data'!B241</f>
        <v>PAT0090</v>
      </c>
      <c r="C241" t="str">
        <f>'Claims Data'!C241</f>
        <v>PRV0011</v>
      </c>
      <c r="D241" s="1">
        <f>'Claims Data'!D241</f>
        <v>45453</v>
      </c>
      <c r="E241">
        <f>'Claims Data'!H241</f>
        <v>6.1</v>
      </c>
      <c r="F241">
        <f>'Claims Data'!J241</f>
        <v>386.27</v>
      </c>
      <c r="G241">
        <f>'Claims Data'!M241</f>
        <v>0</v>
      </c>
      <c r="H241" t="b">
        <f>'Claims Data'!L241</f>
        <v>0</v>
      </c>
      <c r="I241">
        <f t="shared" si="6"/>
        <v>0</v>
      </c>
      <c r="J241" t="str">
        <f t="shared" si="7"/>
        <v>Low Risk</v>
      </c>
    </row>
    <row r="242" spans="1:10" x14ac:dyDescent="0.2">
      <c r="A242" t="str">
        <f>'Claims Data'!A242</f>
        <v>CLM00241</v>
      </c>
      <c r="B242" t="str">
        <f>'Claims Data'!B242</f>
        <v>PAT0293</v>
      </c>
      <c r="C242" t="str">
        <f>'Claims Data'!C242</f>
        <v>PRV0038</v>
      </c>
      <c r="D242" s="1">
        <f>'Claims Data'!D242</f>
        <v>45656</v>
      </c>
      <c r="E242">
        <f>'Claims Data'!H242</f>
        <v>5.7</v>
      </c>
      <c r="F242">
        <f>'Claims Data'!J242</f>
        <v>217.44</v>
      </c>
      <c r="G242">
        <f>'Claims Data'!M242</f>
        <v>0</v>
      </c>
      <c r="H242" t="b">
        <f>'Claims Data'!L242</f>
        <v>0</v>
      </c>
      <c r="I242">
        <f t="shared" si="6"/>
        <v>0</v>
      </c>
      <c r="J242" t="str">
        <f t="shared" si="7"/>
        <v>Low Risk</v>
      </c>
    </row>
    <row r="243" spans="1:10" x14ac:dyDescent="0.2">
      <c r="A243" t="str">
        <f>'Claims Data'!A243</f>
        <v>CLM00242</v>
      </c>
      <c r="B243" t="str">
        <f>'Claims Data'!B243</f>
        <v>PAT0285</v>
      </c>
      <c r="C243" t="str">
        <f>'Claims Data'!C243</f>
        <v>PRV0046</v>
      </c>
      <c r="D243" s="1">
        <f>'Claims Data'!D243</f>
        <v>45428</v>
      </c>
      <c r="E243">
        <f>'Claims Data'!H243</f>
        <v>7.2</v>
      </c>
      <c r="F243">
        <f>'Claims Data'!J243</f>
        <v>500</v>
      </c>
      <c r="G243" t="str">
        <f>'Claims Data'!M243</f>
        <v>phantom_round_amount</v>
      </c>
      <c r="H243" t="b">
        <f>'Claims Data'!L243</f>
        <v>1</v>
      </c>
      <c r="I243">
        <f t="shared" si="6"/>
        <v>40</v>
      </c>
      <c r="J243" t="str">
        <f t="shared" si="7"/>
        <v>Medium Risk</v>
      </c>
    </row>
    <row r="244" spans="1:10" x14ac:dyDescent="0.2">
      <c r="A244" t="str">
        <f>'Claims Data'!A244</f>
        <v>CLM00243</v>
      </c>
      <c r="B244" t="str">
        <f>'Claims Data'!B244</f>
        <v>PAT0225</v>
      </c>
      <c r="C244" t="str">
        <f>'Claims Data'!C244</f>
        <v>PRV0029</v>
      </c>
      <c r="D244" s="1">
        <f>'Claims Data'!D244</f>
        <v>45123</v>
      </c>
      <c r="E244">
        <f>'Claims Data'!H244</f>
        <v>4.5</v>
      </c>
      <c r="F244">
        <f>'Claims Data'!J244</f>
        <v>260.79000000000002</v>
      </c>
      <c r="G244">
        <f>'Claims Data'!M244</f>
        <v>0</v>
      </c>
      <c r="H244" t="b">
        <f>'Claims Data'!L244</f>
        <v>0</v>
      </c>
      <c r="I244">
        <f t="shared" si="6"/>
        <v>0</v>
      </c>
      <c r="J244" t="str">
        <f t="shared" si="7"/>
        <v>Low Risk</v>
      </c>
    </row>
    <row r="245" spans="1:10" x14ac:dyDescent="0.2">
      <c r="A245" t="str">
        <f>'Claims Data'!A245</f>
        <v>CLM00244</v>
      </c>
      <c r="B245" t="str">
        <f>'Claims Data'!B245</f>
        <v>PAT0082</v>
      </c>
      <c r="C245" t="str">
        <f>'Claims Data'!C245</f>
        <v>PRV0050</v>
      </c>
      <c r="D245" s="1">
        <f>'Claims Data'!D245</f>
        <v>45501</v>
      </c>
      <c r="E245">
        <f>'Claims Data'!H245</f>
        <v>6.6</v>
      </c>
      <c r="F245">
        <f>'Claims Data'!J245</f>
        <v>434.42</v>
      </c>
      <c r="G245">
        <f>'Claims Data'!M245</f>
        <v>0</v>
      </c>
      <c r="H245" t="b">
        <f>'Claims Data'!L245</f>
        <v>0</v>
      </c>
      <c r="I245">
        <f t="shared" si="6"/>
        <v>0</v>
      </c>
      <c r="J245" t="str">
        <f t="shared" si="7"/>
        <v>Low Risk</v>
      </c>
    </row>
    <row r="246" spans="1:10" x14ac:dyDescent="0.2">
      <c r="A246" t="str">
        <f>'Claims Data'!A246</f>
        <v>CLM00245</v>
      </c>
      <c r="B246" t="str">
        <f>'Claims Data'!B246</f>
        <v>PAT0251</v>
      </c>
      <c r="C246" t="str">
        <f>'Claims Data'!C246</f>
        <v>PRV0014</v>
      </c>
      <c r="D246" s="1">
        <f>'Claims Data'!D246</f>
        <v>45639</v>
      </c>
      <c r="E246">
        <f>'Claims Data'!H246</f>
        <v>5.2</v>
      </c>
      <c r="F246">
        <f>'Claims Data'!J246</f>
        <v>294.79000000000002</v>
      </c>
      <c r="G246">
        <f>'Claims Data'!M246</f>
        <v>0</v>
      </c>
      <c r="H246" t="b">
        <f>'Claims Data'!L246</f>
        <v>0</v>
      </c>
      <c r="I246">
        <f t="shared" si="6"/>
        <v>0</v>
      </c>
      <c r="J246" t="str">
        <f t="shared" si="7"/>
        <v>Low Risk</v>
      </c>
    </row>
    <row r="247" spans="1:10" x14ac:dyDescent="0.2">
      <c r="A247" t="str">
        <f>'Claims Data'!A247</f>
        <v>CLM00246</v>
      </c>
      <c r="B247" t="str">
        <f>'Claims Data'!B247</f>
        <v>PAT0240</v>
      </c>
      <c r="C247" t="str">
        <f>'Claims Data'!C247</f>
        <v>PRV0023</v>
      </c>
      <c r="D247" s="1">
        <f>'Claims Data'!D247</f>
        <v>45006</v>
      </c>
      <c r="E247">
        <f>'Claims Data'!H247</f>
        <v>7.5</v>
      </c>
      <c r="F247">
        <f>'Claims Data'!J247</f>
        <v>237.99</v>
      </c>
      <c r="G247">
        <f>'Claims Data'!M247</f>
        <v>0</v>
      </c>
      <c r="H247" t="b">
        <f>'Claims Data'!L247</f>
        <v>0</v>
      </c>
      <c r="I247">
        <f t="shared" si="6"/>
        <v>0</v>
      </c>
      <c r="J247" t="str">
        <f t="shared" si="7"/>
        <v>Low Risk</v>
      </c>
    </row>
    <row r="248" spans="1:10" x14ac:dyDescent="0.2">
      <c r="A248" t="str">
        <f>'Claims Data'!A248</f>
        <v>CLM00247</v>
      </c>
      <c r="B248" t="str">
        <f>'Claims Data'!B248</f>
        <v>PAT0095</v>
      </c>
      <c r="C248" t="str">
        <f>'Claims Data'!C248</f>
        <v>PRV0026</v>
      </c>
      <c r="D248" s="1">
        <f>'Claims Data'!D248</f>
        <v>45207</v>
      </c>
      <c r="E248">
        <f>'Claims Data'!H248</f>
        <v>5.4</v>
      </c>
      <c r="F248">
        <f>'Claims Data'!J248</f>
        <v>183.55</v>
      </c>
      <c r="G248">
        <f>'Claims Data'!M248</f>
        <v>0</v>
      </c>
      <c r="H248" t="b">
        <f>'Claims Data'!L248</f>
        <v>0</v>
      </c>
      <c r="I248">
        <f t="shared" si="6"/>
        <v>0</v>
      </c>
      <c r="J248" t="str">
        <f t="shared" si="7"/>
        <v>Low Risk</v>
      </c>
    </row>
    <row r="249" spans="1:10" x14ac:dyDescent="0.2">
      <c r="A249" t="str">
        <f>'Claims Data'!A249</f>
        <v>CLM00248</v>
      </c>
      <c r="B249" t="str">
        <f>'Claims Data'!B249</f>
        <v>PAT0067</v>
      </c>
      <c r="C249" t="str">
        <f>'Claims Data'!C249</f>
        <v>PRV0040</v>
      </c>
      <c r="D249" s="1">
        <f>'Claims Data'!D249</f>
        <v>44936</v>
      </c>
      <c r="E249">
        <f>'Claims Data'!H249</f>
        <v>2.7</v>
      </c>
      <c r="F249">
        <f>'Claims Data'!J249</f>
        <v>100.78</v>
      </c>
      <c r="G249">
        <f>'Claims Data'!M249</f>
        <v>0</v>
      </c>
      <c r="H249" t="b">
        <f>'Claims Data'!L249</f>
        <v>0</v>
      </c>
      <c r="I249">
        <f t="shared" si="6"/>
        <v>0</v>
      </c>
      <c r="J249" t="str">
        <f t="shared" si="7"/>
        <v>Low Risk</v>
      </c>
    </row>
    <row r="250" spans="1:10" x14ac:dyDescent="0.2">
      <c r="A250" t="str">
        <f>'Claims Data'!A250</f>
        <v>CLM00249</v>
      </c>
      <c r="B250" t="str">
        <f>'Claims Data'!B250</f>
        <v>PAT0168</v>
      </c>
      <c r="C250" t="str">
        <f>'Claims Data'!C250</f>
        <v>PRV0057</v>
      </c>
      <c r="D250" s="1">
        <f>'Claims Data'!D250</f>
        <v>45537</v>
      </c>
      <c r="E250">
        <f>'Claims Data'!H250</f>
        <v>2.5</v>
      </c>
      <c r="F250">
        <f>'Claims Data'!J250</f>
        <v>139.06</v>
      </c>
      <c r="G250">
        <f>'Claims Data'!M250</f>
        <v>0</v>
      </c>
      <c r="H250" t="b">
        <f>'Claims Data'!L250</f>
        <v>0</v>
      </c>
      <c r="I250">
        <f t="shared" si="6"/>
        <v>0</v>
      </c>
      <c r="J250" t="str">
        <f t="shared" si="7"/>
        <v>Low Risk</v>
      </c>
    </row>
    <row r="251" spans="1:10" x14ac:dyDescent="0.2">
      <c r="A251" t="str">
        <f>'Claims Data'!A251</f>
        <v>CLM00250</v>
      </c>
      <c r="B251" t="str">
        <f>'Claims Data'!B251</f>
        <v>PAT0013</v>
      </c>
      <c r="C251" t="str">
        <f>'Claims Data'!C251</f>
        <v>PRV0049</v>
      </c>
      <c r="D251" s="1">
        <f>'Claims Data'!D251</f>
        <v>45605</v>
      </c>
      <c r="E251">
        <f>'Claims Data'!H251</f>
        <v>2.8</v>
      </c>
      <c r="F251">
        <f>'Claims Data'!J251</f>
        <v>139.79</v>
      </c>
      <c r="G251">
        <f>'Claims Data'!M251</f>
        <v>0</v>
      </c>
      <c r="H251" t="b">
        <f>'Claims Data'!L251</f>
        <v>0</v>
      </c>
      <c r="I251">
        <f t="shared" si="6"/>
        <v>0</v>
      </c>
      <c r="J251" t="str">
        <f t="shared" si="7"/>
        <v>Low Risk</v>
      </c>
    </row>
    <row r="252" spans="1:10" x14ac:dyDescent="0.2">
      <c r="A252" t="str">
        <f>'Claims Data'!A252</f>
        <v>CLM00251</v>
      </c>
      <c r="B252" t="str">
        <f>'Claims Data'!B252</f>
        <v>PAT0078</v>
      </c>
      <c r="C252" t="str">
        <f>'Claims Data'!C252</f>
        <v>PRV0016</v>
      </c>
      <c r="D252" s="1">
        <f>'Claims Data'!D252</f>
        <v>44982</v>
      </c>
      <c r="E252">
        <f>'Claims Data'!H252</f>
        <v>5.4</v>
      </c>
      <c r="F252">
        <f>'Claims Data'!J252</f>
        <v>352.98</v>
      </c>
      <c r="G252">
        <f>'Claims Data'!M252</f>
        <v>0</v>
      </c>
      <c r="H252" t="b">
        <f>'Claims Data'!L252</f>
        <v>0</v>
      </c>
      <c r="I252">
        <f t="shared" si="6"/>
        <v>0</v>
      </c>
      <c r="J252" t="str">
        <f t="shared" si="7"/>
        <v>Low Risk</v>
      </c>
    </row>
    <row r="253" spans="1:10" x14ac:dyDescent="0.2">
      <c r="A253" t="str">
        <f>'Claims Data'!A253</f>
        <v>CLM00252</v>
      </c>
      <c r="B253" t="str">
        <f>'Claims Data'!B253</f>
        <v>PAT0172</v>
      </c>
      <c r="C253" t="str">
        <f>'Claims Data'!C253</f>
        <v>PRV0004</v>
      </c>
      <c r="D253" s="1">
        <f>'Claims Data'!D253</f>
        <v>45168</v>
      </c>
      <c r="E253">
        <f>'Claims Data'!H253</f>
        <v>4.4000000000000004</v>
      </c>
      <c r="F253">
        <f>'Claims Data'!J253</f>
        <v>325.54000000000002</v>
      </c>
      <c r="G253">
        <f>'Claims Data'!M253</f>
        <v>0</v>
      </c>
      <c r="H253" t="b">
        <f>'Claims Data'!L253</f>
        <v>0</v>
      </c>
      <c r="I253">
        <f t="shared" si="6"/>
        <v>0</v>
      </c>
      <c r="J253" t="str">
        <f t="shared" si="7"/>
        <v>Low Risk</v>
      </c>
    </row>
    <row r="254" spans="1:10" x14ac:dyDescent="0.2">
      <c r="A254" t="str">
        <f>'Claims Data'!A254</f>
        <v>CLM00253</v>
      </c>
      <c r="B254" t="str">
        <f>'Claims Data'!B254</f>
        <v>PAT0014</v>
      </c>
      <c r="C254" t="str">
        <f>'Claims Data'!C254</f>
        <v>PRV0051</v>
      </c>
      <c r="D254" s="1">
        <f>'Claims Data'!D254</f>
        <v>45056</v>
      </c>
      <c r="E254">
        <f>'Claims Data'!H254</f>
        <v>5.5</v>
      </c>
      <c r="F254">
        <f>'Claims Data'!J254</f>
        <v>152.44999999999999</v>
      </c>
      <c r="G254" t="str">
        <f>'Claims Data'!M254</f>
        <v>duplicate_claim</v>
      </c>
      <c r="H254" t="b">
        <f>'Claims Data'!L254</f>
        <v>1</v>
      </c>
      <c r="I254">
        <f t="shared" si="6"/>
        <v>10</v>
      </c>
      <c r="J254" t="str">
        <f t="shared" si="7"/>
        <v>Low Risk</v>
      </c>
    </row>
    <row r="255" spans="1:10" x14ac:dyDescent="0.2">
      <c r="A255" t="str">
        <f>'Claims Data'!A255</f>
        <v>CLM00254</v>
      </c>
      <c r="B255" t="str">
        <f>'Claims Data'!B255</f>
        <v>PAT0221</v>
      </c>
      <c r="C255" t="str">
        <f>'Claims Data'!C255</f>
        <v>PRV0002</v>
      </c>
      <c r="D255" s="1">
        <f>'Claims Data'!D255</f>
        <v>44993</v>
      </c>
      <c r="E255">
        <f>'Claims Data'!H255</f>
        <v>43.7</v>
      </c>
      <c r="F255">
        <f>'Claims Data'!J255</f>
        <v>1250</v>
      </c>
      <c r="G255" t="str">
        <f>'Claims Data'!M255</f>
        <v>phantom_round_amount</v>
      </c>
      <c r="H255" t="b">
        <f>'Claims Data'!L255</f>
        <v>1</v>
      </c>
      <c r="I255">
        <f t="shared" si="6"/>
        <v>80</v>
      </c>
      <c r="J255" t="str">
        <f t="shared" si="7"/>
        <v>High Risk</v>
      </c>
    </row>
    <row r="256" spans="1:10" x14ac:dyDescent="0.2">
      <c r="A256" t="str">
        <f>'Claims Data'!A256</f>
        <v>CLM00255</v>
      </c>
      <c r="B256" t="str">
        <f>'Claims Data'!B256</f>
        <v>PAT0236</v>
      </c>
      <c r="C256" t="str">
        <f>'Claims Data'!C256</f>
        <v>PRV0036</v>
      </c>
      <c r="D256" s="1">
        <f>'Claims Data'!D256</f>
        <v>45612</v>
      </c>
      <c r="E256">
        <f>'Claims Data'!H256</f>
        <v>2.2000000000000002</v>
      </c>
      <c r="F256">
        <f>'Claims Data'!J256</f>
        <v>108.97</v>
      </c>
      <c r="G256">
        <f>'Claims Data'!M256</f>
        <v>0</v>
      </c>
      <c r="H256" t="b">
        <f>'Claims Data'!L256</f>
        <v>0</v>
      </c>
      <c r="I256">
        <f t="shared" si="6"/>
        <v>0</v>
      </c>
      <c r="J256" t="str">
        <f t="shared" si="7"/>
        <v>Low Risk</v>
      </c>
    </row>
    <row r="257" spans="1:10" x14ac:dyDescent="0.2">
      <c r="A257" t="str">
        <f>'Claims Data'!A257</f>
        <v>CLM00256</v>
      </c>
      <c r="B257" t="str">
        <f>'Claims Data'!B257</f>
        <v>PAT0112</v>
      </c>
      <c r="C257" t="str">
        <f>'Claims Data'!C257</f>
        <v>PRV0006</v>
      </c>
      <c r="D257" s="1">
        <f>'Claims Data'!D257</f>
        <v>45022</v>
      </c>
      <c r="E257">
        <f>'Claims Data'!H257</f>
        <v>4.2</v>
      </c>
      <c r="F257">
        <f>'Claims Data'!J257</f>
        <v>329.62</v>
      </c>
      <c r="G257" t="str">
        <f>'Claims Data'!M257</f>
        <v>duplicate_claim</v>
      </c>
      <c r="H257" t="b">
        <f>'Claims Data'!L257</f>
        <v>1</v>
      </c>
      <c r="I257">
        <f t="shared" si="6"/>
        <v>10</v>
      </c>
      <c r="J257" t="str">
        <f t="shared" si="7"/>
        <v>Low Risk</v>
      </c>
    </row>
    <row r="258" spans="1:10" x14ac:dyDescent="0.2">
      <c r="A258" t="str">
        <f>'Claims Data'!A258</f>
        <v>CLM00257</v>
      </c>
      <c r="B258" t="str">
        <f>'Claims Data'!B258</f>
        <v>PAT0295</v>
      </c>
      <c r="C258" t="str">
        <f>'Claims Data'!C258</f>
        <v>PRV0057</v>
      </c>
      <c r="D258" s="1">
        <f>'Claims Data'!D258</f>
        <v>45628</v>
      </c>
      <c r="E258">
        <f>'Claims Data'!H258</f>
        <v>4.3</v>
      </c>
      <c r="F258">
        <f>'Claims Data'!J258</f>
        <v>283.64</v>
      </c>
      <c r="G258">
        <f>'Claims Data'!M258</f>
        <v>0</v>
      </c>
      <c r="H258" t="b">
        <f>'Claims Data'!L258</f>
        <v>0</v>
      </c>
      <c r="I258">
        <f t="shared" si="6"/>
        <v>0</v>
      </c>
      <c r="J258" t="str">
        <f t="shared" si="7"/>
        <v>Low Risk</v>
      </c>
    </row>
    <row r="259" spans="1:10" x14ac:dyDescent="0.2">
      <c r="A259" t="str">
        <f>'Claims Data'!A259</f>
        <v>CLM00258</v>
      </c>
      <c r="B259" t="str">
        <f>'Claims Data'!B259</f>
        <v>PAT0036</v>
      </c>
      <c r="C259" t="str">
        <f>'Claims Data'!C259</f>
        <v>PRV0039</v>
      </c>
      <c r="D259" s="1">
        <f>'Claims Data'!D259</f>
        <v>45065</v>
      </c>
      <c r="E259">
        <f>'Claims Data'!H259</f>
        <v>5.9</v>
      </c>
      <c r="F259">
        <f>'Claims Data'!J259</f>
        <v>270.61</v>
      </c>
      <c r="G259">
        <f>'Claims Data'!M259</f>
        <v>0</v>
      </c>
      <c r="H259" t="b">
        <f>'Claims Data'!L259</f>
        <v>0</v>
      </c>
      <c r="I259">
        <f t="shared" ref="I259:I322" si="8">IF(E259&gt;16,40,0)+IF(MOD(F259,250)=0,30,0)+IF(H259=TRUE,10,0)</f>
        <v>0</v>
      </c>
      <c r="J259" t="str">
        <f t="shared" ref="J259:J322" si="9">IF(I259&gt;=70,"High Risk",IF(I259&gt;=30,"Medium Risk","Low Risk"))</f>
        <v>Low Risk</v>
      </c>
    </row>
    <row r="260" spans="1:10" x14ac:dyDescent="0.2">
      <c r="A260" t="str">
        <f>'Claims Data'!A260</f>
        <v>CLM00259</v>
      </c>
      <c r="B260" t="str">
        <f>'Claims Data'!B260</f>
        <v>PAT0128</v>
      </c>
      <c r="C260" t="str">
        <f>'Claims Data'!C260</f>
        <v>PRV0002</v>
      </c>
      <c r="D260" s="1">
        <f>'Claims Data'!D260</f>
        <v>45634</v>
      </c>
      <c r="E260">
        <f>'Claims Data'!H260</f>
        <v>19.899999999999999</v>
      </c>
      <c r="F260">
        <f>'Claims Data'!J260</f>
        <v>1366.53</v>
      </c>
      <c r="G260" t="str">
        <f>'Claims Data'!M260</f>
        <v>inflated_hours</v>
      </c>
      <c r="H260" t="b">
        <f>'Claims Data'!L260</f>
        <v>1</v>
      </c>
      <c r="I260">
        <f t="shared" si="8"/>
        <v>50</v>
      </c>
      <c r="J260" t="str">
        <f t="shared" si="9"/>
        <v>Medium Risk</v>
      </c>
    </row>
    <row r="261" spans="1:10" x14ac:dyDescent="0.2">
      <c r="A261" t="str">
        <f>'Claims Data'!A261</f>
        <v>CLM00260</v>
      </c>
      <c r="B261" t="str">
        <f>'Claims Data'!B261</f>
        <v>PAT0211</v>
      </c>
      <c r="C261" t="str">
        <f>'Claims Data'!C261</f>
        <v>PRV0036</v>
      </c>
      <c r="D261" s="1">
        <f>'Claims Data'!D261</f>
        <v>45203</v>
      </c>
      <c r="E261">
        <f>'Claims Data'!H261</f>
        <v>6.5</v>
      </c>
      <c r="F261">
        <f>'Claims Data'!J261</f>
        <v>544.11</v>
      </c>
      <c r="G261">
        <f>'Claims Data'!M261</f>
        <v>0</v>
      </c>
      <c r="H261" t="b">
        <f>'Claims Data'!L261</f>
        <v>0</v>
      </c>
      <c r="I261">
        <f t="shared" si="8"/>
        <v>0</v>
      </c>
      <c r="J261" t="str">
        <f t="shared" si="9"/>
        <v>Low Risk</v>
      </c>
    </row>
    <row r="262" spans="1:10" x14ac:dyDescent="0.2">
      <c r="A262" t="str">
        <f>'Claims Data'!A262</f>
        <v>CLM00261</v>
      </c>
      <c r="B262" t="str">
        <f>'Claims Data'!B262</f>
        <v>PAT0082</v>
      </c>
      <c r="C262" t="str">
        <f>'Claims Data'!C262</f>
        <v>PRV0048</v>
      </c>
      <c r="D262" s="1">
        <f>'Claims Data'!D262</f>
        <v>44982</v>
      </c>
      <c r="E262">
        <f>'Claims Data'!H262</f>
        <v>5.2</v>
      </c>
      <c r="F262">
        <f>'Claims Data'!J262</f>
        <v>386.89</v>
      </c>
      <c r="G262">
        <f>'Claims Data'!M262</f>
        <v>0</v>
      </c>
      <c r="H262" t="b">
        <f>'Claims Data'!L262</f>
        <v>0</v>
      </c>
      <c r="I262">
        <f t="shared" si="8"/>
        <v>0</v>
      </c>
      <c r="J262" t="str">
        <f t="shared" si="9"/>
        <v>Low Risk</v>
      </c>
    </row>
    <row r="263" spans="1:10" x14ac:dyDescent="0.2">
      <c r="A263" t="str">
        <f>'Claims Data'!A263</f>
        <v>CLM00262</v>
      </c>
      <c r="B263" t="str">
        <f>'Claims Data'!B263</f>
        <v>PAT0193</v>
      </c>
      <c r="C263" t="str">
        <f>'Claims Data'!C263</f>
        <v>PRV0017</v>
      </c>
      <c r="D263" s="1">
        <f>'Claims Data'!D263</f>
        <v>49036</v>
      </c>
      <c r="E263">
        <f>'Claims Data'!H263</f>
        <v>4.0999999999999996</v>
      </c>
      <c r="F263">
        <f>'Claims Data'!J263</f>
        <v>170.31</v>
      </c>
      <c r="G263" t="str">
        <f>'Claims Data'!M263</f>
        <v>deceased_patient_billing</v>
      </c>
      <c r="H263" t="b">
        <f>'Claims Data'!L263</f>
        <v>1</v>
      </c>
      <c r="I263">
        <f t="shared" si="8"/>
        <v>10</v>
      </c>
      <c r="J263" t="str">
        <f t="shared" si="9"/>
        <v>Low Risk</v>
      </c>
    </row>
    <row r="264" spans="1:10" x14ac:dyDescent="0.2">
      <c r="A264" t="str">
        <f>'Claims Data'!A264</f>
        <v>CLM00263</v>
      </c>
      <c r="B264" t="str">
        <f>'Claims Data'!B264</f>
        <v>PAT0208</v>
      </c>
      <c r="C264" t="str">
        <f>'Claims Data'!C264</f>
        <v>PRV0016</v>
      </c>
      <c r="D264" s="1">
        <f>'Claims Data'!D264</f>
        <v>45287</v>
      </c>
      <c r="E264">
        <f>'Claims Data'!H264</f>
        <v>2.2000000000000002</v>
      </c>
      <c r="F264">
        <f>'Claims Data'!J264</f>
        <v>142.15</v>
      </c>
      <c r="G264">
        <f>'Claims Data'!M264</f>
        <v>0</v>
      </c>
      <c r="H264" t="b">
        <f>'Claims Data'!L264</f>
        <v>0</v>
      </c>
      <c r="I264">
        <f t="shared" si="8"/>
        <v>0</v>
      </c>
      <c r="J264" t="str">
        <f t="shared" si="9"/>
        <v>Low Risk</v>
      </c>
    </row>
    <row r="265" spans="1:10" x14ac:dyDescent="0.2">
      <c r="A265" t="str">
        <f>'Claims Data'!A265</f>
        <v>CLM00264</v>
      </c>
      <c r="B265" t="str">
        <f>'Claims Data'!B265</f>
        <v>PAT0267</v>
      </c>
      <c r="C265" t="str">
        <f>'Claims Data'!C265</f>
        <v>PRV0054</v>
      </c>
      <c r="D265" s="1">
        <f>'Claims Data'!D265</f>
        <v>45082</v>
      </c>
      <c r="E265">
        <f>'Claims Data'!H265</f>
        <v>3.4</v>
      </c>
      <c r="F265">
        <f>'Claims Data'!J265</f>
        <v>98.73</v>
      </c>
      <c r="G265">
        <f>'Claims Data'!M265</f>
        <v>0</v>
      </c>
      <c r="H265" t="b">
        <f>'Claims Data'!L265</f>
        <v>0</v>
      </c>
      <c r="I265">
        <f t="shared" si="8"/>
        <v>0</v>
      </c>
      <c r="J265" t="str">
        <f t="shared" si="9"/>
        <v>Low Risk</v>
      </c>
    </row>
    <row r="266" spans="1:10" x14ac:dyDescent="0.2">
      <c r="A266" t="str">
        <f>'Claims Data'!A266</f>
        <v>CLM00265</v>
      </c>
      <c r="B266" t="str">
        <f>'Claims Data'!B266</f>
        <v>PAT0082</v>
      </c>
      <c r="C266" t="str">
        <f>'Claims Data'!C266</f>
        <v>PRV0038</v>
      </c>
      <c r="D266" s="1">
        <f>'Claims Data'!D266</f>
        <v>45461</v>
      </c>
      <c r="E266">
        <f>'Claims Data'!H266</f>
        <v>4.7</v>
      </c>
      <c r="F266">
        <f>'Claims Data'!J266</f>
        <v>307.01</v>
      </c>
      <c r="G266">
        <f>'Claims Data'!M266</f>
        <v>0</v>
      </c>
      <c r="H266" t="b">
        <f>'Claims Data'!L266</f>
        <v>0</v>
      </c>
      <c r="I266">
        <f t="shared" si="8"/>
        <v>0</v>
      </c>
      <c r="J266" t="str">
        <f t="shared" si="9"/>
        <v>Low Risk</v>
      </c>
    </row>
    <row r="267" spans="1:10" x14ac:dyDescent="0.2">
      <c r="A267" t="str">
        <f>'Claims Data'!A267</f>
        <v>CLM00266</v>
      </c>
      <c r="B267" t="str">
        <f>'Claims Data'!B267</f>
        <v>PAT0055</v>
      </c>
      <c r="C267" t="str">
        <f>'Claims Data'!C267</f>
        <v>PRV0035</v>
      </c>
      <c r="D267" s="1">
        <f>'Claims Data'!D267</f>
        <v>45053</v>
      </c>
      <c r="E267">
        <f>'Claims Data'!H267</f>
        <v>6.4</v>
      </c>
      <c r="F267">
        <f>'Claims Data'!J267</f>
        <v>314.47000000000003</v>
      </c>
      <c r="G267">
        <f>'Claims Data'!M267</f>
        <v>0</v>
      </c>
      <c r="H267" t="b">
        <f>'Claims Data'!L267</f>
        <v>0</v>
      </c>
      <c r="I267">
        <f t="shared" si="8"/>
        <v>0</v>
      </c>
      <c r="J267" t="str">
        <f t="shared" si="9"/>
        <v>Low Risk</v>
      </c>
    </row>
    <row r="268" spans="1:10" x14ac:dyDescent="0.2">
      <c r="A268" t="str">
        <f>'Claims Data'!A268</f>
        <v>CLM00267</v>
      </c>
      <c r="B268" t="str">
        <f>'Claims Data'!B268</f>
        <v>PAT0195</v>
      </c>
      <c r="C268" t="str">
        <f>'Claims Data'!C268</f>
        <v>PRV0048</v>
      </c>
      <c r="D268" s="1">
        <f>'Claims Data'!D268</f>
        <v>45397</v>
      </c>
      <c r="E268">
        <f>'Claims Data'!H268</f>
        <v>6.5</v>
      </c>
      <c r="F268">
        <f>'Claims Data'!J268</f>
        <v>465.16</v>
      </c>
      <c r="G268">
        <f>'Claims Data'!M268</f>
        <v>0</v>
      </c>
      <c r="H268" t="b">
        <f>'Claims Data'!L268</f>
        <v>0</v>
      </c>
      <c r="I268">
        <f t="shared" si="8"/>
        <v>0</v>
      </c>
      <c r="J268" t="str">
        <f t="shared" si="9"/>
        <v>Low Risk</v>
      </c>
    </row>
    <row r="269" spans="1:10" x14ac:dyDescent="0.2">
      <c r="A269" t="str">
        <f>'Claims Data'!A269</f>
        <v>CLM00268</v>
      </c>
      <c r="B269" t="str">
        <f>'Claims Data'!B269</f>
        <v>PAT0061</v>
      </c>
      <c r="C269" t="str">
        <f>'Claims Data'!C269</f>
        <v>PRV0024</v>
      </c>
      <c r="D269" s="1">
        <f>'Claims Data'!D269</f>
        <v>45394</v>
      </c>
      <c r="E269">
        <f>'Claims Data'!H269</f>
        <v>3.4</v>
      </c>
      <c r="F269">
        <f>'Claims Data'!J269</f>
        <v>271.94</v>
      </c>
      <c r="G269">
        <f>'Claims Data'!M269</f>
        <v>0</v>
      </c>
      <c r="H269" t="b">
        <f>'Claims Data'!L269</f>
        <v>0</v>
      </c>
      <c r="I269">
        <f t="shared" si="8"/>
        <v>0</v>
      </c>
      <c r="J269" t="str">
        <f t="shared" si="9"/>
        <v>Low Risk</v>
      </c>
    </row>
    <row r="270" spans="1:10" x14ac:dyDescent="0.2">
      <c r="A270" t="str">
        <f>'Claims Data'!A270</f>
        <v>CLM00269</v>
      </c>
      <c r="B270" t="str">
        <f>'Claims Data'!B270</f>
        <v>PAT0123</v>
      </c>
      <c r="C270" t="str">
        <f>'Claims Data'!C270</f>
        <v>PRV0034</v>
      </c>
      <c r="D270" s="1">
        <f>'Claims Data'!D270</f>
        <v>45325</v>
      </c>
      <c r="E270">
        <f>'Claims Data'!H270</f>
        <v>5.5</v>
      </c>
      <c r="F270">
        <f>'Claims Data'!J270</f>
        <v>392.44</v>
      </c>
      <c r="G270">
        <f>'Claims Data'!M270</f>
        <v>0</v>
      </c>
      <c r="H270" t="b">
        <f>'Claims Data'!L270</f>
        <v>0</v>
      </c>
      <c r="I270">
        <f t="shared" si="8"/>
        <v>0</v>
      </c>
      <c r="J270" t="str">
        <f t="shared" si="9"/>
        <v>Low Risk</v>
      </c>
    </row>
    <row r="271" spans="1:10" x14ac:dyDescent="0.2">
      <c r="A271" t="str">
        <f>'Claims Data'!A271</f>
        <v>CLM00270</v>
      </c>
      <c r="B271" t="str">
        <f>'Claims Data'!B271</f>
        <v>PAT0280</v>
      </c>
      <c r="C271" t="str">
        <f>'Claims Data'!C271</f>
        <v>PRV0050</v>
      </c>
      <c r="D271" s="1">
        <f>'Claims Data'!D271</f>
        <v>45010</v>
      </c>
      <c r="E271">
        <f>'Claims Data'!H271</f>
        <v>3.8</v>
      </c>
      <c r="F271">
        <f>'Claims Data'!J271</f>
        <v>127.66</v>
      </c>
      <c r="G271">
        <f>'Claims Data'!M271</f>
        <v>0</v>
      </c>
      <c r="H271" t="b">
        <f>'Claims Data'!L271</f>
        <v>0</v>
      </c>
      <c r="I271">
        <f t="shared" si="8"/>
        <v>0</v>
      </c>
      <c r="J271" t="str">
        <f t="shared" si="9"/>
        <v>Low Risk</v>
      </c>
    </row>
    <row r="272" spans="1:10" x14ac:dyDescent="0.2">
      <c r="A272" t="str">
        <f>'Claims Data'!A272</f>
        <v>CLM00271</v>
      </c>
      <c r="B272" t="str">
        <f>'Claims Data'!B272</f>
        <v>PAT0028</v>
      </c>
      <c r="C272" t="str">
        <f>'Claims Data'!C272</f>
        <v>PRV0052</v>
      </c>
      <c r="D272" s="1">
        <f>'Claims Data'!D272</f>
        <v>45607</v>
      </c>
      <c r="E272">
        <f>'Claims Data'!H272</f>
        <v>4.5</v>
      </c>
      <c r="F272">
        <f>'Claims Data'!J272</f>
        <v>186.79</v>
      </c>
      <c r="G272">
        <f>'Claims Data'!M272</f>
        <v>0</v>
      </c>
      <c r="H272" t="b">
        <f>'Claims Data'!L272</f>
        <v>0</v>
      </c>
      <c r="I272">
        <f t="shared" si="8"/>
        <v>0</v>
      </c>
      <c r="J272" t="str">
        <f t="shared" si="9"/>
        <v>Low Risk</v>
      </c>
    </row>
    <row r="273" spans="1:10" x14ac:dyDescent="0.2">
      <c r="A273" t="str">
        <f>'Claims Data'!A273</f>
        <v>CLM00272</v>
      </c>
      <c r="B273" t="str">
        <f>'Claims Data'!B273</f>
        <v>PAT0139</v>
      </c>
      <c r="C273" t="str">
        <f>'Claims Data'!C273</f>
        <v>PRV0041</v>
      </c>
      <c r="D273" s="1">
        <f>'Claims Data'!D273</f>
        <v>45573</v>
      </c>
      <c r="E273">
        <f>'Claims Data'!H273</f>
        <v>5.8</v>
      </c>
      <c r="F273">
        <f>'Claims Data'!J273</f>
        <v>293.67</v>
      </c>
      <c r="G273">
        <f>'Claims Data'!M273</f>
        <v>0</v>
      </c>
      <c r="H273" t="b">
        <f>'Claims Data'!L273</f>
        <v>0</v>
      </c>
      <c r="I273">
        <f t="shared" si="8"/>
        <v>0</v>
      </c>
      <c r="J273" t="str">
        <f t="shared" si="9"/>
        <v>Low Risk</v>
      </c>
    </row>
    <row r="274" spans="1:10" x14ac:dyDescent="0.2">
      <c r="A274" t="str">
        <f>'Claims Data'!A274</f>
        <v>CLM00273</v>
      </c>
      <c r="B274" t="str">
        <f>'Claims Data'!B274</f>
        <v>PAT0055</v>
      </c>
      <c r="C274" t="str">
        <f>'Claims Data'!C274</f>
        <v>PRV0006</v>
      </c>
      <c r="D274" s="1">
        <f>'Claims Data'!D274</f>
        <v>45560</v>
      </c>
      <c r="E274">
        <f>'Claims Data'!H274</f>
        <v>7.8</v>
      </c>
      <c r="F274">
        <f>'Claims Data'!J274</f>
        <v>635.66</v>
      </c>
      <c r="G274">
        <f>'Claims Data'!M274</f>
        <v>0</v>
      </c>
      <c r="H274" t="b">
        <f>'Claims Data'!L274</f>
        <v>0</v>
      </c>
      <c r="I274">
        <f t="shared" si="8"/>
        <v>0</v>
      </c>
      <c r="J274" t="str">
        <f t="shared" si="9"/>
        <v>Low Risk</v>
      </c>
    </row>
    <row r="275" spans="1:10" x14ac:dyDescent="0.2">
      <c r="A275" t="str">
        <f>'Claims Data'!A275</f>
        <v>CLM00274</v>
      </c>
      <c r="B275" t="str">
        <f>'Claims Data'!B275</f>
        <v>PAT0136</v>
      </c>
      <c r="C275" t="str">
        <f>'Claims Data'!C275</f>
        <v>PRV0049</v>
      </c>
      <c r="D275" s="1">
        <f>'Claims Data'!D275</f>
        <v>45585</v>
      </c>
      <c r="E275">
        <f>'Claims Data'!H275</f>
        <v>11.3</v>
      </c>
      <c r="F275">
        <f>'Claims Data'!J275</f>
        <v>500</v>
      </c>
      <c r="G275" t="str">
        <f>'Claims Data'!M275</f>
        <v>phantom_round_amount</v>
      </c>
      <c r="H275" t="b">
        <f>'Claims Data'!L275</f>
        <v>1</v>
      </c>
      <c r="I275">
        <f t="shared" si="8"/>
        <v>40</v>
      </c>
      <c r="J275" t="str">
        <f t="shared" si="9"/>
        <v>Medium Risk</v>
      </c>
    </row>
    <row r="276" spans="1:10" x14ac:dyDescent="0.2">
      <c r="A276" t="str">
        <f>'Claims Data'!A276</f>
        <v>CLM00275</v>
      </c>
      <c r="B276" t="str">
        <f>'Claims Data'!B276</f>
        <v>PAT0208</v>
      </c>
      <c r="C276" t="str">
        <f>'Claims Data'!C276</f>
        <v>PRV0033</v>
      </c>
      <c r="D276" s="1">
        <f>'Claims Data'!D276</f>
        <v>44945</v>
      </c>
      <c r="E276">
        <f>'Claims Data'!H276</f>
        <v>2.9</v>
      </c>
      <c r="F276">
        <f>'Claims Data'!J276</f>
        <v>138</v>
      </c>
      <c r="G276">
        <f>'Claims Data'!M276</f>
        <v>0</v>
      </c>
      <c r="H276" t="b">
        <f>'Claims Data'!L276</f>
        <v>0</v>
      </c>
      <c r="I276">
        <f t="shared" si="8"/>
        <v>0</v>
      </c>
      <c r="J276" t="str">
        <f t="shared" si="9"/>
        <v>Low Risk</v>
      </c>
    </row>
    <row r="277" spans="1:10" x14ac:dyDescent="0.2">
      <c r="A277" t="str">
        <f>'Claims Data'!A277</f>
        <v>CLM00276</v>
      </c>
      <c r="B277" t="str">
        <f>'Claims Data'!B277</f>
        <v>PAT0038</v>
      </c>
      <c r="C277" t="str">
        <f>'Claims Data'!C277</f>
        <v>PRV0016</v>
      </c>
      <c r="D277" s="1">
        <f>'Claims Data'!D277</f>
        <v>45060</v>
      </c>
      <c r="E277">
        <f>'Claims Data'!H277</f>
        <v>3.4</v>
      </c>
      <c r="F277">
        <f>'Claims Data'!J277</f>
        <v>130.97</v>
      </c>
      <c r="G277">
        <f>'Claims Data'!M277</f>
        <v>0</v>
      </c>
      <c r="H277" t="b">
        <f>'Claims Data'!L277</f>
        <v>0</v>
      </c>
      <c r="I277">
        <f t="shared" si="8"/>
        <v>0</v>
      </c>
      <c r="J277" t="str">
        <f t="shared" si="9"/>
        <v>Low Risk</v>
      </c>
    </row>
    <row r="278" spans="1:10" x14ac:dyDescent="0.2">
      <c r="A278" t="str">
        <f>'Claims Data'!A278</f>
        <v>CLM00277</v>
      </c>
      <c r="B278" t="str">
        <f>'Claims Data'!B278</f>
        <v>PAT0199</v>
      </c>
      <c r="C278" t="str">
        <f>'Claims Data'!C278</f>
        <v>PRV0008</v>
      </c>
      <c r="D278" s="1">
        <f>'Claims Data'!D278</f>
        <v>45153</v>
      </c>
      <c r="E278">
        <f>'Claims Data'!H278</f>
        <v>6.8</v>
      </c>
      <c r="F278">
        <f>'Claims Data'!J278</f>
        <v>543.21</v>
      </c>
      <c r="G278">
        <f>'Claims Data'!M278</f>
        <v>0</v>
      </c>
      <c r="H278" t="b">
        <f>'Claims Data'!L278</f>
        <v>0</v>
      </c>
      <c r="I278">
        <f t="shared" si="8"/>
        <v>0</v>
      </c>
      <c r="J278" t="str">
        <f t="shared" si="9"/>
        <v>Low Risk</v>
      </c>
    </row>
    <row r="279" spans="1:10" x14ac:dyDescent="0.2">
      <c r="A279" t="str">
        <f>'Claims Data'!A279</f>
        <v>CLM00278</v>
      </c>
      <c r="B279" t="str">
        <f>'Claims Data'!B279</f>
        <v>PAT0213</v>
      </c>
      <c r="C279" t="str">
        <f>'Claims Data'!C279</f>
        <v>PRV0038</v>
      </c>
      <c r="D279" s="1">
        <f>'Claims Data'!D279</f>
        <v>45129</v>
      </c>
      <c r="E279">
        <f>'Claims Data'!H279</f>
        <v>7.8</v>
      </c>
      <c r="F279">
        <f>'Claims Data'!J279</f>
        <v>455.81</v>
      </c>
      <c r="G279">
        <f>'Claims Data'!M279</f>
        <v>0</v>
      </c>
      <c r="H279" t="b">
        <f>'Claims Data'!L279</f>
        <v>0</v>
      </c>
      <c r="I279">
        <f t="shared" si="8"/>
        <v>0</v>
      </c>
      <c r="J279" t="str">
        <f t="shared" si="9"/>
        <v>Low Risk</v>
      </c>
    </row>
    <row r="280" spans="1:10" x14ac:dyDescent="0.2">
      <c r="A280" t="str">
        <f>'Claims Data'!A280</f>
        <v>CLM00279</v>
      </c>
      <c r="B280" t="str">
        <f>'Claims Data'!B280</f>
        <v>PAT0062</v>
      </c>
      <c r="C280" t="str">
        <f>'Claims Data'!C280</f>
        <v>PRV0057</v>
      </c>
      <c r="D280" s="1">
        <f>'Claims Data'!D280</f>
        <v>45565</v>
      </c>
      <c r="E280">
        <f>'Claims Data'!H280</f>
        <v>3.5</v>
      </c>
      <c r="F280">
        <f>'Claims Data'!J280</f>
        <v>130.19999999999999</v>
      </c>
      <c r="G280">
        <f>'Claims Data'!M280</f>
        <v>0</v>
      </c>
      <c r="H280" t="b">
        <f>'Claims Data'!L280</f>
        <v>0</v>
      </c>
      <c r="I280">
        <f t="shared" si="8"/>
        <v>0</v>
      </c>
      <c r="J280" t="str">
        <f t="shared" si="9"/>
        <v>Low Risk</v>
      </c>
    </row>
    <row r="281" spans="1:10" x14ac:dyDescent="0.2">
      <c r="A281" t="str">
        <f>'Claims Data'!A281</f>
        <v>CLM00280</v>
      </c>
      <c r="B281" t="str">
        <f>'Claims Data'!B281</f>
        <v>PAT0206</v>
      </c>
      <c r="C281" t="str">
        <f>'Claims Data'!C281</f>
        <v>PRV0003</v>
      </c>
      <c r="D281" s="1">
        <f>'Claims Data'!D281</f>
        <v>45608</v>
      </c>
      <c r="E281">
        <f>'Claims Data'!H281</f>
        <v>23.1</v>
      </c>
      <c r="F281">
        <f>'Claims Data'!J281</f>
        <v>1751.67</v>
      </c>
      <c r="G281" t="str">
        <f>'Claims Data'!M281</f>
        <v>inflated_hours</v>
      </c>
      <c r="H281" t="b">
        <f>'Claims Data'!L281</f>
        <v>1</v>
      </c>
      <c r="I281">
        <f t="shared" si="8"/>
        <v>50</v>
      </c>
      <c r="J281" t="str">
        <f t="shared" si="9"/>
        <v>Medium Risk</v>
      </c>
    </row>
    <row r="282" spans="1:10" x14ac:dyDescent="0.2">
      <c r="A282" t="str">
        <f>'Claims Data'!A282</f>
        <v>CLM00281</v>
      </c>
      <c r="B282" t="str">
        <f>'Claims Data'!B282</f>
        <v>PAT0282</v>
      </c>
      <c r="C282" t="str">
        <f>'Claims Data'!C282</f>
        <v>PRV0029</v>
      </c>
      <c r="D282" s="1">
        <f>'Claims Data'!D282</f>
        <v>45638</v>
      </c>
      <c r="E282">
        <f>'Claims Data'!H282</f>
        <v>2.2999999999999998</v>
      </c>
      <c r="F282">
        <f>'Claims Data'!J282</f>
        <v>109.55</v>
      </c>
      <c r="G282">
        <f>'Claims Data'!M282</f>
        <v>0</v>
      </c>
      <c r="H282" t="b">
        <f>'Claims Data'!L282</f>
        <v>0</v>
      </c>
      <c r="I282">
        <f t="shared" si="8"/>
        <v>0</v>
      </c>
      <c r="J282" t="str">
        <f t="shared" si="9"/>
        <v>Low Risk</v>
      </c>
    </row>
    <row r="283" spans="1:10" x14ac:dyDescent="0.2">
      <c r="A283" t="str">
        <f>'Claims Data'!A283</f>
        <v>CLM00282</v>
      </c>
      <c r="B283" t="str">
        <f>'Claims Data'!B283</f>
        <v>PAT0089</v>
      </c>
      <c r="C283" t="str">
        <f>'Claims Data'!C283</f>
        <v>PRV0043</v>
      </c>
      <c r="D283" s="1">
        <f>'Claims Data'!D283</f>
        <v>45336</v>
      </c>
      <c r="E283">
        <f>'Claims Data'!H283</f>
        <v>7.2</v>
      </c>
      <c r="F283">
        <f>'Claims Data'!J283</f>
        <v>261.29000000000002</v>
      </c>
      <c r="G283">
        <f>'Claims Data'!M283</f>
        <v>0</v>
      </c>
      <c r="H283" t="b">
        <f>'Claims Data'!L283</f>
        <v>0</v>
      </c>
      <c r="I283">
        <f t="shared" si="8"/>
        <v>0</v>
      </c>
      <c r="J283" t="str">
        <f t="shared" si="9"/>
        <v>Low Risk</v>
      </c>
    </row>
    <row r="284" spans="1:10" x14ac:dyDescent="0.2">
      <c r="A284" t="str">
        <f>'Claims Data'!A284</f>
        <v>CLM00283</v>
      </c>
      <c r="B284" t="str">
        <f>'Claims Data'!B284</f>
        <v>PAT0089</v>
      </c>
      <c r="C284" t="str">
        <f>'Claims Data'!C284</f>
        <v>PRV0004</v>
      </c>
      <c r="D284" s="1">
        <f>'Claims Data'!D284</f>
        <v>44990</v>
      </c>
      <c r="E284">
        <f>'Claims Data'!H284</f>
        <v>4.9000000000000004</v>
      </c>
      <c r="F284">
        <f>'Claims Data'!J284</f>
        <v>378.13</v>
      </c>
      <c r="G284">
        <f>'Claims Data'!M284</f>
        <v>0</v>
      </c>
      <c r="H284" t="b">
        <f>'Claims Data'!L284</f>
        <v>0</v>
      </c>
      <c r="I284">
        <f t="shared" si="8"/>
        <v>0</v>
      </c>
      <c r="J284" t="str">
        <f t="shared" si="9"/>
        <v>Low Risk</v>
      </c>
    </row>
    <row r="285" spans="1:10" x14ac:dyDescent="0.2">
      <c r="A285" t="str">
        <f>'Claims Data'!A285</f>
        <v>CLM00284</v>
      </c>
      <c r="B285" t="str">
        <f>'Claims Data'!B285</f>
        <v>PAT0230</v>
      </c>
      <c r="C285" t="str">
        <f>'Claims Data'!C285</f>
        <v>PRV0052</v>
      </c>
      <c r="D285" s="1">
        <f>'Claims Data'!D285</f>
        <v>45604</v>
      </c>
      <c r="E285">
        <f>'Claims Data'!H285</f>
        <v>7.7</v>
      </c>
      <c r="F285">
        <f>'Claims Data'!J285</f>
        <v>199.58</v>
      </c>
      <c r="G285">
        <f>'Claims Data'!M285</f>
        <v>0</v>
      </c>
      <c r="H285" t="b">
        <f>'Claims Data'!L285</f>
        <v>0</v>
      </c>
      <c r="I285">
        <f t="shared" si="8"/>
        <v>0</v>
      </c>
      <c r="J285" t="str">
        <f t="shared" si="9"/>
        <v>Low Risk</v>
      </c>
    </row>
    <row r="286" spans="1:10" x14ac:dyDescent="0.2">
      <c r="A286" t="str">
        <f>'Claims Data'!A286</f>
        <v>CLM00285</v>
      </c>
      <c r="B286" t="str">
        <f>'Claims Data'!B286</f>
        <v>PAT0126</v>
      </c>
      <c r="C286" t="str">
        <f>'Claims Data'!C286</f>
        <v>PRV0056</v>
      </c>
      <c r="D286" s="1">
        <f>'Claims Data'!D286</f>
        <v>45293</v>
      </c>
      <c r="E286">
        <f>'Claims Data'!H286</f>
        <v>6.5</v>
      </c>
      <c r="F286">
        <f>'Claims Data'!J286</f>
        <v>456.69</v>
      </c>
      <c r="G286">
        <f>'Claims Data'!M286</f>
        <v>0</v>
      </c>
      <c r="H286" t="b">
        <f>'Claims Data'!L286</f>
        <v>0</v>
      </c>
      <c r="I286">
        <f t="shared" si="8"/>
        <v>0</v>
      </c>
      <c r="J286" t="str">
        <f t="shared" si="9"/>
        <v>Low Risk</v>
      </c>
    </row>
    <row r="287" spans="1:10" x14ac:dyDescent="0.2">
      <c r="A287" t="str">
        <f>'Claims Data'!A287</f>
        <v>CLM00286</v>
      </c>
      <c r="B287" t="str">
        <f>'Claims Data'!B287</f>
        <v>PAT0023</v>
      </c>
      <c r="C287" t="str">
        <f>'Claims Data'!C287</f>
        <v>PRV0036</v>
      </c>
      <c r="D287" s="1">
        <f>'Claims Data'!D287</f>
        <v>45399</v>
      </c>
      <c r="E287">
        <f>'Claims Data'!H287</f>
        <v>4.4000000000000004</v>
      </c>
      <c r="F287">
        <f>'Claims Data'!J287</f>
        <v>173.18</v>
      </c>
      <c r="G287">
        <f>'Claims Data'!M287</f>
        <v>0</v>
      </c>
      <c r="H287" t="b">
        <f>'Claims Data'!L287</f>
        <v>0</v>
      </c>
      <c r="I287">
        <f t="shared" si="8"/>
        <v>0</v>
      </c>
      <c r="J287" t="str">
        <f t="shared" si="9"/>
        <v>Low Risk</v>
      </c>
    </row>
    <row r="288" spans="1:10" x14ac:dyDescent="0.2">
      <c r="A288" t="str">
        <f>'Claims Data'!A288</f>
        <v>CLM00287</v>
      </c>
      <c r="B288" t="str">
        <f>'Claims Data'!B288</f>
        <v>PAT0250</v>
      </c>
      <c r="C288" t="str">
        <f>'Claims Data'!C288</f>
        <v>PRV0015</v>
      </c>
      <c r="D288" s="1">
        <f>'Claims Data'!D288</f>
        <v>44978</v>
      </c>
      <c r="E288">
        <f>'Claims Data'!H288</f>
        <v>4.3</v>
      </c>
      <c r="F288">
        <f>'Claims Data'!J288</f>
        <v>245.18</v>
      </c>
      <c r="G288">
        <f>'Claims Data'!M288</f>
        <v>0</v>
      </c>
      <c r="H288" t="b">
        <f>'Claims Data'!L288</f>
        <v>0</v>
      </c>
      <c r="I288">
        <f t="shared" si="8"/>
        <v>0</v>
      </c>
      <c r="J288" t="str">
        <f t="shared" si="9"/>
        <v>Low Risk</v>
      </c>
    </row>
    <row r="289" spans="1:10" x14ac:dyDescent="0.2">
      <c r="A289" t="str">
        <f>'Claims Data'!A289</f>
        <v>CLM00288</v>
      </c>
      <c r="B289" t="str">
        <f>'Claims Data'!B289</f>
        <v>PAT0039</v>
      </c>
      <c r="C289" t="str">
        <f>'Claims Data'!C289</f>
        <v>PRV0034</v>
      </c>
      <c r="D289" s="1">
        <f>'Claims Data'!D289</f>
        <v>45399</v>
      </c>
      <c r="E289">
        <f>'Claims Data'!H289</f>
        <v>3.6</v>
      </c>
      <c r="F289">
        <f>'Claims Data'!J289</f>
        <v>200.77</v>
      </c>
      <c r="G289">
        <f>'Claims Data'!M289</f>
        <v>0</v>
      </c>
      <c r="H289" t="b">
        <f>'Claims Data'!L289</f>
        <v>0</v>
      </c>
      <c r="I289">
        <f t="shared" si="8"/>
        <v>0</v>
      </c>
      <c r="J289" t="str">
        <f t="shared" si="9"/>
        <v>Low Risk</v>
      </c>
    </row>
    <row r="290" spans="1:10" x14ac:dyDescent="0.2">
      <c r="A290" t="str">
        <f>'Claims Data'!A290</f>
        <v>CLM00289</v>
      </c>
      <c r="B290" t="str">
        <f>'Claims Data'!B290</f>
        <v>PAT0167</v>
      </c>
      <c r="C290" t="str">
        <f>'Claims Data'!C290</f>
        <v>PRV0043</v>
      </c>
      <c r="D290" s="1">
        <f>'Claims Data'!D290</f>
        <v>45014</v>
      </c>
      <c r="E290">
        <f>'Claims Data'!H290</f>
        <v>2.6</v>
      </c>
      <c r="F290">
        <f>'Claims Data'!J290</f>
        <v>218.09</v>
      </c>
      <c r="G290">
        <f>'Claims Data'!M290</f>
        <v>0</v>
      </c>
      <c r="H290" t="b">
        <f>'Claims Data'!L290</f>
        <v>0</v>
      </c>
      <c r="I290">
        <f t="shared" si="8"/>
        <v>0</v>
      </c>
      <c r="J290" t="str">
        <f t="shared" si="9"/>
        <v>Low Risk</v>
      </c>
    </row>
    <row r="291" spans="1:10" x14ac:dyDescent="0.2">
      <c r="A291" t="str">
        <f>'Claims Data'!A291</f>
        <v>CLM00290</v>
      </c>
      <c r="B291" t="str">
        <f>'Claims Data'!B291</f>
        <v>PAT0274</v>
      </c>
      <c r="C291" t="str">
        <f>'Claims Data'!C291</f>
        <v>PRV0051</v>
      </c>
      <c r="D291" s="1">
        <f>'Claims Data'!D291</f>
        <v>45222</v>
      </c>
      <c r="E291">
        <f>'Claims Data'!H291</f>
        <v>7.5</v>
      </c>
      <c r="F291">
        <f>'Claims Data'!J291</f>
        <v>354.32</v>
      </c>
      <c r="G291">
        <f>'Claims Data'!M291</f>
        <v>0</v>
      </c>
      <c r="H291" t="b">
        <f>'Claims Data'!L291</f>
        <v>0</v>
      </c>
      <c r="I291">
        <f t="shared" si="8"/>
        <v>0</v>
      </c>
      <c r="J291" t="str">
        <f t="shared" si="9"/>
        <v>Low Risk</v>
      </c>
    </row>
    <row r="292" spans="1:10" x14ac:dyDescent="0.2">
      <c r="A292" t="str">
        <f>'Claims Data'!A292</f>
        <v>CLM00291</v>
      </c>
      <c r="B292" t="str">
        <f>'Claims Data'!B292</f>
        <v>PAT0110</v>
      </c>
      <c r="C292" t="str">
        <f>'Claims Data'!C292</f>
        <v>PRV0001</v>
      </c>
      <c r="D292" s="1">
        <f>'Claims Data'!D292</f>
        <v>45042</v>
      </c>
      <c r="E292">
        <f>'Claims Data'!H292</f>
        <v>5.4</v>
      </c>
      <c r="F292">
        <f>'Claims Data'!J292</f>
        <v>206.69</v>
      </c>
      <c r="G292">
        <f>'Claims Data'!M292</f>
        <v>0</v>
      </c>
      <c r="H292" t="b">
        <f>'Claims Data'!L292</f>
        <v>0</v>
      </c>
      <c r="I292">
        <f t="shared" si="8"/>
        <v>0</v>
      </c>
      <c r="J292" t="str">
        <f t="shared" si="9"/>
        <v>Low Risk</v>
      </c>
    </row>
    <row r="293" spans="1:10" x14ac:dyDescent="0.2">
      <c r="A293" t="str">
        <f>'Claims Data'!A293</f>
        <v>CLM00292</v>
      </c>
      <c r="B293" t="str">
        <f>'Claims Data'!B293</f>
        <v>PAT0028</v>
      </c>
      <c r="C293" t="str">
        <f>'Claims Data'!C293</f>
        <v>PRV0008</v>
      </c>
      <c r="D293" s="1">
        <f>'Claims Data'!D293</f>
        <v>45286</v>
      </c>
      <c r="E293">
        <f>'Claims Data'!H293</f>
        <v>3.6</v>
      </c>
      <c r="F293">
        <f>'Claims Data'!J293</f>
        <v>291.91000000000003</v>
      </c>
      <c r="G293">
        <f>'Claims Data'!M293</f>
        <v>0</v>
      </c>
      <c r="H293" t="b">
        <f>'Claims Data'!L293</f>
        <v>0</v>
      </c>
      <c r="I293">
        <f t="shared" si="8"/>
        <v>0</v>
      </c>
      <c r="J293" t="str">
        <f t="shared" si="9"/>
        <v>Low Risk</v>
      </c>
    </row>
    <row r="294" spans="1:10" x14ac:dyDescent="0.2">
      <c r="A294" t="str">
        <f>'Claims Data'!A294</f>
        <v>CLM00293</v>
      </c>
      <c r="B294" t="str">
        <f>'Claims Data'!B294</f>
        <v>PAT0050</v>
      </c>
      <c r="C294" t="str">
        <f>'Claims Data'!C294</f>
        <v>PRV0017</v>
      </c>
      <c r="D294" s="1">
        <f>'Claims Data'!D294</f>
        <v>45461</v>
      </c>
      <c r="E294">
        <f>'Claims Data'!H294</f>
        <v>19.2</v>
      </c>
      <c r="F294">
        <f>'Claims Data'!J294</f>
        <v>705.98</v>
      </c>
      <c r="G294" t="str">
        <f>'Claims Data'!M294</f>
        <v>inflated_hours</v>
      </c>
      <c r="H294" t="b">
        <f>'Claims Data'!L294</f>
        <v>1</v>
      </c>
      <c r="I294">
        <f t="shared" si="8"/>
        <v>50</v>
      </c>
      <c r="J294" t="str">
        <f t="shared" si="9"/>
        <v>Medium Risk</v>
      </c>
    </row>
    <row r="295" spans="1:10" x14ac:dyDescent="0.2">
      <c r="A295" t="str">
        <f>'Claims Data'!A295</f>
        <v>CLM00294</v>
      </c>
      <c r="B295" t="str">
        <f>'Claims Data'!B295</f>
        <v>PAT0263</v>
      </c>
      <c r="C295" t="str">
        <f>'Claims Data'!C295</f>
        <v>PRV0023</v>
      </c>
      <c r="D295" s="1">
        <f>'Claims Data'!D295</f>
        <v>45333</v>
      </c>
      <c r="E295">
        <f>'Claims Data'!H295</f>
        <v>5.4</v>
      </c>
      <c r="F295">
        <f>'Claims Data'!J295</f>
        <v>214.62</v>
      </c>
      <c r="G295">
        <f>'Claims Data'!M295</f>
        <v>0</v>
      </c>
      <c r="H295" t="b">
        <f>'Claims Data'!L295</f>
        <v>0</v>
      </c>
      <c r="I295">
        <f t="shared" si="8"/>
        <v>0</v>
      </c>
      <c r="J295" t="str">
        <f t="shared" si="9"/>
        <v>Low Risk</v>
      </c>
    </row>
    <row r="296" spans="1:10" x14ac:dyDescent="0.2">
      <c r="A296" t="str">
        <f>'Claims Data'!A296</f>
        <v>CLM00295</v>
      </c>
      <c r="B296" t="str">
        <f>'Claims Data'!B296</f>
        <v>PAT0138</v>
      </c>
      <c r="C296" t="str">
        <f>'Claims Data'!C296</f>
        <v>PRV0039</v>
      </c>
      <c r="D296" s="1">
        <f>'Claims Data'!D296</f>
        <v>45016</v>
      </c>
      <c r="E296">
        <f>'Claims Data'!H296</f>
        <v>3.5</v>
      </c>
      <c r="F296">
        <f>'Claims Data'!J296</f>
        <v>260.02999999999997</v>
      </c>
      <c r="G296">
        <f>'Claims Data'!M296</f>
        <v>0</v>
      </c>
      <c r="H296" t="b">
        <f>'Claims Data'!L296</f>
        <v>0</v>
      </c>
      <c r="I296">
        <f t="shared" si="8"/>
        <v>0</v>
      </c>
      <c r="J296" t="str">
        <f t="shared" si="9"/>
        <v>Low Risk</v>
      </c>
    </row>
    <row r="297" spans="1:10" x14ac:dyDescent="0.2">
      <c r="A297" t="str">
        <f>'Claims Data'!A297</f>
        <v>CLM00296</v>
      </c>
      <c r="B297" t="str">
        <f>'Claims Data'!B297</f>
        <v>PAT0285</v>
      </c>
      <c r="C297" t="str">
        <f>'Claims Data'!C297</f>
        <v>PRV0020</v>
      </c>
      <c r="D297" s="1">
        <f>'Claims Data'!D297</f>
        <v>45580</v>
      </c>
      <c r="E297">
        <f>'Claims Data'!H297</f>
        <v>4.8</v>
      </c>
      <c r="F297">
        <f>'Claims Data'!J297</f>
        <v>331.04</v>
      </c>
      <c r="G297">
        <f>'Claims Data'!M297</f>
        <v>0</v>
      </c>
      <c r="H297" t="b">
        <f>'Claims Data'!L297</f>
        <v>0</v>
      </c>
      <c r="I297">
        <f t="shared" si="8"/>
        <v>0</v>
      </c>
      <c r="J297" t="str">
        <f t="shared" si="9"/>
        <v>Low Risk</v>
      </c>
    </row>
    <row r="298" spans="1:10" x14ac:dyDescent="0.2">
      <c r="A298" t="str">
        <f>'Claims Data'!A298</f>
        <v>CLM00297</v>
      </c>
      <c r="B298" t="str">
        <f>'Claims Data'!B298</f>
        <v>PAT0056</v>
      </c>
      <c r="C298" t="str">
        <f>'Claims Data'!C298</f>
        <v>PRV0060</v>
      </c>
      <c r="D298" s="1">
        <f>'Claims Data'!D298</f>
        <v>45498</v>
      </c>
      <c r="E298">
        <f>'Claims Data'!H298</f>
        <v>2.8</v>
      </c>
      <c r="F298">
        <f>'Claims Data'!J298</f>
        <v>161.82</v>
      </c>
      <c r="G298">
        <f>'Claims Data'!M298</f>
        <v>0</v>
      </c>
      <c r="H298" t="b">
        <f>'Claims Data'!L298</f>
        <v>0</v>
      </c>
      <c r="I298">
        <f t="shared" si="8"/>
        <v>0</v>
      </c>
      <c r="J298" t="str">
        <f t="shared" si="9"/>
        <v>Low Risk</v>
      </c>
    </row>
    <row r="299" spans="1:10" x14ac:dyDescent="0.2">
      <c r="A299" t="str">
        <f>'Claims Data'!A299</f>
        <v>CLM00298</v>
      </c>
      <c r="B299" t="str">
        <f>'Claims Data'!B299</f>
        <v>PAT0213</v>
      </c>
      <c r="C299" t="str">
        <f>'Claims Data'!C299</f>
        <v>PRV0053</v>
      </c>
      <c r="D299" s="1">
        <f>'Claims Data'!D299</f>
        <v>45210</v>
      </c>
      <c r="E299">
        <f>'Claims Data'!H299</f>
        <v>5.0999999999999996</v>
      </c>
      <c r="F299">
        <f>'Claims Data'!J299</f>
        <v>384.25</v>
      </c>
      <c r="G299">
        <f>'Claims Data'!M299</f>
        <v>0</v>
      </c>
      <c r="H299" t="b">
        <f>'Claims Data'!L299</f>
        <v>0</v>
      </c>
      <c r="I299">
        <f t="shared" si="8"/>
        <v>0</v>
      </c>
      <c r="J299" t="str">
        <f t="shared" si="9"/>
        <v>Low Risk</v>
      </c>
    </row>
    <row r="300" spans="1:10" x14ac:dyDescent="0.2">
      <c r="A300" t="str">
        <f>'Claims Data'!A300</f>
        <v>CLM00299</v>
      </c>
      <c r="B300" t="str">
        <f>'Claims Data'!B300</f>
        <v>PAT0237</v>
      </c>
      <c r="C300" t="str">
        <f>'Claims Data'!C300</f>
        <v>PRV0004</v>
      </c>
      <c r="D300" s="1">
        <f>'Claims Data'!D300</f>
        <v>45634</v>
      </c>
      <c r="E300">
        <f>'Claims Data'!H300</f>
        <v>6.6</v>
      </c>
      <c r="F300">
        <f>'Claims Data'!J300</f>
        <v>328.31</v>
      </c>
      <c r="G300">
        <f>'Claims Data'!M300</f>
        <v>0</v>
      </c>
      <c r="H300" t="b">
        <f>'Claims Data'!L300</f>
        <v>0</v>
      </c>
      <c r="I300">
        <f t="shared" si="8"/>
        <v>0</v>
      </c>
      <c r="J300" t="str">
        <f t="shared" si="9"/>
        <v>Low Risk</v>
      </c>
    </row>
    <row r="301" spans="1:10" x14ac:dyDescent="0.2">
      <c r="A301" t="str">
        <f>'Claims Data'!A301</f>
        <v>CLM00300</v>
      </c>
      <c r="B301" t="str">
        <f>'Claims Data'!B301</f>
        <v>PAT0289</v>
      </c>
      <c r="C301" t="str">
        <f>'Claims Data'!C301</f>
        <v>PRV0059</v>
      </c>
      <c r="D301" s="1">
        <f>'Claims Data'!D301</f>
        <v>45171</v>
      </c>
      <c r="E301">
        <f>'Claims Data'!H301</f>
        <v>2.4</v>
      </c>
      <c r="F301">
        <f>'Claims Data'!J301</f>
        <v>81.75</v>
      </c>
      <c r="G301" t="str">
        <f>'Claims Data'!M301</f>
        <v>duplicate_claim</v>
      </c>
      <c r="H301" t="b">
        <f>'Claims Data'!L301</f>
        <v>1</v>
      </c>
      <c r="I301">
        <f t="shared" si="8"/>
        <v>10</v>
      </c>
      <c r="J301" t="str">
        <f t="shared" si="9"/>
        <v>Low Risk</v>
      </c>
    </row>
    <row r="302" spans="1:10" x14ac:dyDescent="0.2">
      <c r="A302" t="str">
        <f>'Claims Data'!A302</f>
        <v>CLM00301</v>
      </c>
      <c r="B302" t="str">
        <f>'Claims Data'!B302</f>
        <v>PAT0188</v>
      </c>
      <c r="C302" t="str">
        <f>'Claims Data'!C302</f>
        <v>PRV0040</v>
      </c>
      <c r="D302" s="1">
        <f>'Claims Data'!D302</f>
        <v>45456</v>
      </c>
      <c r="E302">
        <f>'Claims Data'!H302</f>
        <v>4.2</v>
      </c>
      <c r="F302">
        <f>'Claims Data'!J302</f>
        <v>260.69</v>
      </c>
      <c r="G302">
        <f>'Claims Data'!M302</f>
        <v>0</v>
      </c>
      <c r="H302" t="b">
        <f>'Claims Data'!L302</f>
        <v>0</v>
      </c>
      <c r="I302">
        <f t="shared" si="8"/>
        <v>0</v>
      </c>
      <c r="J302" t="str">
        <f t="shared" si="9"/>
        <v>Low Risk</v>
      </c>
    </row>
    <row r="303" spans="1:10" x14ac:dyDescent="0.2">
      <c r="A303" t="str">
        <f>'Claims Data'!A303</f>
        <v>CLM00302</v>
      </c>
      <c r="B303" t="str">
        <f>'Claims Data'!B303</f>
        <v>PAT0096</v>
      </c>
      <c r="C303" t="str">
        <f>'Claims Data'!C303</f>
        <v>PRV0018</v>
      </c>
      <c r="D303" s="1">
        <f>'Claims Data'!D303</f>
        <v>45605</v>
      </c>
      <c r="E303">
        <f>'Claims Data'!H303</f>
        <v>6</v>
      </c>
      <c r="F303">
        <f>'Claims Data'!J303</f>
        <v>155.66</v>
      </c>
      <c r="G303">
        <f>'Claims Data'!M303</f>
        <v>0</v>
      </c>
      <c r="H303" t="b">
        <f>'Claims Data'!L303</f>
        <v>0</v>
      </c>
      <c r="I303">
        <f t="shared" si="8"/>
        <v>0</v>
      </c>
      <c r="J303" t="str">
        <f t="shared" si="9"/>
        <v>Low Risk</v>
      </c>
    </row>
    <row r="304" spans="1:10" x14ac:dyDescent="0.2">
      <c r="A304" t="str">
        <f>'Claims Data'!A304</f>
        <v>CLM00303</v>
      </c>
      <c r="B304" t="str">
        <f>'Claims Data'!B304</f>
        <v>PAT0248</v>
      </c>
      <c r="C304" t="str">
        <f>'Claims Data'!C304</f>
        <v>PRV0014</v>
      </c>
      <c r="D304" s="1">
        <f>'Claims Data'!D304</f>
        <v>45363</v>
      </c>
      <c r="E304">
        <f>'Claims Data'!H304</f>
        <v>2.1</v>
      </c>
      <c r="F304">
        <f>'Claims Data'!J304</f>
        <v>119.21</v>
      </c>
      <c r="G304">
        <f>'Claims Data'!M304</f>
        <v>0</v>
      </c>
      <c r="H304" t="b">
        <f>'Claims Data'!L304</f>
        <v>0</v>
      </c>
      <c r="I304">
        <f t="shared" si="8"/>
        <v>0</v>
      </c>
      <c r="J304" t="str">
        <f t="shared" si="9"/>
        <v>Low Risk</v>
      </c>
    </row>
    <row r="305" spans="1:10" x14ac:dyDescent="0.2">
      <c r="A305" t="str">
        <f>'Claims Data'!A305</f>
        <v>CLM00304</v>
      </c>
      <c r="B305" t="str">
        <f>'Claims Data'!B305</f>
        <v>PAT0190</v>
      </c>
      <c r="C305" t="str">
        <f>'Claims Data'!C305</f>
        <v>PRV0031</v>
      </c>
      <c r="D305" s="1">
        <f>'Claims Data'!D305</f>
        <v>45534</v>
      </c>
      <c r="E305">
        <f>'Claims Data'!H305</f>
        <v>2.1</v>
      </c>
      <c r="F305">
        <f>'Claims Data'!J305</f>
        <v>154.96</v>
      </c>
      <c r="G305">
        <f>'Claims Data'!M305</f>
        <v>0</v>
      </c>
      <c r="H305" t="b">
        <f>'Claims Data'!L305</f>
        <v>0</v>
      </c>
      <c r="I305">
        <f t="shared" si="8"/>
        <v>0</v>
      </c>
      <c r="J305" t="str">
        <f t="shared" si="9"/>
        <v>Low Risk</v>
      </c>
    </row>
    <row r="306" spans="1:10" x14ac:dyDescent="0.2">
      <c r="A306" t="str">
        <f>'Claims Data'!A306</f>
        <v>CLM00305</v>
      </c>
      <c r="B306" t="str">
        <f>'Claims Data'!B306</f>
        <v>PAT0135</v>
      </c>
      <c r="C306" t="str">
        <f>'Claims Data'!C306</f>
        <v>PRV0017</v>
      </c>
      <c r="D306" s="1">
        <f>'Claims Data'!D306</f>
        <v>45459</v>
      </c>
      <c r="E306">
        <f>'Claims Data'!H306</f>
        <v>6.8</v>
      </c>
      <c r="F306">
        <f>'Claims Data'!J306</f>
        <v>541.19000000000005</v>
      </c>
      <c r="G306">
        <f>'Claims Data'!M306</f>
        <v>0</v>
      </c>
      <c r="H306" t="b">
        <f>'Claims Data'!L306</f>
        <v>0</v>
      </c>
      <c r="I306">
        <f t="shared" si="8"/>
        <v>0</v>
      </c>
      <c r="J306" t="str">
        <f t="shared" si="9"/>
        <v>Low Risk</v>
      </c>
    </row>
    <row r="307" spans="1:10" x14ac:dyDescent="0.2">
      <c r="A307" t="str">
        <f>'Claims Data'!A307</f>
        <v>CLM00306</v>
      </c>
      <c r="B307" t="str">
        <f>'Claims Data'!B307</f>
        <v>PAT0246</v>
      </c>
      <c r="C307" t="str">
        <f>'Claims Data'!C307</f>
        <v>PRV0028</v>
      </c>
      <c r="D307" s="1">
        <f>'Claims Data'!D307</f>
        <v>45651</v>
      </c>
      <c r="E307">
        <f>'Claims Data'!H307</f>
        <v>5.0999999999999996</v>
      </c>
      <c r="F307">
        <f>'Claims Data'!J307</f>
        <v>201.24</v>
      </c>
      <c r="G307">
        <f>'Claims Data'!M307</f>
        <v>0</v>
      </c>
      <c r="H307" t="b">
        <f>'Claims Data'!L307</f>
        <v>0</v>
      </c>
      <c r="I307">
        <f t="shared" si="8"/>
        <v>0</v>
      </c>
      <c r="J307" t="str">
        <f t="shared" si="9"/>
        <v>Low Risk</v>
      </c>
    </row>
    <row r="308" spans="1:10" x14ac:dyDescent="0.2">
      <c r="A308" t="str">
        <f>'Claims Data'!A308</f>
        <v>CLM00307</v>
      </c>
      <c r="B308" t="str">
        <f>'Claims Data'!B308</f>
        <v>PAT0179</v>
      </c>
      <c r="C308" t="str">
        <f>'Claims Data'!C308</f>
        <v>PRV0008</v>
      </c>
      <c r="D308" s="1">
        <f>'Claims Data'!D308</f>
        <v>45531</v>
      </c>
      <c r="E308">
        <f>'Claims Data'!H308</f>
        <v>6.9</v>
      </c>
      <c r="F308">
        <f>'Claims Data'!J308</f>
        <v>283.17</v>
      </c>
      <c r="G308">
        <f>'Claims Data'!M308</f>
        <v>0</v>
      </c>
      <c r="H308" t="b">
        <f>'Claims Data'!L308</f>
        <v>0</v>
      </c>
      <c r="I308">
        <f t="shared" si="8"/>
        <v>0</v>
      </c>
      <c r="J308" t="str">
        <f t="shared" si="9"/>
        <v>Low Risk</v>
      </c>
    </row>
    <row r="309" spans="1:10" x14ac:dyDescent="0.2">
      <c r="A309" t="str">
        <f>'Claims Data'!A309</f>
        <v>CLM00308</v>
      </c>
      <c r="B309" t="str">
        <f>'Claims Data'!B309</f>
        <v>PAT0035</v>
      </c>
      <c r="C309" t="str">
        <f>'Claims Data'!C309</f>
        <v>PRV0004</v>
      </c>
      <c r="D309" s="1">
        <f>'Claims Data'!D309</f>
        <v>45373</v>
      </c>
      <c r="E309">
        <f>'Claims Data'!H309</f>
        <v>4.2</v>
      </c>
      <c r="F309">
        <f>'Claims Data'!J309</f>
        <v>207.32</v>
      </c>
      <c r="G309">
        <f>'Claims Data'!M309</f>
        <v>0</v>
      </c>
      <c r="H309" t="b">
        <f>'Claims Data'!L309</f>
        <v>0</v>
      </c>
      <c r="I309">
        <f t="shared" si="8"/>
        <v>0</v>
      </c>
      <c r="J309" t="str">
        <f t="shared" si="9"/>
        <v>Low Risk</v>
      </c>
    </row>
    <row r="310" spans="1:10" x14ac:dyDescent="0.2">
      <c r="A310" t="str">
        <f>'Claims Data'!A310</f>
        <v>CLM00309</v>
      </c>
      <c r="B310" t="str">
        <f>'Claims Data'!B310</f>
        <v>PAT0023</v>
      </c>
      <c r="C310" t="str">
        <f>'Claims Data'!C310</f>
        <v>PRV0011</v>
      </c>
      <c r="D310" s="1">
        <f>'Claims Data'!D310</f>
        <v>45533</v>
      </c>
      <c r="E310">
        <f>'Claims Data'!H310</f>
        <v>7.9</v>
      </c>
      <c r="F310">
        <f>'Claims Data'!J310</f>
        <v>304.56</v>
      </c>
      <c r="G310">
        <f>'Claims Data'!M310</f>
        <v>0</v>
      </c>
      <c r="H310" t="b">
        <f>'Claims Data'!L310</f>
        <v>0</v>
      </c>
      <c r="I310">
        <f t="shared" si="8"/>
        <v>0</v>
      </c>
      <c r="J310" t="str">
        <f t="shared" si="9"/>
        <v>Low Risk</v>
      </c>
    </row>
    <row r="311" spans="1:10" x14ac:dyDescent="0.2">
      <c r="A311" t="str">
        <f>'Claims Data'!A311</f>
        <v>CLM00310</v>
      </c>
      <c r="B311" t="str">
        <f>'Claims Data'!B311</f>
        <v>PAT0177</v>
      </c>
      <c r="C311" t="str">
        <f>'Claims Data'!C311</f>
        <v>PRV0047</v>
      </c>
      <c r="D311" s="1">
        <f>'Claims Data'!D311</f>
        <v>45620</v>
      </c>
      <c r="E311">
        <f>'Claims Data'!H311</f>
        <v>5.9</v>
      </c>
      <c r="F311">
        <f>'Claims Data'!J311</f>
        <v>451.31</v>
      </c>
      <c r="G311">
        <f>'Claims Data'!M311</f>
        <v>0</v>
      </c>
      <c r="H311" t="b">
        <f>'Claims Data'!L311</f>
        <v>0</v>
      </c>
      <c r="I311">
        <f t="shared" si="8"/>
        <v>0</v>
      </c>
      <c r="J311" t="str">
        <f t="shared" si="9"/>
        <v>Low Risk</v>
      </c>
    </row>
    <row r="312" spans="1:10" x14ac:dyDescent="0.2">
      <c r="A312" t="str">
        <f>'Claims Data'!A312</f>
        <v>CLM00311</v>
      </c>
      <c r="B312" t="str">
        <f>'Claims Data'!B312</f>
        <v>PAT0037</v>
      </c>
      <c r="C312" t="str">
        <f>'Claims Data'!C312</f>
        <v>PRV0029</v>
      </c>
      <c r="D312" s="1">
        <f>'Claims Data'!D312</f>
        <v>45281</v>
      </c>
      <c r="E312">
        <f>'Claims Data'!H312</f>
        <v>4.4000000000000004</v>
      </c>
      <c r="F312">
        <f>'Claims Data'!J312</f>
        <v>209.57</v>
      </c>
      <c r="G312">
        <f>'Claims Data'!M312</f>
        <v>0</v>
      </c>
      <c r="H312" t="b">
        <f>'Claims Data'!L312</f>
        <v>0</v>
      </c>
      <c r="I312">
        <f t="shared" si="8"/>
        <v>0</v>
      </c>
      <c r="J312" t="str">
        <f t="shared" si="9"/>
        <v>Low Risk</v>
      </c>
    </row>
    <row r="313" spans="1:10" x14ac:dyDescent="0.2">
      <c r="A313" t="str">
        <f>'Claims Data'!A313</f>
        <v>CLM00312</v>
      </c>
      <c r="B313" t="str">
        <f>'Claims Data'!B313</f>
        <v>PAT0074</v>
      </c>
      <c r="C313" t="str">
        <f>'Claims Data'!C313</f>
        <v>PRV0025</v>
      </c>
      <c r="D313" s="1">
        <f>'Claims Data'!D313</f>
        <v>45029</v>
      </c>
      <c r="E313">
        <f>'Claims Data'!H313</f>
        <v>5.8</v>
      </c>
      <c r="F313">
        <f>'Claims Data'!J313</f>
        <v>389.59</v>
      </c>
      <c r="G313">
        <f>'Claims Data'!M313</f>
        <v>0</v>
      </c>
      <c r="H313" t="b">
        <f>'Claims Data'!L313</f>
        <v>0</v>
      </c>
      <c r="I313">
        <f t="shared" si="8"/>
        <v>0</v>
      </c>
      <c r="J313" t="str">
        <f t="shared" si="9"/>
        <v>Low Risk</v>
      </c>
    </row>
    <row r="314" spans="1:10" x14ac:dyDescent="0.2">
      <c r="A314" t="str">
        <f>'Claims Data'!A314</f>
        <v>CLM00313</v>
      </c>
      <c r="B314" t="str">
        <f>'Claims Data'!B314</f>
        <v>PAT0183</v>
      </c>
      <c r="C314" t="str">
        <f>'Claims Data'!C314</f>
        <v>PRV0049</v>
      </c>
      <c r="D314" s="1">
        <f>'Claims Data'!D314</f>
        <v>45216</v>
      </c>
      <c r="E314">
        <f>'Claims Data'!H314</f>
        <v>7.1</v>
      </c>
      <c r="F314">
        <f>'Claims Data'!J314</f>
        <v>452.23</v>
      </c>
      <c r="G314">
        <f>'Claims Data'!M314</f>
        <v>0</v>
      </c>
      <c r="H314" t="b">
        <f>'Claims Data'!L314</f>
        <v>0</v>
      </c>
      <c r="I314">
        <f t="shared" si="8"/>
        <v>0</v>
      </c>
      <c r="J314" t="str">
        <f t="shared" si="9"/>
        <v>Low Risk</v>
      </c>
    </row>
    <row r="315" spans="1:10" x14ac:dyDescent="0.2">
      <c r="A315" t="str">
        <f>'Claims Data'!A315</f>
        <v>CLM00314</v>
      </c>
      <c r="B315" t="str">
        <f>'Claims Data'!B315</f>
        <v>PAT0159</v>
      </c>
      <c r="C315" t="str">
        <f>'Claims Data'!C315</f>
        <v>PRV0041</v>
      </c>
      <c r="D315" s="1">
        <f>'Claims Data'!D315</f>
        <v>44962</v>
      </c>
      <c r="E315">
        <f>'Claims Data'!H315</f>
        <v>7.4</v>
      </c>
      <c r="F315">
        <f>'Claims Data'!J315</f>
        <v>593.1</v>
      </c>
      <c r="G315">
        <f>'Claims Data'!M315</f>
        <v>0</v>
      </c>
      <c r="H315" t="b">
        <f>'Claims Data'!L315</f>
        <v>0</v>
      </c>
      <c r="I315">
        <f t="shared" si="8"/>
        <v>0</v>
      </c>
      <c r="J315" t="str">
        <f t="shared" si="9"/>
        <v>Low Risk</v>
      </c>
    </row>
    <row r="316" spans="1:10" x14ac:dyDescent="0.2">
      <c r="A316" t="str">
        <f>'Claims Data'!A316</f>
        <v>CLM00315</v>
      </c>
      <c r="B316" t="str">
        <f>'Claims Data'!B316</f>
        <v>PAT0247</v>
      </c>
      <c r="C316" t="str">
        <f>'Claims Data'!C316</f>
        <v>PRV0020</v>
      </c>
      <c r="D316" s="1">
        <f>'Claims Data'!D316</f>
        <v>45343</v>
      </c>
      <c r="E316">
        <f>'Claims Data'!H316</f>
        <v>7.4</v>
      </c>
      <c r="F316">
        <f>'Claims Data'!J316</f>
        <v>492.38</v>
      </c>
      <c r="G316" t="str">
        <f>'Claims Data'!M316</f>
        <v>duplicate_claim</v>
      </c>
      <c r="H316" t="b">
        <f>'Claims Data'!L316</f>
        <v>1</v>
      </c>
      <c r="I316">
        <f t="shared" si="8"/>
        <v>10</v>
      </c>
      <c r="J316" t="str">
        <f t="shared" si="9"/>
        <v>Low Risk</v>
      </c>
    </row>
    <row r="317" spans="1:10" x14ac:dyDescent="0.2">
      <c r="A317" t="str">
        <f>'Claims Data'!A317</f>
        <v>CLM00316</v>
      </c>
      <c r="B317" t="str">
        <f>'Claims Data'!B317</f>
        <v>PAT0005</v>
      </c>
      <c r="C317" t="str">
        <f>'Claims Data'!C317</f>
        <v>PRV0021</v>
      </c>
      <c r="D317" s="1">
        <f>'Claims Data'!D317</f>
        <v>45064</v>
      </c>
      <c r="E317">
        <f>'Claims Data'!H317</f>
        <v>3.6</v>
      </c>
      <c r="F317">
        <f>'Claims Data'!J317</f>
        <v>289.62</v>
      </c>
      <c r="G317">
        <f>'Claims Data'!M317</f>
        <v>0</v>
      </c>
      <c r="H317" t="b">
        <f>'Claims Data'!L317</f>
        <v>0</v>
      </c>
      <c r="I317">
        <f t="shared" si="8"/>
        <v>0</v>
      </c>
      <c r="J317" t="str">
        <f t="shared" si="9"/>
        <v>Low Risk</v>
      </c>
    </row>
    <row r="318" spans="1:10" x14ac:dyDescent="0.2">
      <c r="A318" t="str">
        <f>'Claims Data'!A318</f>
        <v>CLM00317</v>
      </c>
      <c r="B318" t="str">
        <f>'Claims Data'!B318</f>
        <v>PAT0178</v>
      </c>
      <c r="C318" t="str">
        <f>'Claims Data'!C318</f>
        <v>PRV0016</v>
      </c>
      <c r="D318" s="1">
        <f>'Claims Data'!D318</f>
        <v>45654</v>
      </c>
      <c r="E318">
        <f>'Claims Data'!H318</f>
        <v>7.4</v>
      </c>
      <c r="F318">
        <f>'Claims Data'!J318</f>
        <v>435.2</v>
      </c>
      <c r="G318">
        <f>'Claims Data'!M318</f>
        <v>0</v>
      </c>
      <c r="H318" t="b">
        <f>'Claims Data'!L318</f>
        <v>0</v>
      </c>
      <c r="I318">
        <f t="shared" si="8"/>
        <v>0</v>
      </c>
      <c r="J318" t="str">
        <f t="shared" si="9"/>
        <v>Low Risk</v>
      </c>
    </row>
    <row r="319" spans="1:10" x14ac:dyDescent="0.2">
      <c r="A319" t="str">
        <f>'Claims Data'!A319</f>
        <v>CLM00318</v>
      </c>
      <c r="B319" t="str">
        <f>'Claims Data'!B319</f>
        <v>PAT0163</v>
      </c>
      <c r="C319" t="str">
        <f>'Claims Data'!C319</f>
        <v>PRV0052</v>
      </c>
      <c r="D319" s="1">
        <f>'Claims Data'!D319</f>
        <v>45382</v>
      </c>
      <c r="E319">
        <f>'Claims Data'!H319</f>
        <v>7.6</v>
      </c>
      <c r="F319">
        <f>'Claims Data'!J319</f>
        <v>333.41</v>
      </c>
      <c r="G319">
        <f>'Claims Data'!M319</f>
        <v>0</v>
      </c>
      <c r="H319" t="b">
        <f>'Claims Data'!L319</f>
        <v>0</v>
      </c>
      <c r="I319">
        <f t="shared" si="8"/>
        <v>0</v>
      </c>
      <c r="J319" t="str">
        <f t="shared" si="9"/>
        <v>Low Risk</v>
      </c>
    </row>
    <row r="320" spans="1:10" x14ac:dyDescent="0.2">
      <c r="A320" t="str">
        <f>'Claims Data'!A320</f>
        <v>CLM00319</v>
      </c>
      <c r="B320" t="str">
        <f>'Claims Data'!B320</f>
        <v>PAT0295</v>
      </c>
      <c r="C320" t="str">
        <f>'Claims Data'!C320</f>
        <v>PRV0045</v>
      </c>
      <c r="D320" s="1">
        <f>'Claims Data'!D320</f>
        <v>45365</v>
      </c>
      <c r="E320">
        <f>'Claims Data'!H320</f>
        <v>19.5</v>
      </c>
      <c r="F320">
        <f>'Claims Data'!J320</f>
        <v>1321.32</v>
      </c>
      <c r="G320" t="str">
        <f>'Claims Data'!M320</f>
        <v>inflated_hours</v>
      </c>
      <c r="H320" t="b">
        <f>'Claims Data'!L320</f>
        <v>1</v>
      </c>
      <c r="I320">
        <f t="shared" si="8"/>
        <v>50</v>
      </c>
      <c r="J320" t="str">
        <f t="shared" si="9"/>
        <v>Medium Risk</v>
      </c>
    </row>
    <row r="321" spans="1:10" x14ac:dyDescent="0.2">
      <c r="A321" t="str">
        <f>'Claims Data'!A321</f>
        <v>CLM00320</v>
      </c>
      <c r="B321" t="str">
        <f>'Claims Data'!B321</f>
        <v>PAT0206</v>
      </c>
      <c r="C321" t="str">
        <f>'Claims Data'!C321</f>
        <v>PRV0013</v>
      </c>
      <c r="D321" s="1">
        <f>'Claims Data'!D321</f>
        <v>45198</v>
      </c>
      <c r="E321">
        <f>'Claims Data'!H321</f>
        <v>3.8</v>
      </c>
      <c r="F321">
        <f>'Claims Data'!J321</f>
        <v>223.58</v>
      </c>
      <c r="G321">
        <f>'Claims Data'!M321</f>
        <v>0</v>
      </c>
      <c r="H321" t="b">
        <f>'Claims Data'!L321</f>
        <v>0</v>
      </c>
      <c r="I321">
        <f t="shared" si="8"/>
        <v>0</v>
      </c>
      <c r="J321" t="str">
        <f t="shared" si="9"/>
        <v>Low Risk</v>
      </c>
    </row>
    <row r="322" spans="1:10" x14ac:dyDescent="0.2">
      <c r="A322" t="str">
        <f>'Claims Data'!A322</f>
        <v>CLM00321</v>
      </c>
      <c r="B322" t="str">
        <f>'Claims Data'!B322</f>
        <v>PAT0037</v>
      </c>
      <c r="C322" t="str">
        <f>'Claims Data'!C322</f>
        <v>PRV0008</v>
      </c>
      <c r="D322" s="1">
        <f>'Claims Data'!D322</f>
        <v>45040</v>
      </c>
      <c r="E322">
        <f>'Claims Data'!H322</f>
        <v>6.1</v>
      </c>
      <c r="F322">
        <f>'Claims Data'!J322</f>
        <v>350.35</v>
      </c>
      <c r="G322">
        <f>'Claims Data'!M322</f>
        <v>0</v>
      </c>
      <c r="H322" t="b">
        <f>'Claims Data'!L322</f>
        <v>0</v>
      </c>
      <c r="I322">
        <f t="shared" si="8"/>
        <v>0</v>
      </c>
      <c r="J322" t="str">
        <f t="shared" si="9"/>
        <v>Low Risk</v>
      </c>
    </row>
    <row r="323" spans="1:10" x14ac:dyDescent="0.2">
      <c r="A323" t="str">
        <f>'Claims Data'!A323</f>
        <v>CLM00322</v>
      </c>
      <c r="B323" t="str">
        <f>'Claims Data'!B323</f>
        <v>PAT0252</v>
      </c>
      <c r="C323" t="str">
        <f>'Claims Data'!C323</f>
        <v>PRV0017</v>
      </c>
      <c r="D323" s="1">
        <f>'Claims Data'!D323</f>
        <v>45501</v>
      </c>
      <c r="E323">
        <f>'Claims Data'!H323</f>
        <v>6.7</v>
      </c>
      <c r="F323">
        <f>'Claims Data'!J323</f>
        <v>444.6</v>
      </c>
      <c r="G323">
        <f>'Claims Data'!M323</f>
        <v>0</v>
      </c>
      <c r="H323" t="b">
        <f>'Claims Data'!L323</f>
        <v>0</v>
      </c>
      <c r="I323">
        <f t="shared" ref="I323:I386" si="10">IF(E323&gt;16,40,0)+IF(MOD(F323,250)=0,30,0)+IF(H323=TRUE,10,0)</f>
        <v>0</v>
      </c>
      <c r="J323" t="str">
        <f t="shared" ref="J323:J386" si="11">IF(I323&gt;=70,"High Risk",IF(I323&gt;=30,"Medium Risk","Low Risk"))</f>
        <v>Low Risk</v>
      </c>
    </row>
    <row r="324" spans="1:10" x14ac:dyDescent="0.2">
      <c r="A324" t="str">
        <f>'Claims Data'!A324</f>
        <v>CLM00323</v>
      </c>
      <c r="B324" t="str">
        <f>'Claims Data'!B324</f>
        <v>PAT0200</v>
      </c>
      <c r="C324" t="str">
        <f>'Claims Data'!C324</f>
        <v>PRV0040</v>
      </c>
      <c r="D324" s="1">
        <f>'Claims Data'!D324</f>
        <v>45460</v>
      </c>
      <c r="E324">
        <f>'Claims Data'!H324</f>
        <v>2.2999999999999998</v>
      </c>
      <c r="F324">
        <f>'Claims Data'!J324</f>
        <v>117.82</v>
      </c>
      <c r="G324">
        <f>'Claims Data'!M324</f>
        <v>0</v>
      </c>
      <c r="H324" t="b">
        <f>'Claims Data'!L324</f>
        <v>0</v>
      </c>
      <c r="I324">
        <f t="shared" si="10"/>
        <v>0</v>
      </c>
      <c r="J324" t="str">
        <f t="shared" si="11"/>
        <v>Low Risk</v>
      </c>
    </row>
    <row r="325" spans="1:10" x14ac:dyDescent="0.2">
      <c r="A325" t="str">
        <f>'Claims Data'!A325</f>
        <v>CLM00324</v>
      </c>
      <c r="B325" t="str">
        <f>'Claims Data'!B325</f>
        <v>PAT0231</v>
      </c>
      <c r="C325" t="str">
        <f>'Claims Data'!C325</f>
        <v>PRV0030</v>
      </c>
      <c r="D325" s="1">
        <f>'Claims Data'!D325</f>
        <v>45270</v>
      </c>
      <c r="E325">
        <f>'Claims Data'!H325</f>
        <v>5.6</v>
      </c>
      <c r="F325">
        <f>'Claims Data'!J325</f>
        <v>346.26</v>
      </c>
      <c r="G325">
        <f>'Claims Data'!M325</f>
        <v>0</v>
      </c>
      <c r="H325" t="b">
        <f>'Claims Data'!L325</f>
        <v>0</v>
      </c>
      <c r="I325">
        <f t="shared" si="10"/>
        <v>0</v>
      </c>
      <c r="J325" t="str">
        <f t="shared" si="11"/>
        <v>Low Risk</v>
      </c>
    </row>
    <row r="326" spans="1:10" x14ac:dyDescent="0.2">
      <c r="A326" t="str">
        <f>'Claims Data'!A326</f>
        <v>CLM00325</v>
      </c>
      <c r="B326" t="str">
        <f>'Claims Data'!B326</f>
        <v>PAT0202</v>
      </c>
      <c r="C326" t="str">
        <f>'Claims Data'!C326</f>
        <v>PRV0001</v>
      </c>
      <c r="D326" s="1">
        <f>'Claims Data'!D326</f>
        <v>45578</v>
      </c>
      <c r="E326">
        <f>'Claims Data'!H326</f>
        <v>7.8</v>
      </c>
      <c r="F326">
        <f>'Claims Data'!J326</f>
        <v>347.74</v>
      </c>
      <c r="G326">
        <f>'Claims Data'!M326</f>
        <v>0</v>
      </c>
      <c r="H326" t="b">
        <f>'Claims Data'!L326</f>
        <v>0</v>
      </c>
      <c r="I326">
        <f t="shared" si="10"/>
        <v>0</v>
      </c>
      <c r="J326" t="str">
        <f t="shared" si="11"/>
        <v>Low Risk</v>
      </c>
    </row>
    <row r="327" spans="1:10" x14ac:dyDescent="0.2">
      <c r="A327" t="str">
        <f>'Claims Data'!A327</f>
        <v>CLM00326</v>
      </c>
      <c r="B327" t="str">
        <f>'Claims Data'!B327</f>
        <v>PAT0074</v>
      </c>
      <c r="C327" t="str">
        <f>'Claims Data'!C327</f>
        <v>PRV0056</v>
      </c>
      <c r="D327" s="1">
        <f>'Claims Data'!D327</f>
        <v>45054</v>
      </c>
      <c r="E327">
        <f>'Claims Data'!H327</f>
        <v>6.7</v>
      </c>
      <c r="F327">
        <f>'Claims Data'!J327</f>
        <v>348.62</v>
      </c>
      <c r="G327">
        <f>'Claims Data'!M327</f>
        <v>0</v>
      </c>
      <c r="H327" t="b">
        <f>'Claims Data'!L327</f>
        <v>0</v>
      </c>
      <c r="I327">
        <f t="shared" si="10"/>
        <v>0</v>
      </c>
      <c r="J327" t="str">
        <f t="shared" si="11"/>
        <v>Low Risk</v>
      </c>
    </row>
    <row r="328" spans="1:10" x14ac:dyDescent="0.2">
      <c r="A328" t="str">
        <f>'Claims Data'!A328</f>
        <v>CLM00327</v>
      </c>
      <c r="B328" t="str">
        <f>'Claims Data'!B328</f>
        <v>PAT0203</v>
      </c>
      <c r="C328" t="str">
        <f>'Claims Data'!C328</f>
        <v>PRV0027</v>
      </c>
      <c r="D328" s="1">
        <f>'Claims Data'!D328</f>
        <v>45365</v>
      </c>
      <c r="E328">
        <f>'Claims Data'!H328</f>
        <v>5.3</v>
      </c>
      <c r="F328">
        <f>'Claims Data'!J328</f>
        <v>251.89</v>
      </c>
      <c r="G328">
        <f>'Claims Data'!M328</f>
        <v>0</v>
      </c>
      <c r="H328" t="b">
        <f>'Claims Data'!L328</f>
        <v>0</v>
      </c>
      <c r="I328">
        <f t="shared" si="10"/>
        <v>0</v>
      </c>
      <c r="J328" t="str">
        <f t="shared" si="11"/>
        <v>Low Risk</v>
      </c>
    </row>
    <row r="329" spans="1:10" x14ac:dyDescent="0.2">
      <c r="A329" t="str">
        <f>'Claims Data'!A329</f>
        <v>CLM00328</v>
      </c>
      <c r="B329" t="str">
        <f>'Claims Data'!B329</f>
        <v>PAT0266</v>
      </c>
      <c r="C329" t="str">
        <f>'Claims Data'!C329</f>
        <v>PRV0019</v>
      </c>
      <c r="D329" s="1">
        <f>'Claims Data'!D329</f>
        <v>44974</v>
      </c>
      <c r="E329">
        <f>'Claims Data'!H329</f>
        <v>2.5</v>
      </c>
      <c r="F329">
        <f>'Claims Data'!J329</f>
        <v>155.29</v>
      </c>
      <c r="G329">
        <f>'Claims Data'!M329</f>
        <v>0</v>
      </c>
      <c r="H329" t="b">
        <f>'Claims Data'!L329</f>
        <v>0</v>
      </c>
      <c r="I329">
        <f t="shared" si="10"/>
        <v>0</v>
      </c>
      <c r="J329" t="str">
        <f t="shared" si="11"/>
        <v>Low Risk</v>
      </c>
    </row>
    <row r="330" spans="1:10" x14ac:dyDescent="0.2">
      <c r="A330" t="str">
        <f>'Claims Data'!A330</f>
        <v>CLM00329</v>
      </c>
      <c r="B330" t="str">
        <f>'Claims Data'!B330</f>
        <v>PAT0278</v>
      </c>
      <c r="C330" t="str">
        <f>'Claims Data'!C330</f>
        <v>PRV0040</v>
      </c>
      <c r="D330" s="1">
        <f>'Claims Data'!D330</f>
        <v>45585</v>
      </c>
      <c r="E330">
        <f>'Claims Data'!H330</f>
        <v>2.5</v>
      </c>
      <c r="F330">
        <f>'Claims Data'!J330</f>
        <v>85.63</v>
      </c>
      <c r="G330">
        <f>'Claims Data'!M330</f>
        <v>0</v>
      </c>
      <c r="H330" t="b">
        <f>'Claims Data'!L330</f>
        <v>0</v>
      </c>
      <c r="I330">
        <f t="shared" si="10"/>
        <v>0</v>
      </c>
      <c r="J330" t="str">
        <f t="shared" si="11"/>
        <v>Low Risk</v>
      </c>
    </row>
    <row r="331" spans="1:10" x14ac:dyDescent="0.2">
      <c r="A331" t="str">
        <f>'Claims Data'!A331</f>
        <v>CLM00330</v>
      </c>
      <c r="B331" t="str">
        <f>'Claims Data'!B331</f>
        <v>PAT0292</v>
      </c>
      <c r="C331" t="str">
        <f>'Claims Data'!C331</f>
        <v>PRV0011</v>
      </c>
      <c r="D331" s="1">
        <f>'Claims Data'!D331</f>
        <v>45495</v>
      </c>
      <c r="E331">
        <f>'Claims Data'!H331</f>
        <v>6.4</v>
      </c>
      <c r="F331">
        <f>'Claims Data'!J331</f>
        <v>281.60000000000002</v>
      </c>
      <c r="G331">
        <f>'Claims Data'!M331</f>
        <v>0</v>
      </c>
      <c r="H331" t="b">
        <f>'Claims Data'!L331</f>
        <v>0</v>
      </c>
      <c r="I331">
        <f t="shared" si="10"/>
        <v>0</v>
      </c>
      <c r="J331" t="str">
        <f t="shared" si="11"/>
        <v>Low Risk</v>
      </c>
    </row>
    <row r="332" spans="1:10" x14ac:dyDescent="0.2">
      <c r="A332" t="str">
        <f>'Claims Data'!A332</f>
        <v>CLM00331</v>
      </c>
      <c r="B332" t="str">
        <f>'Claims Data'!B332</f>
        <v>PAT0023</v>
      </c>
      <c r="C332" t="str">
        <f>'Claims Data'!C332</f>
        <v>PRV0040</v>
      </c>
      <c r="D332" s="1">
        <f>'Claims Data'!D332</f>
        <v>45457</v>
      </c>
      <c r="E332">
        <f>'Claims Data'!H332</f>
        <v>2</v>
      </c>
      <c r="F332">
        <f>'Claims Data'!J332</f>
        <v>86.99</v>
      </c>
      <c r="G332">
        <f>'Claims Data'!M332</f>
        <v>0</v>
      </c>
      <c r="H332" t="b">
        <f>'Claims Data'!L332</f>
        <v>0</v>
      </c>
      <c r="I332">
        <f t="shared" si="10"/>
        <v>0</v>
      </c>
      <c r="J332" t="str">
        <f t="shared" si="11"/>
        <v>Low Risk</v>
      </c>
    </row>
    <row r="333" spans="1:10" x14ac:dyDescent="0.2">
      <c r="A333" t="str">
        <f>'Claims Data'!A333</f>
        <v>CLM00332</v>
      </c>
      <c r="B333" t="str">
        <f>'Claims Data'!B333</f>
        <v>PAT0068</v>
      </c>
      <c r="C333" t="str">
        <f>'Claims Data'!C333</f>
        <v>PRV0049</v>
      </c>
      <c r="D333" s="1">
        <f>'Claims Data'!D333</f>
        <v>45589</v>
      </c>
      <c r="E333">
        <f>'Claims Data'!H333</f>
        <v>2.6</v>
      </c>
      <c r="F333">
        <f>'Claims Data'!J333</f>
        <v>78.62</v>
      </c>
      <c r="G333">
        <f>'Claims Data'!M333</f>
        <v>0</v>
      </c>
      <c r="H333" t="b">
        <f>'Claims Data'!L333</f>
        <v>0</v>
      </c>
      <c r="I333">
        <f t="shared" si="10"/>
        <v>0</v>
      </c>
      <c r="J333" t="str">
        <f t="shared" si="11"/>
        <v>Low Risk</v>
      </c>
    </row>
    <row r="334" spans="1:10" x14ac:dyDescent="0.2">
      <c r="A334" t="str">
        <f>'Claims Data'!A334</f>
        <v>CLM00333</v>
      </c>
      <c r="B334" t="str">
        <f>'Claims Data'!B334</f>
        <v>PAT0086</v>
      </c>
      <c r="C334" t="str">
        <f>'Claims Data'!C334</f>
        <v>PRV0058</v>
      </c>
      <c r="D334" s="1">
        <f>'Claims Data'!D334</f>
        <v>45284</v>
      </c>
      <c r="E334">
        <f>'Claims Data'!H334</f>
        <v>5.3</v>
      </c>
      <c r="F334">
        <f>'Claims Data'!J334</f>
        <v>295.45999999999998</v>
      </c>
      <c r="G334">
        <f>'Claims Data'!M334</f>
        <v>0</v>
      </c>
      <c r="H334" t="b">
        <f>'Claims Data'!L334</f>
        <v>0</v>
      </c>
      <c r="I334">
        <f t="shared" si="10"/>
        <v>0</v>
      </c>
      <c r="J334" t="str">
        <f t="shared" si="11"/>
        <v>Low Risk</v>
      </c>
    </row>
    <row r="335" spans="1:10" x14ac:dyDescent="0.2">
      <c r="A335" t="str">
        <f>'Claims Data'!A335</f>
        <v>CLM00334</v>
      </c>
      <c r="B335" t="str">
        <f>'Claims Data'!B335</f>
        <v>PAT0240</v>
      </c>
      <c r="C335" t="str">
        <f>'Claims Data'!C335</f>
        <v>PRV0009</v>
      </c>
      <c r="D335" s="1">
        <f>'Claims Data'!D335</f>
        <v>45188</v>
      </c>
      <c r="E335">
        <f>'Claims Data'!H335</f>
        <v>2.5</v>
      </c>
      <c r="F335">
        <f>'Claims Data'!J335</f>
        <v>145.63</v>
      </c>
      <c r="G335">
        <f>'Claims Data'!M335</f>
        <v>0</v>
      </c>
      <c r="H335" t="b">
        <f>'Claims Data'!L335</f>
        <v>0</v>
      </c>
      <c r="I335">
        <f t="shared" si="10"/>
        <v>0</v>
      </c>
      <c r="J335" t="str">
        <f t="shared" si="11"/>
        <v>Low Risk</v>
      </c>
    </row>
    <row r="336" spans="1:10" x14ac:dyDescent="0.2">
      <c r="A336" t="str">
        <f>'Claims Data'!A336</f>
        <v>CLM00335</v>
      </c>
      <c r="B336" t="str">
        <f>'Claims Data'!B336</f>
        <v>PAT0235</v>
      </c>
      <c r="C336" t="str">
        <f>'Claims Data'!C336</f>
        <v>PRV0043</v>
      </c>
      <c r="D336" s="1">
        <f>'Claims Data'!D336</f>
        <v>45594</v>
      </c>
      <c r="E336">
        <f>'Claims Data'!H336</f>
        <v>7.2</v>
      </c>
      <c r="F336">
        <f>'Claims Data'!J336</f>
        <v>185.33</v>
      </c>
      <c r="G336">
        <f>'Claims Data'!M336</f>
        <v>0</v>
      </c>
      <c r="H336" t="b">
        <f>'Claims Data'!L336</f>
        <v>0</v>
      </c>
      <c r="I336">
        <f t="shared" si="10"/>
        <v>0</v>
      </c>
      <c r="J336" t="str">
        <f t="shared" si="11"/>
        <v>Low Risk</v>
      </c>
    </row>
    <row r="337" spans="1:10" x14ac:dyDescent="0.2">
      <c r="A337" t="str">
        <f>'Claims Data'!A337</f>
        <v>CLM00336</v>
      </c>
      <c r="B337" t="str">
        <f>'Claims Data'!B337</f>
        <v>PAT0112</v>
      </c>
      <c r="C337" t="str">
        <f>'Claims Data'!C337</f>
        <v>PRV0006</v>
      </c>
      <c r="D337" s="1">
        <f>'Claims Data'!D337</f>
        <v>45475</v>
      </c>
      <c r="E337">
        <f>'Claims Data'!H337</f>
        <v>6.7</v>
      </c>
      <c r="F337">
        <f>'Claims Data'!J337</f>
        <v>458.89</v>
      </c>
      <c r="G337" t="str">
        <f>'Claims Data'!M337</f>
        <v>duplicate_claim</v>
      </c>
      <c r="H337" t="b">
        <f>'Claims Data'!L337</f>
        <v>1</v>
      </c>
      <c r="I337">
        <f t="shared" si="10"/>
        <v>10</v>
      </c>
      <c r="J337" t="str">
        <f t="shared" si="11"/>
        <v>Low Risk</v>
      </c>
    </row>
    <row r="338" spans="1:10" x14ac:dyDescent="0.2">
      <c r="A338" t="str">
        <f>'Claims Data'!A338</f>
        <v>CLM00337</v>
      </c>
      <c r="B338" t="str">
        <f>'Claims Data'!B338</f>
        <v>PAT0009</v>
      </c>
      <c r="C338" t="str">
        <f>'Claims Data'!C338</f>
        <v>PRV0023</v>
      </c>
      <c r="D338" s="1">
        <f>'Claims Data'!D338</f>
        <v>45369</v>
      </c>
      <c r="E338">
        <f>'Claims Data'!H338</f>
        <v>5.4</v>
      </c>
      <c r="F338">
        <f>'Claims Data'!J338</f>
        <v>189.94</v>
      </c>
      <c r="G338">
        <f>'Claims Data'!M338</f>
        <v>0</v>
      </c>
      <c r="H338" t="b">
        <f>'Claims Data'!L338</f>
        <v>0</v>
      </c>
      <c r="I338">
        <f t="shared" si="10"/>
        <v>0</v>
      </c>
      <c r="J338" t="str">
        <f t="shared" si="11"/>
        <v>Low Risk</v>
      </c>
    </row>
    <row r="339" spans="1:10" x14ac:dyDescent="0.2">
      <c r="A339" t="str">
        <f>'Claims Data'!A339</f>
        <v>CLM00338</v>
      </c>
      <c r="B339" t="str">
        <f>'Claims Data'!B339</f>
        <v>PAT0012</v>
      </c>
      <c r="C339" t="str">
        <f>'Claims Data'!C339</f>
        <v>PRV0003</v>
      </c>
      <c r="D339" s="1">
        <f>'Claims Data'!D339</f>
        <v>45205</v>
      </c>
      <c r="E339">
        <f>'Claims Data'!H339</f>
        <v>2.8</v>
      </c>
      <c r="F339">
        <f>'Claims Data'!J339</f>
        <v>120.59</v>
      </c>
      <c r="G339">
        <f>'Claims Data'!M339</f>
        <v>0</v>
      </c>
      <c r="H339" t="b">
        <f>'Claims Data'!L339</f>
        <v>0</v>
      </c>
      <c r="I339">
        <f t="shared" si="10"/>
        <v>0</v>
      </c>
      <c r="J339" t="str">
        <f t="shared" si="11"/>
        <v>Low Risk</v>
      </c>
    </row>
    <row r="340" spans="1:10" x14ac:dyDescent="0.2">
      <c r="A340" t="str">
        <f>'Claims Data'!A340</f>
        <v>CLM00339</v>
      </c>
      <c r="B340" t="str">
        <f>'Claims Data'!B340</f>
        <v>PAT0126</v>
      </c>
      <c r="C340" t="str">
        <f>'Claims Data'!C340</f>
        <v>PRV0018</v>
      </c>
      <c r="D340" s="1">
        <f>'Claims Data'!D340</f>
        <v>45398</v>
      </c>
      <c r="E340">
        <f>'Claims Data'!H340</f>
        <v>23.3</v>
      </c>
      <c r="F340">
        <f>'Claims Data'!J340</f>
        <v>1190.1600000000001</v>
      </c>
      <c r="G340" t="str">
        <f>'Claims Data'!M340</f>
        <v>inflated_hours</v>
      </c>
      <c r="H340" t="b">
        <f>'Claims Data'!L340</f>
        <v>1</v>
      </c>
      <c r="I340">
        <f t="shared" si="10"/>
        <v>50</v>
      </c>
      <c r="J340" t="str">
        <f t="shared" si="11"/>
        <v>Medium Risk</v>
      </c>
    </row>
    <row r="341" spans="1:10" x14ac:dyDescent="0.2">
      <c r="A341" t="str">
        <f>'Claims Data'!A341</f>
        <v>CLM00340</v>
      </c>
      <c r="B341" t="str">
        <f>'Claims Data'!B341</f>
        <v>PAT0146</v>
      </c>
      <c r="C341" t="str">
        <f>'Claims Data'!C341</f>
        <v>PRV0018</v>
      </c>
      <c r="D341" s="1">
        <f>'Claims Data'!D341</f>
        <v>45226</v>
      </c>
      <c r="E341">
        <f>'Claims Data'!H341</f>
        <v>4.9000000000000004</v>
      </c>
      <c r="F341">
        <f>'Claims Data'!J341</f>
        <v>145.11000000000001</v>
      </c>
      <c r="G341">
        <f>'Claims Data'!M341</f>
        <v>0</v>
      </c>
      <c r="H341" t="b">
        <f>'Claims Data'!L341</f>
        <v>0</v>
      </c>
      <c r="I341">
        <f t="shared" si="10"/>
        <v>0</v>
      </c>
      <c r="J341" t="str">
        <f t="shared" si="11"/>
        <v>Low Risk</v>
      </c>
    </row>
    <row r="342" spans="1:10" x14ac:dyDescent="0.2">
      <c r="A342" t="str">
        <f>'Claims Data'!A342</f>
        <v>CLM00341</v>
      </c>
      <c r="B342" t="str">
        <f>'Claims Data'!B342</f>
        <v>PAT0173</v>
      </c>
      <c r="C342" t="str">
        <f>'Claims Data'!C342</f>
        <v>PRV0019</v>
      </c>
      <c r="D342" s="1">
        <f>'Claims Data'!D342</f>
        <v>45530</v>
      </c>
      <c r="E342">
        <f>'Claims Data'!H342</f>
        <v>6.3</v>
      </c>
      <c r="F342">
        <f>'Claims Data'!J342</f>
        <v>344.91</v>
      </c>
      <c r="G342">
        <f>'Claims Data'!M342</f>
        <v>0</v>
      </c>
      <c r="H342" t="b">
        <f>'Claims Data'!L342</f>
        <v>0</v>
      </c>
      <c r="I342">
        <f t="shared" si="10"/>
        <v>0</v>
      </c>
      <c r="J342" t="str">
        <f t="shared" si="11"/>
        <v>Low Risk</v>
      </c>
    </row>
    <row r="343" spans="1:10" x14ac:dyDescent="0.2">
      <c r="A343" t="str">
        <f>'Claims Data'!A343</f>
        <v>CLM00342</v>
      </c>
      <c r="B343" t="str">
        <f>'Claims Data'!B343</f>
        <v>PAT0094</v>
      </c>
      <c r="C343" t="str">
        <f>'Claims Data'!C343</f>
        <v>PRV0044</v>
      </c>
      <c r="D343" s="1">
        <f>'Claims Data'!D343</f>
        <v>45632</v>
      </c>
      <c r="E343">
        <f>'Claims Data'!H343</f>
        <v>4.7</v>
      </c>
      <c r="F343">
        <f>'Claims Data'!J343</f>
        <v>155.71</v>
      </c>
      <c r="G343">
        <f>'Claims Data'!M343</f>
        <v>0</v>
      </c>
      <c r="H343" t="b">
        <f>'Claims Data'!L343</f>
        <v>0</v>
      </c>
      <c r="I343">
        <f t="shared" si="10"/>
        <v>0</v>
      </c>
      <c r="J343" t="str">
        <f t="shared" si="11"/>
        <v>Low Risk</v>
      </c>
    </row>
    <row r="344" spans="1:10" x14ac:dyDescent="0.2">
      <c r="A344" t="str">
        <f>'Claims Data'!A344</f>
        <v>CLM00343</v>
      </c>
      <c r="B344" t="str">
        <f>'Claims Data'!B344</f>
        <v>PAT0162</v>
      </c>
      <c r="C344" t="str">
        <f>'Claims Data'!C344</f>
        <v>PRV0046</v>
      </c>
      <c r="D344" s="1">
        <f>'Claims Data'!D344</f>
        <v>45404</v>
      </c>
      <c r="E344">
        <f>'Claims Data'!H344</f>
        <v>4</v>
      </c>
      <c r="F344">
        <f>'Claims Data'!J344</f>
        <v>248.85</v>
      </c>
      <c r="G344">
        <f>'Claims Data'!M344</f>
        <v>0</v>
      </c>
      <c r="H344" t="b">
        <f>'Claims Data'!L344</f>
        <v>0</v>
      </c>
      <c r="I344">
        <f t="shared" si="10"/>
        <v>0</v>
      </c>
      <c r="J344" t="str">
        <f t="shared" si="11"/>
        <v>Low Risk</v>
      </c>
    </row>
    <row r="345" spans="1:10" x14ac:dyDescent="0.2">
      <c r="A345" t="str">
        <f>'Claims Data'!A345</f>
        <v>CLM00344</v>
      </c>
      <c r="B345" t="str">
        <f>'Claims Data'!B345</f>
        <v>PAT0159</v>
      </c>
      <c r="C345" t="str">
        <f>'Claims Data'!C345</f>
        <v>PRV0029</v>
      </c>
      <c r="D345" s="1">
        <f>'Claims Data'!D345</f>
        <v>45481</v>
      </c>
      <c r="E345">
        <f>'Claims Data'!H345</f>
        <v>4</v>
      </c>
      <c r="F345">
        <f>'Claims Data'!J345</f>
        <v>295.70999999999998</v>
      </c>
      <c r="G345">
        <f>'Claims Data'!M345</f>
        <v>0</v>
      </c>
      <c r="H345" t="b">
        <f>'Claims Data'!L345</f>
        <v>0</v>
      </c>
      <c r="I345">
        <f t="shared" si="10"/>
        <v>0</v>
      </c>
      <c r="J345" t="str">
        <f t="shared" si="11"/>
        <v>Low Risk</v>
      </c>
    </row>
    <row r="346" spans="1:10" x14ac:dyDescent="0.2">
      <c r="A346" t="str">
        <f>'Claims Data'!A346</f>
        <v>CLM00345</v>
      </c>
      <c r="B346" t="str">
        <f>'Claims Data'!B346</f>
        <v>PAT0289</v>
      </c>
      <c r="C346" t="str">
        <f>'Claims Data'!C346</f>
        <v>PRV0039</v>
      </c>
      <c r="D346" s="1">
        <f>'Claims Data'!D346</f>
        <v>45618</v>
      </c>
      <c r="E346">
        <f>'Claims Data'!H346</f>
        <v>3.8</v>
      </c>
      <c r="F346">
        <f>'Claims Data'!J346</f>
        <v>232.53</v>
      </c>
      <c r="G346">
        <f>'Claims Data'!M346</f>
        <v>0</v>
      </c>
      <c r="H346" t="b">
        <f>'Claims Data'!L346</f>
        <v>0</v>
      </c>
      <c r="I346">
        <f t="shared" si="10"/>
        <v>0</v>
      </c>
      <c r="J346" t="str">
        <f t="shared" si="11"/>
        <v>Low Risk</v>
      </c>
    </row>
    <row r="347" spans="1:10" x14ac:dyDescent="0.2">
      <c r="A347" t="str">
        <f>'Claims Data'!A347</f>
        <v>CLM00346</v>
      </c>
      <c r="B347" t="str">
        <f>'Claims Data'!B347</f>
        <v>PAT0134</v>
      </c>
      <c r="C347" t="str">
        <f>'Claims Data'!C347</f>
        <v>PRV0056</v>
      </c>
      <c r="D347" s="1">
        <f>'Claims Data'!D347</f>
        <v>45187</v>
      </c>
      <c r="E347">
        <f>'Claims Data'!H347</f>
        <v>28</v>
      </c>
      <c r="F347">
        <f>'Claims Data'!J347</f>
        <v>1000</v>
      </c>
      <c r="G347" t="str">
        <f>'Claims Data'!M347</f>
        <v>phantom_round_amount</v>
      </c>
      <c r="H347" t="b">
        <f>'Claims Data'!L347</f>
        <v>1</v>
      </c>
      <c r="I347">
        <f t="shared" si="10"/>
        <v>80</v>
      </c>
      <c r="J347" t="str">
        <f t="shared" si="11"/>
        <v>High Risk</v>
      </c>
    </row>
    <row r="348" spans="1:10" x14ac:dyDescent="0.2">
      <c r="A348" t="str">
        <f>'Claims Data'!A348</f>
        <v>CLM00347</v>
      </c>
      <c r="B348" t="str">
        <f>'Claims Data'!B348</f>
        <v>PAT0029</v>
      </c>
      <c r="C348" t="str">
        <f>'Claims Data'!C348</f>
        <v>PRV0038</v>
      </c>
      <c r="D348" s="1">
        <f>'Claims Data'!D348</f>
        <v>45015</v>
      </c>
      <c r="E348">
        <f>'Claims Data'!H348</f>
        <v>3.7</v>
      </c>
      <c r="F348">
        <f>'Claims Data'!J348</f>
        <v>246.78</v>
      </c>
      <c r="G348">
        <f>'Claims Data'!M348</f>
        <v>0</v>
      </c>
      <c r="H348" t="b">
        <f>'Claims Data'!L348</f>
        <v>0</v>
      </c>
      <c r="I348">
        <f t="shared" si="10"/>
        <v>0</v>
      </c>
      <c r="J348" t="str">
        <f t="shared" si="11"/>
        <v>Low Risk</v>
      </c>
    </row>
    <row r="349" spans="1:10" x14ac:dyDescent="0.2">
      <c r="A349" t="str">
        <f>'Claims Data'!A349</f>
        <v>CLM00348</v>
      </c>
      <c r="B349" t="str">
        <f>'Claims Data'!B349</f>
        <v>PAT0127</v>
      </c>
      <c r="C349" t="str">
        <f>'Claims Data'!C349</f>
        <v>PRV0049</v>
      </c>
      <c r="D349" s="1">
        <f>'Claims Data'!D349</f>
        <v>45645</v>
      </c>
      <c r="E349">
        <f>'Claims Data'!H349</f>
        <v>4</v>
      </c>
      <c r="F349">
        <f>'Claims Data'!J349</f>
        <v>167.27</v>
      </c>
      <c r="G349">
        <f>'Claims Data'!M349</f>
        <v>0</v>
      </c>
      <c r="H349" t="b">
        <f>'Claims Data'!L349</f>
        <v>0</v>
      </c>
      <c r="I349">
        <f t="shared" si="10"/>
        <v>0</v>
      </c>
      <c r="J349" t="str">
        <f t="shared" si="11"/>
        <v>Low Risk</v>
      </c>
    </row>
    <row r="350" spans="1:10" x14ac:dyDescent="0.2">
      <c r="A350" t="str">
        <f>'Claims Data'!A350</f>
        <v>CLM00349</v>
      </c>
      <c r="B350" t="str">
        <f>'Claims Data'!B350</f>
        <v>PAT0113</v>
      </c>
      <c r="C350" t="str">
        <f>'Claims Data'!C350</f>
        <v>PRV0047</v>
      </c>
      <c r="D350" s="1">
        <f>'Claims Data'!D350</f>
        <v>44930</v>
      </c>
      <c r="E350">
        <f>'Claims Data'!H350</f>
        <v>2.7</v>
      </c>
      <c r="F350">
        <f>'Claims Data'!J350</f>
        <v>158.84</v>
      </c>
      <c r="G350">
        <f>'Claims Data'!M350</f>
        <v>0</v>
      </c>
      <c r="H350" t="b">
        <f>'Claims Data'!L350</f>
        <v>0</v>
      </c>
      <c r="I350">
        <f t="shared" si="10"/>
        <v>0</v>
      </c>
      <c r="J350" t="str">
        <f t="shared" si="11"/>
        <v>Low Risk</v>
      </c>
    </row>
    <row r="351" spans="1:10" x14ac:dyDescent="0.2">
      <c r="A351" t="str">
        <f>'Claims Data'!A351</f>
        <v>CLM00350</v>
      </c>
      <c r="B351" t="str">
        <f>'Claims Data'!B351</f>
        <v>PAT0124</v>
      </c>
      <c r="C351" t="str">
        <f>'Claims Data'!C351</f>
        <v>PRV0057</v>
      </c>
      <c r="D351" s="1">
        <f>'Claims Data'!D351</f>
        <v>38759</v>
      </c>
      <c r="E351">
        <f>'Claims Data'!H351</f>
        <v>6.1</v>
      </c>
      <c r="F351">
        <f>'Claims Data'!J351</f>
        <v>353.84</v>
      </c>
      <c r="G351" t="str">
        <f>'Claims Data'!M351</f>
        <v>deceased_patient_billing</v>
      </c>
      <c r="H351" t="b">
        <f>'Claims Data'!L351</f>
        <v>1</v>
      </c>
      <c r="I351">
        <f t="shared" si="10"/>
        <v>10</v>
      </c>
      <c r="J351" t="str">
        <f t="shared" si="11"/>
        <v>Low Risk</v>
      </c>
    </row>
    <row r="352" spans="1:10" x14ac:dyDescent="0.2">
      <c r="A352" t="str">
        <f>'Claims Data'!A352</f>
        <v>CLM00351</v>
      </c>
      <c r="B352" t="str">
        <f>'Claims Data'!B352</f>
        <v>PAT0006</v>
      </c>
      <c r="C352" t="str">
        <f>'Claims Data'!C352</f>
        <v>PRV0043</v>
      </c>
      <c r="D352" s="1">
        <f>'Claims Data'!D352</f>
        <v>44976</v>
      </c>
      <c r="E352">
        <f>'Claims Data'!H352</f>
        <v>7.7</v>
      </c>
      <c r="F352">
        <f>'Claims Data'!J352</f>
        <v>289.36</v>
      </c>
      <c r="G352">
        <f>'Claims Data'!M352</f>
        <v>0</v>
      </c>
      <c r="H352" t="b">
        <f>'Claims Data'!L352</f>
        <v>0</v>
      </c>
      <c r="I352">
        <f t="shared" si="10"/>
        <v>0</v>
      </c>
      <c r="J352" t="str">
        <f t="shared" si="11"/>
        <v>Low Risk</v>
      </c>
    </row>
    <row r="353" spans="1:10" x14ac:dyDescent="0.2">
      <c r="A353" t="str">
        <f>'Claims Data'!A353</f>
        <v>CLM00352</v>
      </c>
      <c r="B353" t="str">
        <f>'Claims Data'!B353</f>
        <v>PAT0076</v>
      </c>
      <c r="C353" t="str">
        <f>'Claims Data'!C353</f>
        <v>PRV0044</v>
      </c>
      <c r="D353" s="1">
        <f>'Claims Data'!D353</f>
        <v>45312</v>
      </c>
      <c r="E353">
        <f>'Claims Data'!H353</f>
        <v>6.9</v>
      </c>
      <c r="F353">
        <f>'Claims Data'!J353</f>
        <v>501.9</v>
      </c>
      <c r="G353">
        <f>'Claims Data'!M353</f>
        <v>0</v>
      </c>
      <c r="H353" t="b">
        <f>'Claims Data'!L353</f>
        <v>0</v>
      </c>
      <c r="I353">
        <f t="shared" si="10"/>
        <v>0</v>
      </c>
      <c r="J353" t="str">
        <f t="shared" si="11"/>
        <v>Low Risk</v>
      </c>
    </row>
    <row r="354" spans="1:10" x14ac:dyDescent="0.2">
      <c r="A354" t="str">
        <f>'Claims Data'!A354</f>
        <v>CLM00353</v>
      </c>
      <c r="B354" t="str">
        <f>'Claims Data'!B354</f>
        <v>PAT0109</v>
      </c>
      <c r="C354" t="str">
        <f>'Claims Data'!C354</f>
        <v>PRV0033</v>
      </c>
      <c r="D354" s="1">
        <f>'Claims Data'!D354</f>
        <v>45327</v>
      </c>
      <c r="E354">
        <f>'Claims Data'!H354</f>
        <v>2.8</v>
      </c>
      <c r="F354">
        <f>'Claims Data'!J354</f>
        <v>120.88</v>
      </c>
      <c r="G354">
        <f>'Claims Data'!M354</f>
        <v>0</v>
      </c>
      <c r="H354" t="b">
        <f>'Claims Data'!L354</f>
        <v>0</v>
      </c>
      <c r="I354">
        <f t="shared" si="10"/>
        <v>0</v>
      </c>
      <c r="J354" t="str">
        <f t="shared" si="11"/>
        <v>Low Risk</v>
      </c>
    </row>
    <row r="355" spans="1:10" x14ac:dyDescent="0.2">
      <c r="A355" t="str">
        <f>'Claims Data'!A355</f>
        <v>CLM00354</v>
      </c>
      <c r="B355" t="str">
        <f>'Claims Data'!B355</f>
        <v>PAT0155</v>
      </c>
      <c r="C355" t="str">
        <f>'Claims Data'!C355</f>
        <v>PRV0015</v>
      </c>
      <c r="D355" s="1">
        <f>'Claims Data'!D355</f>
        <v>45618</v>
      </c>
      <c r="E355">
        <f>'Claims Data'!H355</f>
        <v>6.3</v>
      </c>
      <c r="F355">
        <f>'Claims Data'!J355</f>
        <v>455.77</v>
      </c>
      <c r="G355">
        <f>'Claims Data'!M355</f>
        <v>0</v>
      </c>
      <c r="H355" t="b">
        <f>'Claims Data'!L355</f>
        <v>0</v>
      </c>
      <c r="I355">
        <f t="shared" si="10"/>
        <v>0</v>
      </c>
      <c r="J355" t="str">
        <f t="shared" si="11"/>
        <v>Low Risk</v>
      </c>
    </row>
    <row r="356" spans="1:10" x14ac:dyDescent="0.2">
      <c r="A356" t="str">
        <f>'Claims Data'!A356</f>
        <v>CLM00355</v>
      </c>
      <c r="B356" t="str">
        <f>'Claims Data'!B356</f>
        <v>PAT0123</v>
      </c>
      <c r="C356" t="str">
        <f>'Claims Data'!C356</f>
        <v>PRV0036</v>
      </c>
      <c r="D356" s="1">
        <f>'Claims Data'!D356</f>
        <v>45027</v>
      </c>
      <c r="E356">
        <f>'Claims Data'!H356</f>
        <v>7.9</v>
      </c>
      <c r="F356">
        <f>'Claims Data'!J356</f>
        <v>424.66</v>
      </c>
      <c r="G356">
        <f>'Claims Data'!M356</f>
        <v>0</v>
      </c>
      <c r="H356" t="b">
        <f>'Claims Data'!L356</f>
        <v>0</v>
      </c>
      <c r="I356">
        <f t="shared" si="10"/>
        <v>0</v>
      </c>
      <c r="J356" t="str">
        <f t="shared" si="11"/>
        <v>Low Risk</v>
      </c>
    </row>
    <row r="357" spans="1:10" x14ac:dyDescent="0.2">
      <c r="A357" t="str">
        <f>'Claims Data'!A357</f>
        <v>CLM00356</v>
      </c>
      <c r="B357" t="str">
        <f>'Claims Data'!B357</f>
        <v>PAT0185</v>
      </c>
      <c r="C357" t="str">
        <f>'Claims Data'!C357</f>
        <v>PRV0020</v>
      </c>
      <c r="D357" s="1">
        <f>'Claims Data'!D357</f>
        <v>45519</v>
      </c>
      <c r="E357">
        <f>'Claims Data'!H357</f>
        <v>5.3</v>
      </c>
      <c r="F357">
        <f>'Claims Data'!J357</f>
        <v>383.95</v>
      </c>
      <c r="G357">
        <f>'Claims Data'!M357</f>
        <v>0</v>
      </c>
      <c r="H357" t="b">
        <f>'Claims Data'!L357</f>
        <v>0</v>
      </c>
      <c r="I357">
        <f t="shared" si="10"/>
        <v>0</v>
      </c>
      <c r="J357" t="str">
        <f t="shared" si="11"/>
        <v>Low Risk</v>
      </c>
    </row>
    <row r="358" spans="1:10" x14ac:dyDescent="0.2">
      <c r="A358" t="str">
        <f>'Claims Data'!A358</f>
        <v>CLM00357</v>
      </c>
      <c r="B358" t="str">
        <f>'Claims Data'!B358</f>
        <v>PAT0044</v>
      </c>
      <c r="C358" t="str">
        <f>'Claims Data'!C358</f>
        <v>PRV0015</v>
      </c>
      <c r="D358" s="1">
        <f>'Claims Data'!D358</f>
        <v>44976</v>
      </c>
      <c r="E358">
        <f>'Claims Data'!H358</f>
        <v>2.7</v>
      </c>
      <c r="F358">
        <f>'Claims Data'!J358</f>
        <v>107.71</v>
      </c>
      <c r="G358">
        <f>'Claims Data'!M358</f>
        <v>0</v>
      </c>
      <c r="H358" t="b">
        <f>'Claims Data'!L358</f>
        <v>0</v>
      </c>
      <c r="I358">
        <f t="shared" si="10"/>
        <v>0</v>
      </c>
      <c r="J358" t="str">
        <f t="shared" si="11"/>
        <v>Low Risk</v>
      </c>
    </row>
    <row r="359" spans="1:10" x14ac:dyDescent="0.2">
      <c r="A359" t="str">
        <f>'Claims Data'!A359</f>
        <v>CLM00358</v>
      </c>
      <c r="B359" t="str">
        <f>'Claims Data'!B359</f>
        <v>PAT0258</v>
      </c>
      <c r="C359" t="str">
        <f>'Claims Data'!C359</f>
        <v>PRV0036</v>
      </c>
      <c r="D359" s="1">
        <f>'Claims Data'!D359</f>
        <v>45288</v>
      </c>
      <c r="E359">
        <f>'Claims Data'!H359</f>
        <v>3</v>
      </c>
      <c r="F359">
        <f>'Claims Data'!J359</f>
        <v>185.28</v>
      </c>
      <c r="G359">
        <f>'Claims Data'!M359</f>
        <v>0</v>
      </c>
      <c r="H359" t="b">
        <f>'Claims Data'!L359</f>
        <v>0</v>
      </c>
      <c r="I359">
        <f t="shared" si="10"/>
        <v>0</v>
      </c>
      <c r="J359" t="str">
        <f t="shared" si="11"/>
        <v>Low Risk</v>
      </c>
    </row>
    <row r="360" spans="1:10" x14ac:dyDescent="0.2">
      <c r="A360" t="str">
        <f>'Claims Data'!A360</f>
        <v>CLM00359</v>
      </c>
      <c r="B360" t="str">
        <f>'Claims Data'!B360</f>
        <v>PAT0223</v>
      </c>
      <c r="C360" t="str">
        <f>'Claims Data'!C360</f>
        <v>PRV0025</v>
      </c>
      <c r="D360" s="1">
        <f>'Claims Data'!D360</f>
        <v>45368</v>
      </c>
      <c r="E360">
        <f>'Claims Data'!H360</f>
        <v>16.7</v>
      </c>
      <c r="F360">
        <f>'Claims Data'!J360</f>
        <v>750</v>
      </c>
      <c r="G360" t="str">
        <f>'Claims Data'!M360</f>
        <v>phantom_round_amount</v>
      </c>
      <c r="H360" t="b">
        <f>'Claims Data'!L360</f>
        <v>1</v>
      </c>
      <c r="I360">
        <f t="shared" si="10"/>
        <v>80</v>
      </c>
      <c r="J360" t="str">
        <f t="shared" si="11"/>
        <v>High Risk</v>
      </c>
    </row>
    <row r="361" spans="1:10" x14ac:dyDescent="0.2">
      <c r="A361" t="str">
        <f>'Claims Data'!A361</f>
        <v>CLM00360</v>
      </c>
      <c r="B361" t="str">
        <f>'Claims Data'!B361</f>
        <v>PAT0069</v>
      </c>
      <c r="C361" t="str">
        <f>'Claims Data'!C361</f>
        <v>PRV0044</v>
      </c>
      <c r="D361" s="1">
        <f>'Claims Data'!D361</f>
        <v>45148</v>
      </c>
      <c r="E361">
        <f>'Claims Data'!H361</f>
        <v>2.1</v>
      </c>
      <c r="F361">
        <f>'Claims Data'!J361</f>
        <v>85.1</v>
      </c>
      <c r="G361" t="str">
        <f>'Claims Data'!M361</f>
        <v>duplicate_claim</v>
      </c>
      <c r="H361" t="b">
        <f>'Claims Data'!L361</f>
        <v>1</v>
      </c>
      <c r="I361">
        <f t="shared" si="10"/>
        <v>10</v>
      </c>
      <c r="J361" t="str">
        <f t="shared" si="11"/>
        <v>Low Risk</v>
      </c>
    </row>
    <row r="362" spans="1:10" x14ac:dyDescent="0.2">
      <c r="A362" t="str">
        <f>'Claims Data'!A362</f>
        <v>CLM00361</v>
      </c>
      <c r="B362" t="str">
        <f>'Claims Data'!B362</f>
        <v>PAT0152</v>
      </c>
      <c r="C362" t="str">
        <f>'Claims Data'!C362</f>
        <v>PRV0005</v>
      </c>
      <c r="D362" s="1">
        <f>'Claims Data'!D362</f>
        <v>45223</v>
      </c>
      <c r="E362">
        <f>'Claims Data'!H362</f>
        <v>4.7</v>
      </c>
      <c r="F362">
        <f>'Claims Data'!J362</f>
        <v>227.8</v>
      </c>
      <c r="G362">
        <f>'Claims Data'!M362</f>
        <v>0</v>
      </c>
      <c r="H362" t="b">
        <f>'Claims Data'!L362</f>
        <v>0</v>
      </c>
      <c r="I362">
        <f t="shared" si="10"/>
        <v>0</v>
      </c>
      <c r="J362" t="str">
        <f t="shared" si="11"/>
        <v>Low Risk</v>
      </c>
    </row>
    <row r="363" spans="1:10" x14ac:dyDescent="0.2">
      <c r="A363" t="str">
        <f>'Claims Data'!A363</f>
        <v>CLM00362</v>
      </c>
      <c r="B363" t="str">
        <f>'Claims Data'!B363</f>
        <v>PAT0014</v>
      </c>
      <c r="C363" t="str">
        <f>'Claims Data'!C363</f>
        <v>PRV0038</v>
      </c>
      <c r="D363" s="1">
        <f>'Claims Data'!D363</f>
        <v>45353</v>
      </c>
      <c r="E363">
        <f>'Claims Data'!H363</f>
        <v>4.0999999999999996</v>
      </c>
      <c r="F363">
        <f>'Claims Data'!J363</f>
        <v>108.54</v>
      </c>
      <c r="G363">
        <f>'Claims Data'!M363</f>
        <v>0</v>
      </c>
      <c r="H363" t="b">
        <f>'Claims Data'!L363</f>
        <v>0</v>
      </c>
      <c r="I363">
        <f t="shared" si="10"/>
        <v>0</v>
      </c>
      <c r="J363" t="str">
        <f t="shared" si="11"/>
        <v>Low Risk</v>
      </c>
    </row>
    <row r="364" spans="1:10" x14ac:dyDescent="0.2">
      <c r="A364" t="str">
        <f>'Claims Data'!A364</f>
        <v>CLM00363</v>
      </c>
      <c r="B364" t="str">
        <f>'Claims Data'!B364</f>
        <v>PAT0225</v>
      </c>
      <c r="C364" t="str">
        <f>'Claims Data'!C364</f>
        <v>PRV0018</v>
      </c>
      <c r="D364" s="1">
        <f>'Claims Data'!D364</f>
        <v>45271</v>
      </c>
      <c r="E364">
        <f>'Claims Data'!H364</f>
        <v>4.5</v>
      </c>
      <c r="F364">
        <f>'Claims Data'!J364</f>
        <v>372.17</v>
      </c>
      <c r="G364">
        <f>'Claims Data'!M364</f>
        <v>0</v>
      </c>
      <c r="H364" t="b">
        <f>'Claims Data'!L364</f>
        <v>0</v>
      </c>
      <c r="I364">
        <f t="shared" si="10"/>
        <v>0</v>
      </c>
      <c r="J364" t="str">
        <f t="shared" si="11"/>
        <v>Low Risk</v>
      </c>
    </row>
    <row r="365" spans="1:10" x14ac:dyDescent="0.2">
      <c r="A365" t="str">
        <f>'Claims Data'!A365</f>
        <v>CLM00364</v>
      </c>
      <c r="B365" t="str">
        <f>'Claims Data'!B365</f>
        <v>PAT0248</v>
      </c>
      <c r="C365" t="str">
        <f>'Claims Data'!C365</f>
        <v>PRV0023</v>
      </c>
      <c r="D365" s="1">
        <f>'Claims Data'!D365</f>
        <v>45200</v>
      </c>
      <c r="E365">
        <f>'Claims Data'!H365</f>
        <v>4.0999999999999996</v>
      </c>
      <c r="F365">
        <f>'Claims Data'!J365</f>
        <v>186.89</v>
      </c>
      <c r="G365">
        <f>'Claims Data'!M365</f>
        <v>0</v>
      </c>
      <c r="H365" t="b">
        <f>'Claims Data'!L365</f>
        <v>0</v>
      </c>
      <c r="I365">
        <f t="shared" si="10"/>
        <v>0</v>
      </c>
      <c r="J365" t="str">
        <f t="shared" si="11"/>
        <v>Low Risk</v>
      </c>
    </row>
    <row r="366" spans="1:10" x14ac:dyDescent="0.2">
      <c r="A366" t="str">
        <f>'Claims Data'!A366</f>
        <v>CLM00365</v>
      </c>
      <c r="B366" t="str">
        <f>'Claims Data'!B366</f>
        <v>PAT0075</v>
      </c>
      <c r="C366" t="str">
        <f>'Claims Data'!C366</f>
        <v>PRV0048</v>
      </c>
      <c r="D366" s="1">
        <f>'Claims Data'!D366</f>
        <v>45122</v>
      </c>
      <c r="E366">
        <f>'Claims Data'!H366</f>
        <v>4.0999999999999996</v>
      </c>
      <c r="F366">
        <f>'Claims Data'!J366</f>
        <v>126.52</v>
      </c>
      <c r="G366">
        <f>'Claims Data'!M366</f>
        <v>0</v>
      </c>
      <c r="H366" t="b">
        <f>'Claims Data'!L366</f>
        <v>0</v>
      </c>
      <c r="I366">
        <f t="shared" si="10"/>
        <v>0</v>
      </c>
      <c r="J366" t="str">
        <f t="shared" si="11"/>
        <v>Low Risk</v>
      </c>
    </row>
    <row r="367" spans="1:10" x14ac:dyDescent="0.2">
      <c r="A367" t="str">
        <f>'Claims Data'!A367</f>
        <v>CLM00366</v>
      </c>
      <c r="B367" t="str">
        <f>'Claims Data'!B367</f>
        <v>PAT0040</v>
      </c>
      <c r="C367" t="str">
        <f>'Claims Data'!C367</f>
        <v>PRV0020</v>
      </c>
      <c r="D367" s="1">
        <f>'Claims Data'!D367</f>
        <v>45172</v>
      </c>
      <c r="E367">
        <f>'Claims Data'!H367</f>
        <v>3.9</v>
      </c>
      <c r="F367">
        <f>'Claims Data'!J367</f>
        <v>167.76</v>
      </c>
      <c r="G367">
        <f>'Claims Data'!M367</f>
        <v>0</v>
      </c>
      <c r="H367" t="b">
        <f>'Claims Data'!L367</f>
        <v>0</v>
      </c>
      <c r="I367">
        <f t="shared" si="10"/>
        <v>0</v>
      </c>
      <c r="J367" t="str">
        <f t="shared" si="11"/>
        <v>Low Risk</v>
      </c>
    </row>
    <row r="368" spans="1:10" x14ac:dyDescent="0.2">
      <c r="A368" t="str">
        <f>'Claims Data'!A368</f>
        <v>CLM00367</v>
      </c>
      <c r="B368" t="str">
        <f>'Claims Data'!B368</f>
        <v>PAT0038</v>
      </c>
      <c r="C368" t="str">
        <f>'Claims Data'!C368</f>
        <v>PRV0009</v>
      </c>
      <c r="D368" s="1">
        <f>'Claims Data'!D368</f>
        <v>45217</v>
      </c>
      <c r="E368">
        <f>'Claims Data'!H368</f>
        <v>2.1</v>
      </c>
      <c r="F368">
        <f>'Claims Data'!J368</f>
        <v>95.73</v>
      </c>
      <c r="G368">
        <f>'Claims Data'!M368</f>
        <v>0</v>
      </c>
      <c r="H368" t="b">
        <f>'Claims Data'!L368</f>
        <v>0</v>
      </c>
      <c r="I368">
        <f t="shared" si="10"/>
        <v>0</v>
      </c>
      <c r="J368" t="str">
        <f t="shared" si="11"/>
        <v>Low Risk</v>
      </c>
    </row>
    <row r="369" spans="1:10" x14ac:dyDescent="0.2">
      <c r="A369" t="str">
        <f>'Claims Data'!A369</f>
        <v>CLM00368</v>
      </c>
      <c r="B369" t="str">
        <f>'Claims Data'!B369</f>
        <v>PAT0230</v>
      </c>
      <c r="C369" t="str">
        <f>'Claims Data'!C369</f>
        <v>PRV0010</v>
      </c>
      <c r="D369" s="1">
        <f>'Claims Data'!D369</f>
        <v>45476</v>
      </c>
      <c r="E369">
        <f>'Claims Data'!H369</f>
        <v>7.6</v>
      </c>
      <c r="F369">
        <f>'Claims Data'!J369</f>
        <v>527.66</v>
      </c>
      <c r="G369">
        <f>'Claims Data'!M369</f>
        <v>0</v>
      </c>
      <c r="H369" t="b">
        <f>'Claims Data'!L369</f>
        <v>0</v>
      </c>
      <c r="I369">
        <f t="shared" si="10"/>
        <v>0</v>
      </c>
      <c r="J369" t="str">
        <f t="shared" si="11"/>
        <v>Low Risk</v>
      </c>
    </row>
    <row r="370" spans="1:10" x14ac:dyDescent="0.2">
      <c r="A370" t="str">
        <f>'Claims Data'!A370</f>
        <v>CLM00369</v>
      </c>
      <c r="B370" t="str">
        <f>'Claims Data'!B370</f>
        <v>PAT0277</v>
      </c>
      <c r="C370" t="str">
        <f>'Claims Data'!C370</f>
        <v>PRV0052</v>
      </c>
      <c r="D370" s="1">
        <f>'Claims Data'!D370</f>
        <v>45539</v>
      </c>
      <c r="E370">
        <f>'Claims Data'!H370</f>
        <v>5.3</v>
      </c>
      <c r="F370">
        <f>'Claims Data'!J370</f>
        <v>237.75</v>
      </c>
      <c r="G370">
        <f>'Claims Data'!M370</f>
        <v>0</v>
      </c>
      <c r="H370" t="b">
        <f>'Claims Data'!L370</f>
        <v>0</v>
      </c>
      <c r="I370">
        <f t="shared" si="10"/>
        <v>0</v>
      </c>
      <c r="J370" t="str">
        <f t="shared" si="11"/>
        <v>Low Risk</v>
      </c>
    </row>
    <row r="371" spans="1:10" x14ac:dyDescent="0.2">
      <c r="A371" t="str">
        <f>'Claims Data'!A371</f>
        <v>CLM00370</v>
      </c>
      <c r="B371" t="str">
        <f>'Claims Data'!B371</f>
        <v>PAT0289</v>
      </c>
      <c r="C371" t="str">
        <f>'Claims Data'!C371</f>
        <v>PRV0048</v>
      </c>
      <c r="D371" s="1">
        <f>'Claims Data'!D371</f>
        <v>45075</v>
      </c>
      <c r="E371">
        <f>'Claims Data'!H371</f>
        <v>3.4</v>
      </c>
      <c r="F371">
        <f>'Claims Data'!J371</f>
        <v>167.63</v>
      </c>
      <c r="G371">
        <f>'Claims Data'!M371</f>
        <v>0</v>
      </c>
      <c r="H371" t="b">
        <f>'Claims Data'!L371</f>
        <v>0</v>
      </c>
      <c r="I371">
        <f t="shared" si="10"/>
        <v>0</v>
      </c>
      <c r="J371" t="str">
        <f t="shared" si="11"/>
        <v>Low Risk</v>
      </c>
    </row>
    <row r="372" spans="1:10" x14ac:dyDescent="0.2">
      <c r="A372" t="str">
        <f>'Claims Data'!A372</f>
        <v>CLM00371</v>
      </c>
      <c r="B372" t="str">
        <f>'Claims Data'!B372</f>
        <v>PAT0213</v>
      </c>
      <c r="C372" t="str">
        <f>'Claims Data'!C372</f>
        <v>PRV0052</v>
      </c>
      <c r="D372" s="1">
        <f>'Claims Data'!D372</f>
        <v>40806</v>
      </c>
      <c r="E372">
        <f>'Claims Data'!H372</f>
        <v>5.8</v>
      </c>
      <c r="F372">
        <f>'Claims Data'!J372</f>
        <v>295.38</v>
      </c>
      <c r="G372" t="str">
        <f>'Claims Data'!M372</f>
        <v>deceased_patient_billing</v>
      </c>
      <c r="H372" t="b">
        <f>'Claims Data'!L372</f>
        <v>1</v>
      </c>
      <c r="I372">
        <f t="shared" si="10"/>
        <v>10</v>
      </c>
      <c r="J372" t="str">
        <f t="shared" si="11"/>
        <v>Low Risk</v>
      </c>
    </row>
    <row r="373" spans="1:10" x14ac:dyDescent="0.2">
      <c r="A373" t="str">
        <f>'Claims Data'!A373</f>
        <v>CLM00372</v>
      </c>
      <c r="B373" t="str">
        <f>'Claims Data'!B373</f>
        <v>PAT0017</v>
      </c>
      <c r="C373" t="str">
        <f>'Claims Data'!C373</f>
        <v>PRV0010</v>
      </c>
      <c r="D373" s="1">
        <f>'Claims Data'!D373</f>
        <v>45002</v>
      </c>
      <c r="E373">
        <f>'Claims Data'!H373</f>
        <v>4.7</v>
      </c>
      <c r="F373">
        <f>'Claims Data'!J373</f>
        <v>238.63</v>
      </c>
      <c r="G373">
        <f>'Claims Data'!M373</f>
        <v>0</v>
      </c>
      <c r="H373" t="b">
        <f>'Claims Data'!L373</f>
        <v>0</v>
      </c>
      <c r="I373">
        <f t="shared" si="10"/>
        <v>0</v>
      </c>
      <c r="J373" t="str">
        <f t="shared" si="11"/>
        <v>Low Risk</v>
      </c>
    </row>
    <row r="374" spans="1:10" x14ac:dyDescent="0.2">
      <c r="A374" t="str">
        <f>'Claims Data'!A374</f>
        <v>CLM00373</v>
      </c>
      <c r="B374" t="str">
        <f>'Claims Data'!B374</f>
        <v>PAT0218</v>
      </c>
      <c r="C374" t="str">
        <f>'Claims Data'!C374</f>
        <v>PRV0055</v>
      </c>
      <c r="D374" s="1">
        <f>'Claims Data'!D374</f>
        <v>45413</v>
      </c>
      <c r="E374">
        <f>'Claims Data'!H374</f>
        <v>3.2</v>
      </c>
      <c r="F374">
        <f>'Claims Data'!J374</f>
        <v>224.45</v>
      </c>
      <c r="G374">
        <f>'Claims Data'!M374</f>
        <v>0</v>
      </c>
      <c r="H374" t="b">
        <f>'Claims Data'!L374</f>
        <v>0</v>
      </c>
      <c r="I374">
        <f t="shared" si="10"/>
        <v>0</v>
      </c>
      <c r="J374" t="str">
        <f t="shared" si="11"/>
        <v>Low Risk</v>
      </c>
    </row>
    <row r="375" spans="1:10" x14ac:dyDescent="0.2">
      <c r="A375" t="str">
        <f>'Claims Data'!A375</f>
        <v>CLM00374</v>
      </c>
      <c r="B375" t="str">
        <f>'Claims Data'!B375</f>
        <v>PAT0275</v>
      </c>
      <c r="C375" t="str">
        <f>'Claims Data'!C375</f>
        <v>PRV0002</v>
      </c>
      <c r="D375" s="1">
        <f>'Claims Data'!D375</f>
        <v>45191</v>
      </c>
      <c r="E375">
        <f>'Claims Data'!H375</f>
        <v>6.8</v>
      </c>
      <c r="F375">
        <f>'Claims Data'!J375</f>
        <v>389.05</v>
      </c>
      <c r="G375">
        <f>'Claims Data'!M375</f>
        <v>0</v>
      </c>
      <c r="H375" t="b">
        <f>'Claims Data'!L375</f>
        <v>0</v>
      </c>
      <c r="I375">
        <f t="shared" si="10"/>
        <v>0</v>
      </c>
      <c r="J375" t="str">
        <f t="shared" si="11"/>
        <v>Low Risk</v>
      </c>
    </row>
    <row r="376" spans="1:10" x14ac:dyDescent="0.2">
      <c r="A376" t="str">
        <f>'Claims Data'!A376</f>
        <v>CLM00375</v>
      </c>
      <c r="B376" t="str">
        <f>'Claims Data'!B376</f>
        <v>PAT0051</v>
      </c>
      <c r="C376" t="str">
        <f>'Claims Data'!C376</f>
        <v>PRV0058</v>
      </c>
      <c r="D376" s="1">
        <f>'Claims Data'!D376</f>
        <v>45480</v>
      </c>
      <c r="E376">
        <f>'Claims Data'!H376</f>
        <v>19.3</v>
      </c>
      <c r="F376">
        <f>'Claims Data'!J376</f>
        <v>614.51</v>
      </c>
      <c r="G376" t="str">
        <f>'Claims Data'!M376</f>
        <v>inflated_hours</v>
      </c>
      <c r="H376" t="b">
        <f>'Claims Data'!L376</f>
        <v>1</v>
      </c>
      <c r="I376">
        <f t="shared" si="10"/>
        <v>50</v>
      </c>
      <c r="J376" t="str">
        <f t="shared" si="11"/>
        <v>Medium Risk</v>
      </c>
    </row>
    <row r="377" spans="1:10" x14ac:dyDescent="0.2">
      <c r="A377" t="str">
        <f>'Claims Data'!A377</f>
        <v>CLM00376</v>
      </c>
      <c r="B377" t="str">
        <f>'Claims Data'!B377</f>
        <v>PAT0241</v>
      </c>
      <c r="C377" t="str">
        <f>'Claims Data'!C377</f>
        <v>PRV0057</v>
      </c>
      <c r="D377" s="1">
        <f>'Claims Data'!D377</f>
        <v>45365</v>
      </c>
      <c r="E377">
        <f>'Claims Data'!H377</f>
        <v>5.2</v>
      </c>
      <c r="F377">
        <f>'Claims Data'!J377</f>
        <v>329.4</v>
      </c>
      <c r="G377">
        <f>'Claims Data'!M377</f>
        <v>0</v>
      </c>
      <c r="H377" t="b">
        <f>'Claims Data'!L377</f>
        <v>0</v>
      </c>
      <c r="I377">
        <f t="shared" si="10"/>
        <v>0</v>
      </c>
      <c r="J377" t="str">
        <f t="shared" si="11"/>
        <v>Low Risk</v>
      </c>
    </row>
    <row r="378" spans="1:10" x14ac:dyDescent="0.2">
      <c r="A378" t="str">
        <f>'Claims Data'!A378</f>
        <v>CLM00377</v>
      </c>
      <c r="B378" t="str">
        <f>'Claims Data'!B378</f>
        <v>PAT0009</v>
      </c>
      <c r="C378" t="str">
        <f>'Claims Data'!C378</f>
        <v>PRV0004</v>
      </c>
      <c r="D378" s="1">
        <f>'Claims Data'!D378</f>
        <v>45156</v>
      </c>
      <c r="E378">
        <f>'Claims Data'!H378</f>
        <v>5.7</v>
      </c>
      <c r="F378">
        <f>'Claims Data'!J378</f>
        <v>343.26</v>
      </c>
      <c r="G378">
        <f>'Claims Data'!M378</f>
        <v>0</v>
      </c>
      <c r="H378" t="b">
        <f>'Claims Data'!L378</f>
        <v>0</v>
      </c>
      <c r="I378">
        <f t="shared" si="10"/>
        <v>0</v>
      </c>
      <c r="J378" t="str">
        <f t="shared" si="11"/>
        <v>Low Risk</v>
      </c>
    </row>
    <row r="379" spans="1:10" x14ac:dyDescent="0.2">
      <c r="A379" t="str">
        <f>'Claims Data'!A379</f>
        <v>CLM00378</v>
      </c>
      <c r="B379" t="str">
        <f>'Claims Data'!B379</f>
        <v>PAT0055</v>
      </c>
      <c r="C379" t="str">
        <f>'Claims Data'!C379</f>
        <v>PRV0027</v>
      </c>
      <c r="D379" s="1">
        <f>'Claims Data'!D379</f>
        <v>45271</v>
      </c>
      <c r="E379">
        <f>'Claims Data'!H379</f>
        <v>7.1</v>
      </c>
      <c r="F379">
        <f>'Claims Data'!J379</f>
        <v>440.5</v>
      </c>
      <c r="G379">
        <f>'Claims Data'!M379</f>
        <v>0</v>
      </c>
      <c r="H379" t="b">
        <f>'Claims Data'!L379</f>
        <v>0</v>
      </c>
      <c r="I379">
        <f t="shared" si="10"/>
        <v>0</v>
      </c>
      <c r="J379" t="str">
        <f t="shared" si="11"/>
        <v>Low Risk</v>
      </c>
    </row>
    <row r="380" spans="1:10" x14ac:dyDescent="0.2">
      <c r="A380" t="str">
        <f>'Claims Data'!A380</f>
        <v>CLM00379</v>
      </c>
      <c r="B380" t="str">
        <f>'Claims Data'!B380</f>
        <v>PAT0144</v>
      </c>
      <c r="C380" t="str">
        <f>'Claims Data'!C380</f>
        <v>PRV0054</v>
      </c>
      <c r="D380" s="1">
        <f>'Claims Data'!D380</f>
        <v>45272</v>
      </c>
      <c r="E380">
        <f>'Claims Data'!H380</f>
        <v>7.5</v>
      </c>
      <c r="F380">
        <f>'Claims Data'!J380</f>
        <v>453.08</v>
      </c>
      <c r="G380">
        <f>'Claims Data'!M380</f>
        <v>0</v>
      </c>
      <c r="H380" t="b">
        <f>'Claims Data'!L380</f>
        <v>0</v>
      </c>
      <c r="I380">
        <f t="shared" si="10"/>
        <v>0</v>
      </c>
      <c r="J380" t="str">
        <f t="shared" si="11"/>
        <v>Low Risk</v>
      </c>
    </row>
    <row r="381" spans="1:10" x14ac:dyDescent="0.2">
      <c r="A381" t="str">
        <f>'Claims Data'!A381</f>
        <v>CLM00380</v>
      </c>
      <c r="B381" t="str">
        <f>'Claims Data'!B381</f>
        <v>PAT0008</v>
      </c>
      <c r="C381" t="str">
        <f>'Claims Data'!C381</f>
        <v>PRV0058</v>
      </c>
      <c r="D381" s="1">
        <f>'Claims Data'!D381</f>
        <v>45041</v>
      </c>
      <c r="E381">
        <f>'Claims Data'!H381</f>
        <v>3.9</v>
      </c>
      <c r="F381">
        <f>'Claims Data'!J381</f>
        <v>153.33000000000001</v>
      </c>
      <c r="G381">
        <f>'Claims Data'!M381</f>
        <v>0</v>
      </c>
      <c r="H381" t="b">
        <f>'Claims Data'!L381</f>
        <v>0</v>
      </c>
      <c r="I381">
        <f t="shared" si="10"/>
        <v>0</v>
      </c>
      <c r="J381" t="str">
        <f t="shared" si="11"/>
        <v>Low Risk</v>
      </c>
    </row>
    <row r="382" spans="1:10" x14ac:dyDescent="0.2">
      <c r="A382" t="str">
        <f>'Claims Data'!A382</f>
        <v>CLM00381</v>
      </c>
      <c r="B382" t="str">
        <f>'Claims Data'!B382</f>
        <v>PAT0084</v>
      </c>
      <c r="C382" t="str">
        <f>'Claims Data'!C382</f>
        <v>PRV0001</v>
      </c>
      <c r="D382" s="1">
        <f>'Claims Data'!D382</f>
        <v>45387</v>
      </c>
      <c r="E382">
        <f>'Claims Data'!H382</f>
        <v>4.2</v>
      </c>
      <c r="F382">
        <f>'Claims Data'!J382</f>
        <v>140.62</v>
      </c>
      <c r="G382">
        <f>'Claims Data'!M382</f>
        <v>0</v>
      </c>
      <c r="H382" t="b">
        <f>'Claims Data'!L382</f>
        <v>0</v>
      </c>
      <c r="I382">
        <f t="shared" si="10"/>
        <v>0</v>
      </c>
      <c r="J382" t="str">
        <f t="shared" si="11"/>
        <v>Low Risk</v>
      </c>
    </row>
    <row r="383" spans="1:10" x14ac:dyDescent="0.2">
      <c r="A383" t="str">
        <f>'Claims Data'!A383</f>
        <v>CLM00382</v>
      </c>
      <c r="B383" t="str">
        <f>'Claims Data'!B383</f>
        <v>PAT0288</v>
      </c>
      <c r="C383" t="str">
        <f>'Claims Data'!C383</f>
        <v>PRV0046</v>
      </c>
      <c r="D383" s="1">
        <f>'Claims Data'!D383</f>
        <v>45399</v>
      </c>
      <c r="E383">
        <f>'Claims Data'!H383</f>
        <v>42</v>
      </c>
      <c r="F383">
        <f>'Claims Data'!J383</f>
        <v>2500</v>
      </c>
      <c r="G383" t="str">
        <f>'Claims Data'!M383</f>
        <v>phantom_round_amount</v>
      </c>
      <c r="H383" t="b">
        <f>'Claims Data'!L383</f>
        <v>1</v>
      </c>
      <c r="I383">
        <f t="shared" si="10"/>
        <v>80</v>
      </c>
      <c r="J383" t="str">
        <f t="shared" si="11"/>
        <v>High Risk</v>
      </c>
    </row>
    <row r="384" spans="1:10" x14ac:dyDescent="0.2">
      <c r="A384" t="str">
        <f>'Claims Data'!A384</f>
        <v>CLM00383</v>
      </c>
      <c r="B384" t="str">
        <f>'Claims Data'!B384</f>
        <v>PAT0019</v>
      </c>
      <c r="C384" t="str">
        <f>'Claims Data'!C384</f>
        <v>PRV0018</v>
      </c>
      <c r="D384" s="1">
        <f>'Claims Data'!D384</f>
        <v>45148</v>
      </c>
      <c r="E384">
        <f>'Claims Data'!H384</f>
        <v>4.9000000000000004</v>
      </c>
      <c r="F384">
        <f>'Claims Data'!J384</f>
        <v>280.49</v>
      </c>
      <c r="G384">
        <f>'Claims Data'!M384</f>
        <v>0</v>
      </c>
      <c r="H384" t="b">
        <f>'Claims Data'!L384</f>
        <v>0</v>
      </c>
      <c r="I384">
        <f t="shared" si="10"/>
        <v>0</v>
      </c>
      <c r="J384" t="str">
        <f t="shared" si="11"/>
        <v>Low Risk</v>
      </c>
    </row>
    <row r="385" spans="1:10" x14ac:dyDescent="0.2">
      <c r="A385" t="str">
        <f>'Claims Data'!A385</f>
        <v>CLM00384</v>
      </c>
      <c r="B385" t="str">
        <f>'Claims Data'!B385</f>
        <v>PAT0263</v>
      </c>
      <c r="C385" t="str">
        <f>'Claims Data'!C385</f>
        <v>PRV0043</v>
      </c>
      <c r="D385" s="1">
        <f>'Claims Data'!D385</f>
        <v>45105</v>
      </c>
      <c r="E385">
        <f>'Claims Data'!H385</f>
        <v>5.3</v>
      </c>
      <c r="F385">
        <f>'Claims Data'!J385</f>
        <v>288.20999999999998</v>
      </c>
      <c r="G385">
        <f>'Claims Data'!M385</f>
        <v>0</v>
      </c>
      <c r="H385" t="b">
        <f>'Claims Data'!L385</f>
        <v>0</v>
      </c>
      <c r="I385">
        <f t="shared" si="10"/>
        <v>0</v>
      </c>
      <c r="J385" t="str">
        <f t="shared" si="11"/>
        <v>Low Risk</v>
      </c>
    </row>
    <row r="386" spans="1:10" x14ac:dyDescent="0.2">
      <c r="A386" t="str">
        <f>'Claims Data'!A386</f>
        <v>CLM00385</v>
      </c>
      <c r="B386" t="str">
        <f>'Claims Data'!B386</f>
        <v>PAT0102</v>
      </c>
      <c r="C386" t="str">
        <f>'Claims Data'!C386</f>
        <v>PRV0051</v>
      </c>
      <c r="D386" s="1">
        <f>'Claims Data'!D386</f>
        <v>45522</v>
      </c>
      <c r="E386">
        <f>'Claims Data'!H386</f>
        <v>3.9</v>
      </c>
      <c r="F386">
        <f>'Claims Data'!J386</f>
        <v>203.03</v>
      </c>
      <c r="G386">
        <f>'Claims Data'!M386</f>
        <v>0</v>
      </c>
      <c r="H386" t="b">
        <f>'Claims Data'!L386</f>
        <v>0</v>
      </c>
      <c r="I386">
        <f t="shared" si="10"/>
        <v>0</v>
      </c>
      <c r="J386" t="str">
        <f t="shared" si="11"/>
        <v>Low Risk</v>
      </c>
    </row>
    <row r="387" spans="1:10" x14ac:dyDescent="0.2">
      <c r="A387" t="str">
        <f>'Claims Data'!A387</f>
        <v>CLM00386</v>
      </c>
      <c r="B387" t="str">
        <f>'Claims Data'!B387</f>
        <v>PAT0022</v>
      </c>
      <c r="C387" t="str">
        <f>'Claims Data'!C387</f>
        <v>PRV0053</v>
      </c>
      <c r="D387" s="1">
        <f>'Claims Data'!D387</f>
        <v>45224</v>
      </c>
      <c r="E387">
        <f>'Claims Data'!H387</f>
        <v>7.7</v>
      </c>
      <c r="F387">
        <f>'Claims Data'!J387</f>
        <v>416.39</v>
      </c>
      <c r="G387">
        <f>'Claims Data'!M387</f>
        <v>0</v>
      </c>
      <c r="H387" t="b">
        <f>'Claims Data'!L387</f>
        <v>0</v>
      </c>
      <c r="I387">
        <f t="shared" ref="I387:I450" si="12">IF(E387&gt;16,40,0)+IF(MOD(F387,250)=0,30,0)+IF(H387=TRUE,10,0)</f>
        <v>0</v>
      </c>
      <c r="J387" t="str">
        <f t="shared" ref="J387:J450" si="13">IF(I387&gt;=70,"High Risk",IF(I387&gt;=30,"Medium Risk","Low Risk"))</f>
        <v>Low Risk</v>
      </c>
    </row>
    <row r="388" spans="1:10" x14ac:dyDescent="0.2">
      <c r="A388" t="str">
        <f>'Claims Data'!A388</f>
        <v>CLM00387</v>
      </c>
      <c r="B388" t="str">
        <f>'Claims Data'!B388</f>
        <v>PAT0195</v>
      </c>
      <c r="C388" t="str">
        <f>'Claims Data'!C388</f>
        <v>PRV0059</v>
      </c>
      <c r="D388" s="1">
        <f>'Claims Data'!D388</f>
        <v>45529</v>
      </c>
      <c r="E388">
        <f>'Claims Data'!H388</f>
        <v>7.8</v>
      </c>
      <c r="F388">
        <f>'Claims Data'!J388</f>
        <v>431.54</v>
      </c>
      <c r="G388">
        <f>'Claims Data'!M388</f>
        <v>0</v>
      </c>
      <c r="H388" t="b">
        <f>'Claims Data'!L388</f>
        <v>0</v>
      </c>
      <c r="I388">
        <f t="shared" si="12"/>
        <v>0</v>
      </c>
      <c r="J388" t="str">
        <f t="shared" si="13"/>
        <v>Low Risk</v>
      </c>
    </row>
    <row r="389" spans="1:10" x14ac:dyDescent="0.2">
      <c r="A389" t="str">
        <f>'Claims Data'!A389</f>
        <v>CLM00388</v>
      </c>
      <c r="B389" t="str">
        <f>'Claims Data'!B389</f>
        <v>PAT0124</v>
      </c>
      <c r="C389" t="str">
        <f>'Claims Data'!C389</f>
        <v>PRV0028</v>
      </c>
      <c r="D389" s="1">
        <f>'Claims Data'!D389</f>
        <v>45481</v>
      </c>
      <c r="E389">
        <f>'Claims Data'!H389</f>
        <v>6.1</v>
      </c>
      <c r="F389">
        <f>'Claims Data'!J389</f>
        <v>304.62</v>
      </c>
      <c r="G389">
        <f>'Claims Data'!M389</f>
        <v>0</v>
      </c>
      <c r="H389" t="b">
        <f>'Claims Data'!L389</f>
        <v>0</v>
      </c>
      <c r="I389">
        <f t="shared" si="12"/>
        <v>0</v>
      </c>
      <c r="J389" t="str">
        <f t="shared" si="13"/>
        <v>Low Risk</v>
      </c>
    </row>
    <row r="390" spans="1:10" x14ac:dyDescent="0.2">
      <c r="A390" t="str">
        <f>'Claims Data'!A390</f>
        <v>CLM00389</v>
      </c>
      <c r="B390" t="str">
        <f>'Claims Data'!B390</f>
        <v>PAT0021</v>
      </c>
      <c r="C390" t="str">
        <f>'Claims Data'!C390</f>
        <v>PRV0015</v>
      </c>
      <c r="D390" s="1">
        <f>'Claims Data'!D390</f>
        <v>45601</v>
      </c>
      <c r="E390">
        <f>'Claims Data'!H390</f>
        <v>3</v>
      </c>
      <c r="F390">
        <f>'Claims Data'!J390</f>
        <v>176.77</v>
      </c>
      <c r="G390">
        <f>'Claims Data'!M390</f>
        <v>0</v>
      </c>
      <c r="H390" t="b">
        <f>'Claims Data'!L390</f>
        <v>0</v>
      </c>
      <c r="I390">
        <f t="shared" si="12"/>
        <v>0</v>
      </c>
      <c r="J390" t="str">
        <f t="shared" si="13"/>
        <v>Low Risk</v>
      </c>
    </row>
    <row r="391" spans="1:10" x14ac:dyDescent="0.2">
      <c r="A391" t="str">
        <f>'Claims Data'!A391</f>
        <v>CLM00390</v>
      </c>
      <c r="B391" t="str">
        <f>'Claims Data'!B391</f>
        <v>PAT0054</v>
      </c>
      <c r="C391" t="str">
        <f>'Claims Data'!C391</f>
        <v>PRV0057</v>
      </c>
      <c r="D391" s="1">
        <f>'Claims Data'!D391</f>
        <v>45001</v>
      </c>
      <c r="E391">
        <f>'Claims Data'!H391</f>
        <v>21.9</v>
      </c>
      <c r="F391">
        <f>'Claims Data'!J391</f>
        <v>842.93</v>
      </c>
      <c r="G391" t="str">
        <f>'Claims Data'!M391</f>
        <v>inflated_hours</v>
      </c>
      <c r="H391" t="b">
        <f>'Claims Data'!L391</f>
        <v>1</v>
      </c>
      <c r="I391">
        <f t="shared" si="12"/>
        <v>50</v>
      </c>
      <c r="J391" t="str">
        <f t="shared" si="13"/>
        <v>Medium Risk</v>
      </c>
    </row>
    <row r="392" spans="1:10" x14ac:dyDescent="0.2">
      <c r="A392" t="str">
        <f>'Claims Data'!A392</f>
        <v>CLM00391</v>
      </c>
      <c r="B392" t="str">
        <f>'Claims Data'!B392</f>
        <v>PAT0111</v>
      </c>
      <c r="C392" t="str">
        <f>'Claims Data'!C392</f>
        <v>PRV0038</v>
      </c>
      <c r="D392" s="1">
        <f>'Claims Data'!D392</f>
        <v>45141</v>
      </c>
      <c r="E392">
        <f>'Claims Data'!H392</f>
        <v>6.7</v>
      </c>
      <c r="F392">
        <f>'Claims Data'!J392</f>
        <v>394.89</v>
      </c>
      <c r="G392">
        <f>'Claims Data'!M392</f>
        <v>0</v>
      </c>
      <c r="H392" t="b">
        <f>'Claims Data'!L392</f>
        <v>0</v>
      </c>
      <c r="I392">
        <f t="shared" si="12"/>
        <v>0</v>
      </c>
      <c r="J392" t="str">
        <f t="shared" si="13"/>
        <v>Low Risk</v>
      </c>
    </row>
    <row r="393" spans="1:10" x14ac:dyDescent="0.2">
      <c r="A393" t="str">
        <f>'Claims Data'!A393</f>
        <v>CLM00392</v>
      </c>
      <c r="B393" t="str">
        <f>'Claims Data'!B393</f>
        <v>PAT0197</v>
      </c>
      <c r="C393" t="str">
        <f>'Claims Data'!C393</f>
        <v>PRV0028</v>
      </c>
      <c r="D393" s="1">
        <f>'Claims Data'!D393</f>
        <v>45419</v>
      </c>
      <c r="E393">
        <f>'Claims Data'!H393</f>
        <v>5.4</v>
      </c>
      <c r="F393">
        <f>'Claims Data'!J393</f>
        <v>221.8</v>
      </c>
      <c r="G393">
        <f>'Claims Data'!M393</f>
        <v>0</v>
      </c>
      <c r="H393" t="b">
        <f>'Claims Data'!L393</f>
        <v>0</v>
      </c>
      <c r="I393">
        <f t="shared" si="12"/>
        <v>0</v>
      </c>
      <c r="J393" t="str">
        <f t="shared" si="13"/>
        <v>Low Risk</v>
      </c>
    </row>
    <row r="394" spans="1:10" x14ac:dyDescent="0.2">
      <c r="A394" t="str">
        <f>'Claims Data'!A394</f>
        <v>CLM00393</v>
      </c>
      <c r="B394" t="str">
        <f>'Claims Data'!B394</f>
        <v>PAT0288</v>
      </c>
      <c r="C394" t="str">
        <f>'Claims Data'!C394</f>
        <v>PRV0058</v>
      </c>
      <c r="D394" s="1">
        <f>'Claims Data'!D394</f>
        <v>45377</v>
      </c>
      <c r="E394">
        <f>'Claims Data'!H394</f>
        <v>5.3</v>
      </c>
      <c r="F394">
        <f>'Claims Data'!J394</f>
        <v>373.16</v>
      </c>
      <c r="G394">
        <f>'Claims Data'!M394</f>
        <v>0</v>
      </c>
      <c r="H394" t="b">
        <f>'Claims Data'!L394</f>
        <v>0</v>
      </c>
      <c r="I394">
        <f t="shared" si="12"/>
        <v>0</v>
      </c>
      <c r="J394" t="str">
        <f t="shared" si="13"/>
        <v>Low Risk</v>
      </c>
    </row>
    <row r="395" spans="1:10" x14ac:dyDescent="0.2">
      <c r="A395" t="str">
        <f>'Claims Data'!A395</f>
        <v>CLM00394</v>
      </c>
      <c r="B395" t="str">
        <f>'Claims Data'!B395</f>
        <v>PAT0150</v>
      </c>
      <c r="C395" t="str">
        <f>'Claims Data'!C395</f>
        <v>PRV0021</v>
      </c>
      <c r="D395" s="1">
        <f>'Claims Data'!D395</f>
        <v>45573</v>
      </c>
      <c r="E395">
        <f>'Claims Data'!H395</f>
        <v>5.3</v>
      </c>
      <c r="F395">
        <f>'Claims Data'!J395</f>
        <v>447.25</v>
      </c>
      <c r="G395">
        <f>'Claims Data'!M395</f>
        <v>0</v>
      </c>
      <c r="H395" t="b">
        <f>'Claims Data'!L395</f>
        <v>0</v>
      </c>
      <c r="I395">
        <f t="shared" si="12"/>
        <v>0</v>
      </c>
      <c r="J395" t="str">
        <f t="shared" si="13"/>
        <v>Low Risk</v>
      </c>
    </row>
    <row r="396" spans="1:10" x14ac:dyDescent="0.2">
      <c r="A396" t="str">
        <f>'Claims Data'!A396</f>
        <v>CLM00395</v>
      </c>
      <c r="B396" t="str">
        <f>'Claims Data'!B396</f>
        <v>PAT0078</v>
      </c>
      <c r="C396" t="str">
        <f>'Claims Data'!C396</f>
        <v>PRV0018</v>
      </c>
      <c r="D396" s="1">
        <f>'Claims Data'!D396</f>
        <v>45508</v>
      </c>
      <c r="E396">
        <f>'Claims Data'!H396</f>
        <v>3.8</v>
      </c>
      <c r="F396">
        <f>'Claims Data'!J396</f>
        <v>322.83999999999997</v>
      </c>
      <c r="G396" t="str">
        <f>'Claims Data'!M396</f>
        <v>duplicate_claim</v>
      </c>
      <c r="H396" t="b">
        <f>'Claims Data'!L396</f>
        <v>1</v>
      </c>
      <c r="I396">
        <f t="shared" si="12"/>
        <v>10</v>
      </c>
      <c r="J396" t="str">
        <f t="shared" si="13"/>
        <v>Low Risk</v>
      </c>
    </row>
    <row r="397" spans="1:10" x14ac:dyDescent="0.2">
      <c r="A397" t="str">
        <f>'Claims Data'!A397</f>
        <v>CLM00396</v>
      </c>
      <c r="B397" t="str">
        <f>'Claims Data'!B397</f>
        <v>PAT0261</v>
      </c>
      <c r="C397" t="str">
        <f>'Claims Data'!C397</f>
        <v>PRV0057</v>
      </c>
      <c r="D397" s="1">
        <f>'Claims Data'!D397</f>
        <v>44942</v>
      </c>
      <c r="E397">
        <f>'Claims Data'!H397</f>
        <v>4.0999999999999996</v>
      </c>
      <c r="F397">
        <f>'Claims Data'!J397</f>
        <v>303.42</v>
      </c>
      <c r="G397">
        <f>'Claims Data'!M397</f>
        <v>0</v>
      </c>
      <c r="H397" t="b">
        <f>'Claims Data'!L397</f>
        <v>0</v>
      </c>
      <c r="I397">
        <f t="shared" si="12"/>
        <v>0</v>
      </c>
      <c r="J397" t="str">
        <f t="shared" si="13"/>
        <v>Low Risk</v>
      </c>
    </row>
    <row r="398" spans="1:10" x14ac:dyDescent="0.2">
      <c r="A398" t="str">
        <f>'Claims Data'!A398</f>
        <v>CLM00397</v>
      </c>
      <c r="B398" t="str">
        <f>'Claims Data'!B398</f>
        <v>PAT0051</v>
      </c>
      <c r="C398" t="str">
        <f>'Claims Data'!C398</f>
        <v>PRV0053</v>
      </c>
      <c r="D398" s="1">
        <f>'Claims Data'!D398</f>
        <v>45179</v>
      </c>
      <c r="E398">
        <f>'Claims Data'!H398</f>
        <v>6.7</v>
      </c>
      <c r="F398">
        <f>'Claims Data'!J398</f>
        <v>262.75</v>
      </c>
      <c r="G398">
        <f>'Claims Data'!M398</f>
        <v>0</v>
      </c>
      <c r="H398" t="b">
        <f>'Claims Data'!L398</f>
        <v>0</v>
      </c>
      <c r="I398">
        <f t="shared" si="12"/>
        <v>0</v>
      </c>
      <c r="J398" t="str">
        <f t="shared" si="13"/>
        <v>Low Risk</v>
      </c>
    </row>
    <row r="399" spans="1:10" x14ac:dyDescent="0.2">
      <c r="A399" t="str">
        <f>'Claims Data'!A399</f>
        <v>CLM00398</v>
      </c>
      <c r="B399" t="str">
        <f>'Claims Data'!B399</f>
        <v>PAT0179</v>
      </c>
      <c r="C399" t="str">
        <f>'Claims Data'!C399</f>
        <v>PRV0048</v>
      </c>
      <c r="D399" s="1">
        <f>'Claims Data'!D399</f>
        <v>45449</v>
      </c>
      <c r="E399">
        <f>'Claims Data'!H399</f>
        <v>7.2</v>
      </c>
      <c r="F399">
        <f>'Claims Data'!J399</f>
        <v>443.63</v>
      </c>
      <c r="G399">
        <f>'Claims Data'!M399</f>
        <v>0</v>
      </c>
      <c r="H399" t="b">
        <f>'Claims Data'!L399</f>
        <v>0</v>
      </c>
      <c r="I399">
        <f t="shared" si="12"/>
        <v>0</v>
      </c>
      <c r="J399" t="str">
        <f t="shared" si="13"/>
        <v>Low Risk</v>
      </c>
    </row>
    <row r="400" spans="1:10" x14ac:dyDescent="0.2">
      <c r="A400" t="str">
        <f>'Claims Data'!A400</f>
        <v>CLM00399</v>
      </c>
      <c r="B400" t="str">
        <f>'Claims Data'!B400</f>
        <v>PAT0197</v>
      </c>
      <c r="C400" t="str">
        <f>'Claims Data'!C400</f>
        <v>PRV0024</v>
      </c>
      <c r="D400" s="1">
        <f>'Claims Data'!D400</f>
        <v>45064</v>
      </c>
      <c r="E400">
        <f>'Claims Data'!H400</f>
        <v>5.7</v>
      </c>
      <c r="F400">
        <f>'Claims Data'!J400</f>
        <v>410.92</v>
      </c>
      <c r="G400">
        <f>'Claims Data'!M400</f>
        <v>0</v>
      </c>
      <c r="H400" t="b">
        <f>'Claims Data'!L400</f>
        <v>0</v>
      </c>
      <c r="I400">
        <f t="shared" si="12"/>
        <v>0</v>
      </c>
      <c r="J400" t="str">
        <f t="shared" si="13"/>
        <v>Low Risk</v>
      </c>
    </row>
    <row r="401" spans="1:10" x14ac:dyDescent="0.2">
      <c r="A401" t="str">
        <f>'Claims Data'!A401</f>
        <v>CLM00400</v>
      </c>
      <c r="B401" t="str">
        <f>'Claims Data'!B401</f>
        <v>PAT0197</v>
      </c>
      <c r="C401" t="str">
        <f>'Claims Data'!C401</f>
        <v>PRV0033</v>
      </c>
      <c r="D401" s="1">
        <f>'Claims Data'!D401</f>
        <v>45291</v>
      </c>
      <c r="E401">
        <f>'Claims Data'!H401</f>
        <v>5.4</v>
      </c>
      <c r="F401">
        <f>'Claims Data'!J401</f>
        <v>307.45999999999998</v>
      </c>
      <c r="G401">
        <f>'Claims Data'!M401</f>
        <v>0</v>
      </c>
      <c r="H401" t="b">
        <f>'Claims Data'!L401</f>
        <v>0</v>
      </c>
      <c r="I401">
        <f t="shared" si="12"/>
        <v>0</v>
      </c>
      <c r="J401" t="str">
        <f t="shared" si="13"/>
        <v>Low Risk</v>
      </c>
    </row>
    <row r="402" spans="1:10" x14ac:dyDescent="0.2">
      <c r="A402" t="str">
        <f>'Claims Data'!A402</f>
        <v>CLM00401</v>
      </c>
      <c r="B402" t="str">
        <f>'Claims Data'!B402</f>
        <v>PAT0043</v>
      </c>
      <c r="C402" t="str">
        <f>'Claims Data'!C402</f>
        <v>PRV0049</v>
      </c>
      <c r="D402" s="1">
        <f>'Claims Data'!D402</f>
        <v>45082</v>
      </c>
      <c r="E402">
        <f>'Claims Data'!H402</f>
        <v>3.9</v>
      </c>
      <c r="F402">
        <f>'Claims Data'!J402</f>
        <v>262.25</v>
      </c>
      <c r="G402">
        <f>'Claims Data'!M402</f>
        <v>0</v>
      </c>
      <c r="H402" t="b">
        <f>'Claims Data'!L402</f>
        <v>0</v>
      </c>
      <c r="I402">
        <f t="shared" si="12"/>
        <v>0</v>
      </c>
      <c r="J402" t="str">
        <f t="shared" si="13"/>
        <v>Low Risk</v>
      </c>
    </row>
    <row r="403" spans="1:10" x14ac:dyDescent="0.2">
      <c r="A403" t="str">
        <f>'Claims Data'!A403</f>
        <v>CLM00402</v>
      </c>
      <c r="B403" t="str">
        <f>'Claims Data'!B403</f>
        <v>PAT0119</v>
      </c>
      <c r="C403" t="str">
        <f>'Claims Data'!C403</f>
        <v>PRV0055</v>
      </c>
      <c r="D403" s="1">
        <f>'Claims Data'!D403</f>
        <v>45121</v>
      </c>
      <c r="E403">
        <f>'Claims Data'!H403</f>
        <v>7.7</v>
      </c>
      <c r="F403">
        <f>'Claims Data'!J403</f>
        <v>430.16</v>
      </c>
      <c r="G403">
        <f>'Claims Data'!M403</f>
        <v>0</v>
      </c>
      <c r="H403" t="b">
        <f>'Claims Data'!L403</f>
        <v>0</v>
      </c>
      <c r="I403">
        <f t="shared" si="12"/>
        <v>0</v>
      </c>
      <c r="J403" t="str">
        <f t="shared" si="13"/>
        <v>Low Risk</v>
      </c>
    </row>
    <row r="404" spans="1:10" x14ac:dyDescent="0.2">
      <c r="A404" t="str">
        <f>'Claims Data'!A404</f>
        <v>CLM00403</v>
      </c>
      <c r="B404" t="str">
        <f>'Claims Data'!B404</f>
        <v>PAT0021</v>
      </c>
      <c r="C404" t="str">
        <f>'Claims Data'!C404</f>
        <v>PRV0025</v>
      </c>
      <c r="D404" s="1">
        <f>'Claims Data'!D404</f>
        <v>45070</v>
      </c>
      <c r="E404">
        <f>'Claims Data'!H404</f>
        <v>2.8</v>
      </c>
      <c r="F404">
        <f>'Claims Data'!J404</f>
        <v>196.02</v>
      </c>
      <c r="G404">
        <f>'Claims Data'!M404</f>
        <v>0</v>
      </c>
      <c r="H404" t="b">
        <f>'Claims Data'!L404</f>
        <v>0</v>
      </c>
      <c r="I404">
        <f t="shared" si="12"/>
        <v>0</v>
      </c>
      <c r="J404" t="str">
        <f t="shared" si="13"/>
        <v>Low Risk</v>
      </c>
    </row>
    <row r="405" spans="1:10" x14ac:dyDescent="0.2">
      <c r="A405" t="str">
        <f>'Claims Data'!A405</f>
        <v>CLM00404</v>
      </c>
      <c r="B405" t="str">
        <f>'Claims Data'!B405</f>
        <v>PAT0128</v>
      </c>
      <c r="C405" t="str">
        <f>'Claims Data'!C405</f>
        <v>PRV0009</v>
      </c>
      <c r="D405" s="1">
        <f>'Claims Data'!D405</f>
        <v>44963</v>
      </c>
      <c r="E405">
        <f>'Claims Data'!H405</f>
        <v>8</v>
      </c>
      <c r="F405">
        <f>'Claims Data'!J405</f>
        <v>616.17999999999995</v>
      </c>
      <c r="G405">
        <f>'Claims Data'!M405</f>
        <v>0</v>
      </c>
      <c r="H405" t="b">
        <f>'Claims Data'!L405</f>
        <v>0</v>
      </c>
      <c r="I405">
        <f t="shared" si="12"/>
        <v>0</v>
      </c>
      <c r="J405" t="str">
        <f t="shared" si="13"/>
        <v>Low Risk</v>
      </c>
    </row>
    <row r="406" spans="1:10" x14ac:dyDescent="0.2">
      <c r="A406" t="str">
        <f>'Claims Data'!A406</f>
        <v>CLM00405</v>
      </c>
      <c r="B406" t="str">
        <f>'Claims Data'!B406</f>
        <v>PAT0111</v>
      </c>
      <c r="C406" t="str">
        <f>'Claims Data'!C406</f>
        <v>PRV0041</v>
      </c>
      <c r="D406" s="1">
        <f>'Claims Data'!D406</f>
        <v>45599</v>
      </c>
      <c r="E406">
        <f>'Claims Data'!H406</f>
        <v>29.6</v>
      </c>
      <c r="F406">
        <f>'Claims Data'!J406</f>
        <v>2000</v>
      </c>
      <c r="G406" t="str">
        <f>'Claims Data'!M406</f>
        <v>phantom_round_amount</v>
      </c>
      <c r="H406" t="b">
        <f>'Claims Data'!L406</f>
        <v>1</v>
      </c>
      <c r="I406">
        <f t="shared" si="12"/>
        <v>80</v>
      </c>
      <c r="J406" t="str">
        <f t="shared" si="13"/>
        <v>High Risk</v>
      </c>
    </row>
    <row r="407" spans="1:10" x14ac:dyDescent="0.2">
      <c r="A407" t="str">
        <f>'Claims Data'!A407</f>
        <v>CLM00406</v>
      </c>
      <c r="B407" t="str">
        <f>'Claims Data'!B407</f>
        <v>PAT0092</v>
      </c>
      <c r="C407" t="str">
        <f>'Claims Data'!C407</f>
        <v>PRV0018</v>
      </c>
      <c r="D407" s="1">
        <f>'Claims Data'!D407</f>
        <v>45189</v>
      </c>
      <c r="E407">
        <f>'Claims Data'!H407</f>
        <v>4.9000000000000004</v>
      </c>
      <c r="F407">
        <f>'Claims Data'!J407</f>
        <v>292.26</v>
      </c>
      <c r="G407">
        <f>'Claims Data'!M407</f>
        <v>0</v>
      </c>
      <c r="H407" t="b">
        <f>'Claims Data'!L407</f>
        <v>0</v>
      </c>
      <c r="I407">
        <f t="shared" si="12"/>
        <v>0</v>
      </c>
      <c r="J407" t="str">
        <f t="shared" si="13"/>
        <v>Low Risk</v>
      </c>
    </row>
    <row r="408" spans="1:10" x14ac:dyDescent="0.2">
      <c r="A408" t="str">
        <f>'Claims Data'!A408</f>
        <v>CLM00407</v>
      </c>
      <c r="B408" t="str">
        <f>'Claims Data'!B408</f>
        <v>PAT0023</v>
      </c>
      <c r="C408" t="str">
        <f>'Claims Data'!C408</f>
        <v>PRV0028</v>
      </c>
      <c r="D408" s="1">
        <f>'Claims Data'!D408</f>
        <v>45399</v>
      </c>
      <c r="E408">
        <f>'Claims Data'!H408</f>
        <v>4.3</v>
      </c>
      <c r="F408">
        <f>'Claims Data'!J408</f>
        <v>126.98</v>
      </c>
      <c r="G408">
        <f>'Claims Data'!M408</f>
        <v>0</v>
      </c>
      <c r="H408" t="b">
        <f>'Claims Data'!L408</f>
        <v>0</v>
      </c>
      <c r="I408">
        <f t="shared" si="12"/>
        <v>0</v>
      </c>
      <c r="J408" t="str">
        <f t="shared" si="13"/>
        <v>Low Risk</v>
      </c>
    </row>
    <row r="409" spans="1:10" x14ac:dyDescent="0.2">
      <c r="A409" t="str">
        <f>'Claims Data'!A409</f>
        <v>CLM00408</v>
      </c>
      <c r="B409" t="str">
        <f>'Claims Data'!B409</f>
        <v>PAT0142</v>
      </c>
      <c r="C409" t="str">
        <f>'Claims Data'!C409</f>
        <v>PRV0010</v>
      </c>
      <c r="D409" s="1">
        <f>'Claims Data'!D409</f>
        <v>45566</v>
      </c>
      <c r="E409">
        <f>'Claims Data'!H409</f>
        <v>5.0999999999999996</v>
      </c>
      <c r="F409">
        <f>'Claims Data'!J409</f>
        <v>212.64</v>
      </c>
      <c r="G409">
        <f>'Claims Data'!M409</f>
        <v>0</v>
      </c>
      <c r="H409" t="b">
        <f>'Claims Data'!L409</f>
        <v>0</v>
      </c>
      <c r="I409">
        <f t="shared" si="12"/>
        <v>0</v>
      </c>
      <c r="J409" t="str">
        <f t="shared" si="13"/>
        <v>Low Risk</v>
      </c>
    </row>
    <row r="410" spans="1:10" x14ac:dyDescent="0.2">
      <c r="A410" t="str">
        <f>'Claims Data'!A410</f>
        <v>CLM00409</v>
      </c>
      <c r="B410" t="str">
        <f>'Claims Data'!B410</f>
        <v>PAT0078</v>
      </c>
      <c r="C410" t="str">
        <f>'Claims Data'!C410</f>
        <v>PRV0001</v>
      </c>
      <c r="D410" s="1">
        <f>'Claims Data'!D410</f>
        <v>45031</v>
      </c>
      <c r="E410">
        <f>'Claims Data'!H410</f>
        <v>7.7</v>
      </c>
      <c r="F410">
        <f>'Claims Data'!J410</f>
        <v>343.71</v>
      </c>
      <c r="G410">
        <f>'Claims Data'!M410</f>
        <v>0</v>
      </c>
      <c r="H410" t="b">
        <f>'Claims Data'!L410</f>
        <v>0</v>
      </c>
      <c r="I410">
        <f t="shared" si="12"/>
        <v>0</v>
      </c>
      <c r="J410" t="str">
        <f t="shared" si="13"/>
        <v>Low Risk</v>
      </c>
    </row>
    <row r="411" spans="1:10" x14ac:dyDescent="0.2">
      <c r="A411" t="str">
        <f>'Claims Data'!A411</f>
        <v>CLM00410</v>
      </c>
      <c r="B411" t="str">
        <f>'Claims Data'!B411</f>
        <v>PAT0145</v>
      </c>
      <c r="C411" t="str">
        <f>'Claims Data'!C411</f>
        <v>PRV0054</v>
      </c>
      <c r="D411" s="1">
        <f>'Claims Data'!D411</f>
        <v>45239</v>
      </c>
      <c r="E411">
        <f>'Claims Data'!H411</f>
        <v>6.4</v>
      </c>
      <c r="F411">
        <f>'Claims Data'!J411</f>
        <v>336.04</v>
      </c>
      <c r="G411">
        <f>'Claims Data'!M411</f>
        <v>0</v>
      </c>
      <c r="H411" t="b">
        <f>'Claims Data'!L411</f>
        <v>0</v>
      </c>
      <c r="I411">
        <f t="shared" si="12"/>
        <v>0</v>
      </c>
      <c r="J411" t="str">
        <f t="shared" si="13"/>
        <v>Low Risk</v>
      </c>
    </row>
    <row r="412" spans="1:10" x14ac:dyDescent="0.2">
      <c r="A412" t="str">
        <f>'Claims Data'!A412</f>
        <v>CLM00411</v>
      </c>
      <c r="B412" t="str">
        <f>'Claims Data'!B412</f>
        <v>PAT0031</v>
      </c>
      <c r="C412" t="str">
        <f>'Claims Data'!C412</f>
        <v>PRV0030</v>
      </c>
      <c r="D412" s="1">
        <f>'Claims Data'!D412</f>
        <v>45502</v>
      </c>
      <c r="E412">
        <f>'Claims Data'!H412</f>
        <v>7.1</v>
      </c>
      <c r="F412">
        <f>'Claims Data'!J412</f>
        <v>516.46</v>
      </c>
      <c r="G412">
        <f>'Claims Data'!M412</f>
        <v>0</v>
      </c>
      <c r="H412" t="b">
        <f>'Claims Data'!L412</f>
        <v>0</v>
      </c>
      <c r="I412">
        <f t="shared" si="12"/>
        <v>0</v>
      </c>
      <c r="J412" t="str">
        <f t="shared" si="13"/>
        <v>Low Risk</v>
      </c>
    </row>
    <row r="413" spans="1:10" x14ac:dyDescent="0.2">
      <c r="A413" t="str">
        <f>'Claims Data'!A413</f>
        <v>CLM00412</v>
      </c>
      <c r="B413" t="str">
        <f>'Claims Data'!B413</f>
        <v>PAT0232</v>
      </c>
      <c r="C413" t="str">
        <f>'Claims Data'!C413</f>
        <v>PRV0031</v>
      </c>
      <c r="D413" s="1">
        <f>'Claims Data'!D413</f>
        <v>45518</v>
      </c>
      <c r="E413">
        <f>'Claims Data'!H413</f>
        <v>7.8</v>
      </c>
      <c r="F413">
        <f>'Claims Data'!J413</f>
        <v>581.03</v>
      </c>
      <c r="G413">
        <f>'Claims Data'!M413</f>
        <v>0</v>
      </c>
      <c r="H413" t="b">
        <f>'Claims Data'!L413</f>
        <v>0</v>
      </c>
      <c r="I413">
        <f t="shared" si="12"/>
        <v>0</v>
      </c>
      <c r="J413" t="str">
        <f t="shared" si="13"/>
        <v>Low Risk</v>
      </c>
    </row>
    <row r="414" spans="1:10" x14ac:dyDescent="0.2">
      <c r="A414" t="str">
        <f>'Claims Data'!A414</f>
        <v>CLM00413</v>
      </c>
      <c r="B414" t="str">
        <f>'Claims Data'!B414</f>
        <v>PAT0264</v>
      </c>
      <c r="C414" t="str">
        <f>'Claims Data'!C414</f>
        <v>PRV0031</v>
      </c>
      <c r="D414" s="1">
        <f>'Claims Data'!D414</f>
        <v>45639</v>
      </c>
      <c r="E414">
        <f>'Claims Data'!H414</f>
        <v>3.9</v>
      </c>
      <c r="F414">
        <f>'Claims Data'!J414</f>
        <v>163.86</v>
      </c>
      <c r="G414">
        <f>'Claims Data'!M414</f>
        <v>0</v>
      </c>
      <c r="H414" t="b">
        <f>'Claims Data'!L414</f>
        <v>0</v>
      </c>
      <c r="I414">
        <f t="shared" si="12"/>
        <v>0</v>
      </c>
      <c r="J414" t="str">
        <f t="shared" si="13"/>
        <v>Low Risk</v>
      </c>
    </row>
    <row r="415" spans="1:10" x14ac:dyDescent="0.2">
      <c r="A415" t="str">
        <f>'Claims Data'!A415</f>
        <v>CLM00414</v>
      </c>
      <c r="B415" t="str">
        <f>'Claims Data'!B415</f>
        <v>PAT0127</v>
      </c>
      <c r="C415" t="str">
        <f>'Claims Data'!C415</f>
        <v>PRV0023</v>
      </c>
      <c r="D415" s="1">
        <f>'Claims Data'!D415</f>
        <v>45042</v>
      </c>
      <c r="E415">
        <f>'Claims Data'!H415</f>
        <v>5.4</v>
      </c>
      <c r="F415">
        <f>'Claims Data'!J415</f>
        <v>292.25</v>
      </c>
      <c r="G415">
        <f>'Claims Data'!M415</f>
        <v>0</v>
      </c>
      <c r="H415" t="b">
        <f>'Claims Data'!L415</f>
        <v>0</v>
      </c>
      <c r="I415">
        <f t="shared" si="12"/>
        <v>0</v>
      </c>
      <c r="J415" t="str">
        <f t="shared" si="13"/>
        <v>Low Risk</v>
      </c>
    </row>
    <row r="416" spans="1:10" x14ac:dyDescent="0.2">
      <c r="A416" t="str">
        <f>'Claims Data'!A416</f>
        <v>CLM00415</v>
      </c>
      <c r="B416" t="str">
        <f>'Claims Data'!B416</f>
        <v>PAT0186</v>
      </c>
      <c r="C416" t="str">
        <f>'Claims Data'!C416</f>
        <v>PRV0050</v>
      </c>
      <c r="D416" s="1">
        <f>'Claims Data'!D416</f>
        <v>45402</v>
      </c>
      <c r="E416">
        <f>'Claims Data'!H416</f>
        <v>2.2999999999999998</v>
      </c>
      <c r="F416">
        <f>'Claims Data'!J416</f>
        <v>143.91</v>
      </c>
      <c r="G416">
        <f>'Claims Data'!M416</f>
        <v>0</v>
      </c>
      <c r="H416" t="b">
        <f>'Claims Data'!L416</f>
        <v>0</v>
      </c>
      <c r="I416">
        <f t="shared" si="12"/>
        <v>0</v>
      </c>
      <c r="J416" t="str">
        <f t="shared" si="13"/>
        <v>Low Risk</v>
      </c>
    </row>
    <row r="417" spans="1:10" x14ac:dyDescent="0.2">
      <c r="A417" t="str">
        <f>'Claims Data'!A417</f>
        <v>CLM00416</v>
      </c>
      <c r="B417" t="str">
        <f>'Claims Data'!B417</f>
        <v>PAT0111</v>
      </c>
      <c r="C417" t="str">
        <f>'Claims Data'!C417</f>
        <v>PRV0015</v>
      </c>
      <c r="D417" s="1">
        <f>'Claims Data'!D417</f>
        <v>45128</v>
      </c>
      <c r="E417">
        <f>'Claims Data'!H417</f>
        <v>2.7</v>
      </c>
      <c r="F417">
        <f>'Claims Data'!J417</f>
        <v>206.44</v>
      </c>
      <c r="G417">
        <f>'Claims Data'!M417</f>
        <v>0</v>
      </c>
      <c r="H417" t="b">
        <f>'Claims Data'!L417</f>
        <v>0</v>
      </c>
      <c r="I417">
        <f t="shared" si="12"/>
        <v>0</v>
      </c>
      <c r="J417" t="str">
        <f t="shared" si="13"/>
        <v>Low Risk</v>
      </c>
    </row>
    <row r="418" spans="1:10" x14ac:dyDescent="0.2">
      <c r="A418" t="str">
        <f>'Claims Data'!A418</f>
        <v>CLM00417</v>
      </c>
      <c r="B418" t="str">
        <f>'Claims Data'!B418</f>
        <v>PAT0252</v>
      </c>
      <c r="C418" t="str">
        <f>'Claims Data'!C418</f>
        <v>PRV0016</v>
      </c>
      <c r="D418" s="1">
        <f>'Claims Data'!D418</f>
        <v>45482</v>
      </c>
      <c r="E418">
        <f>'Claims Data'!H418</f>
        <v>2</v>
      </c>
      <c r="F418">
        <f>'Claims Data'!J418</f>
        <v>164.96</v>
      </c>
      <c r="G418">
        <f>'Claims Data'!M418</f>
        <v>0</v>
      </c>
      <c r="H418" t="b">
        <f>'Claims Data'!L418</f>
        <v>0</v>
      </c>
      <c r="I418">
        <f t="shared" si="12"/>
        <v>0</v>
      </c>
      <c r="J418" t="str">
        <f t="shared" si="13"/>
        <v>Low Risk</v>
      </c>
    </row>
    <row r="419" spans="1:10" x14ac:dyDescent="0.2">
      <c r="A419" t="str">
        <f>'Claims Data'!A419</f>
        <v>CLM00418</v>
      </c>
      <c r="B419" t="str">
        <f>'Claims Data'!B419</f>
        <v>PAT0201</v>
      </c>
      <c r="C419" t="str">
        <f>'Claims Data'!C419</f>
        <v>PRV0031</v>
      </c>
      <c r="D419" s="1">
        <f>'Claims Data'!D419</f>
        <v>45239</v>
      </c>
      <c r="E419">
        <f>'Claims Data'!H419</f>
        <v>7.3</v>
      </c>
      <c r="F419">
        <f>'Claims Data'!J419</f>
        <v>314.72000000000003</v>
      </c>
      <c r="G419">
        <f>'Claims Data'!M419</f>
        <v>0</v>
      </c>
      <c r="H419" t="b">
        <f>'Claims Data'!L419</f>
        <v>0</v>
      </c>
      <c r="I419">
        <f t="shared" si="12"/>
        <v>0</v>
      </c>
      <c r="J419" t="str">
        <f t="shared" si="13"/>
        <v>Low Risk</v>
      </c>
    </row>
    <row r="420" spans="1:10" x14ac:dyDescent="0.2">
      <c r="A420" t="str">
        <f>'Claims Data'!A420</f>
        <v>CLM00419</v>
      </c>
      <c r="B420" t="str">
        <f>'Claims Data'!B420</f>
        <v>PAT0010</v>
      </c>
      <c r="C420" t="str">
        <f>'Claims Data'!C420</f>
        <v>PRV0007</v>
      </c>
      <c r="D420" s="1">
        <f>'Claims Data'!D420</f>
        <v>45354</v>
      </c>
      <c r="E420">
        <f>'Claims Data'!H420</f>
        <v>5.9</v>
      </c>
      <c r="F420">
        <f>'Claims Data'!J420</f>
        <v>236.14</v>
      </c>
      <c r="G420">
        <f>'Claims Data'!M420</f>
        <v>0</v>
      </c>
      <c r="H420" t="b">
        <f>'Claims Data'!L420</f>
        <v>0</v>
      </c>
      <c r="I420">
        <f t="shared" si="12"/>
        <v>0</v>
      </c>
      <c r="J420" t="str">
        <f t="shared" si="13"/>
        <v>Low Risk</v>
      </c>
    </row>
    <row r="421" spans="1:10" x14ac:dyDescent="0.2">
      <c r="A421" t="str">
        <f>'Claims Data'!A421</f>
        <v>CLM00420</v>
      </c>
      <c r="B421" t="str">
        <f>'Claims Data'!B421</f>
        <v>PAT0172</v>
      </c>
      <c r="C421" t="str">
        <f>'Claims Data'!C421</f>
        <v>PRV0016</v>
      </c>
      <c r="D421" s="1">
        <f>'Claims Data'!D421</f>
        <v>44938</v>
      </c>
      <c r="E421">
        <f>'Claims Data'!H421</f>
        <v>2.2999999999999998</v>
      </c>
      <c r="F421">
        <f>'Claims Data'!J421</f>
        <v>143.83000000000001</v>
      </c>
      <c r="G421">
        <f>'Claims Data'!M421</f>
        <v>0</v>
      </c>
      <c r="H421" t="b">
        <f>'Claims Data'!L421</f>
        <v>0</v>
      </c>
      <c r="I421">
        <f t="shared" si="12"/>
        <v>0</v>
      </c>
      <c r="J421" t="str">
        <f t="shared" si="13"/>
        <v>Low Risk</v>
      </c>
    </row>
    <row r="422" spans="1:10" x14ac:dyDescent="0.2">
      <c r="A422" t="str">
        <f>'Claims Data'!A422</f>
        <v>CLM00421</v>
      </c>
      <c r="B422" t="str">
        <f>'Claims Data'!B422</f>
        <v>PAT0277</v>
      </c>
      <c r="C422" t="str">
        <f>'Claims Data'!C422</f>
        <v>PRV0021</v>
      </c>
      <c r="D422" s="1">
        <f>'Claims Data'!D422</f>
        <v>45068</v>
      </c>
      <c r="E422">
        <f>'Claims Data'!H422</f>
        <v>4.5999999999999996</v>
      </c>
      <c r="F422">
        <f>'Claims Data'!J422</f>
        <v>140.16999999999999</v>
      </c>
      <c r="G422">
        <f>'Claims Data'!M422</f>
        <v>0</v>
      </c>
      <c r="H422" t="b">
        <f>'Claims Data'!L422</f>
        <v>0</v>
      </c>
      <c r="I422">
        <f t="shared" si="12"/>
        <v>0</v>
      </c>
      <c r="J422" t="str">
        <f t="shared" si="13"/>
        <v>Low Risk</v>
      </c>
    </row>
    <row r="423" spans="1:10" x14ac:dyDescent="0.2">
      <c r="A423" t="str">
        <f>'Claims Data'!A423</f>
        <v>CLM00422</v>
      </c>
      <c r="B423" t="str">
        <f>'Claims Data'!B423</f>
        <v>PAT0196</v>
      </c>
      <c r="C423" t="str">
        <f>'Claims Data'!C423</f>
        <v>PRV0048</v>
      </c>
      <c r="D423" s="1">
        <f>'Claims Data'!D423</f>
        <v>45207</v>
      </c>
      <c r="E423">
        <f>'Claims Data'!H423</f>
        <v>3.3</v>
      </c>
      <c r="F423">
        <f>'Claims Data'!J423</f>
        <v>97.93</v>
      </c>
      <c r="G423">
        <f>'Claims Data'!M423</f>
        <v>0</v>
      </c>
      <c r="H423" t="b">
        <f>'Claims Data'!L423</f>
        <v>0</v>
      </c>
      <c r="I423">
        <f t="shared" si="12"/>
        <v>0</v>
      </c>
      <c r="J423" t="str">
        <f t="shared" si="13"/>
        <v>Low Risk</v>
      </c>
    </row>
    <row r="424" spans="1:10" x14ac:dyDescent="0.2">
      <c r="A424" t="str">
        <f>'Claims Data'!A424</f>
        <v>CLM00423</v>
      </c>
      <c r="B424" t="str">
        <f>'Claims Data'!B424</f>
        <v>PAT0236</v>
      </c>
      <c r="C424" t="str">
        <f>'Claims Data'!C424</f>
        <v>PRV0059</v>
      </c>
      <c r="D424" s="1">
        <f>'Claims Data'!D424</f>
        <v>45071</v>
      </c>
      <c r="E424">
        <f>'Claims Data'!H424</f>
        <v>5.0999999999999996</v>
      </c>
      <c r="F424">
        <f>'Claims Data'!J424</f>
        <v>263.69</v>
      </c>
      <c r="G424">
        <f>'Claims Data'!M424</f>
        <v>0</v>
      </c>
      <c r="H424" t="b">
        <f>'Claims Data'!L424</f>
        <v>0</v>
      </c>
      <c r="I424">
        <f t="shared" si="12"/>
        <v>0</v>
      </c>
      <c r="J424" t="str">
        <f t="shared" si="13"/>
        <v>Low Risk</v>
      </c>
    </row>
    <row r="425" spans="1:10" x14ac:dyDescent="0.2">
      <c r="A425" t="str">
        <f>'Claims Data'!A425</f>
        <v>CLM00424</v>
      </c>
      <c r="B425" t="str">
        <f>'Claims Data'!B425</f>
        <v>PAT0289</v>
      </c>
      <c r="C425" t="str">
        <f>'Claims Data'!C425</f>
        <v>PRV0034</v>
      </c>
      <c r="D425" s="1">
        <f>'Claims Data'!D425</f>
        <v>45647</v>
      </c>
      <c r="E425">
        <f>'Claims Data'!H425</f>
        <v>6.9</v>
      </c>
      <c r="F425">
        <f>'Claims Data'!J425</f>
        <v>581.6</v>
      </c>
      <c r="G425">
        <f>'Claims Data'!M425</f>
        <v>0</v>
      </c>
      <c r="H425" t="b">
        <f>'Claims Data'!L425</f>
        <v>0</v>
      </c>
      <c r="I425">
        <f t="shared" si="12"/>
        <v>0</v>
      </c>
      <c r="J425" t="str">
        <f t="shared" si="13"/>
        <v>Low Risk</v>
      </c>
    </row>
    <row r="426" spans="1:10" x14ac:dyDescent="0.2">
      <c r="A426" t="str">
        <f>'Claims Data'!A426</f>
        <v>CLM00425</v>
      </c>
      <c r="B426" t="str">
        <f>'Claims Data'!B426</f>
        <v>PAT0087</v>
      </c>
      <c r="C426" t="str">
        <f>'Claims Data'!C426</f>
        <v>PRV0044</v>
      </c>
      <c r="D426" s="1">
        <f>'Claims Data'!D426</f>
        <v>45330</v>
      </c>
      <c r="E426">
        <f>'Claims Data'!H426</f>
        <v>4.9000000000000004</v>
      </c>
      <c r="F426">
        <f>'Claims Data'!J426</f>
        <v>189.81</v>
      </c>
      <c r="G426">
        <f>'Claims Data'!M426</f>
        <v>0</v>
      </c>
      <c r="H426" t="b">
        <f>'Claims Data'!L426</f>
        <v>0</v>
      </c>
      <c r="I426">
        <f t="shared" si="12"/>
        <v>0</v>
      </c>
      <c r="J426" t="str">
        <f t="shared" si="13"/>
        <v>Low Risk</v>
      </c>
    </row>
    <row r="427" spans="1:10" x14ac:dyDescent="0.2">
      <c r="A427" t="str">
        <f>'Claims Data'!A427</f>
        <v>CLM00426</v>
      </c>
      <c r="B427" t="str">
        <f>'Claims Data'!B427</f>
        <v>PAT0070</v>
      </c>
      <c r="C427" t="str">
        <f>'Claims Data'!C427</f>
        <v>PRV0032</v>
      </c>
      <c r="D427" s="1">
        <f>'Claims Data'!D427</f>
        <v>45460</v>
      </c>
      <c r="E427">
        <f>'Claims Data'!H427</f>
        <v>2.6</v>
      </c>
      <c r="F427">
        <f>'Claims Data'!J427</f>
        <v>122.34</v>
      </c>
      <c r="G427">
        <f>'Claims Data'!M427</f>
        <v>0</v>
      </c>
      <c r="H427" t="b">
        <f>'Claims Data'!L427</f>
        <v>0</v>
      </c>
      <c r="I427">
        <f t="shared" si="12"/>
        <v>0</v>
      </c>
      <c r="J427" t="str">
        <f t="shared" si="13"/>
        <v>Low Risk</v>
      </c>
    </row>
    <row r="428" spans="1:10" x14ac:dyDescent="0.2">
      <c r="A428" t="str">
        <f>'Claims Data'!A428</f>
        <v>CLM00427</v>
      </c>
      <c r="B428" t="str">
        <f>'Claims Data'!B428</f>
        <v>PAT0191</v>
      </c>
      <c r="C428" t="str">
        <f>'Claims Data'!C428</f>
        <v>PRV0003</v>
      </c>
      <c r="D428" s="1">
        <f>'Claims Data'!D428</f>
        <v>45355</v>
      </c>
      <c r="E428">
        <f>'Claims Data'!H428</f>
        <v>4.3</v>
      </c>
      <c r="F428">
        <f>'Claims Data'!J428</f>
        <v>317.35000000000002</v>
      </c>
      <c r="G428">
        <f>'Claims Data'!M428</f>
        <v>0</v>
      </c>
      <c r="H428" t="b">
        <f>'Claims Data'!L428</f>
        <v>0</v>
      </c>
      <c r="I428">
        <f t="shared" si="12"/>
        <v>0</v>
      </c>
      <c r="J428" t="str">
        <f t="shared" si="13"/>
        <v>Low Risk</v>
      </c>
    </row>
    <row r="429" spans="1:10" x14ac:dyDescent="0.2">
      <c r="A429" t="str">
        <f>'Claims Data'!A429</f>
        <v>CLM00428</v>
      </c>
      <c r="B429" t="str">
        <f>'Claims Data'!B429</f>
        <v>PAT0074</v>
      </c>
      <c r="C429" t="str">
        <f>'Claims Data'!C429</f>
        <v>PRV0007</v>
      </c>
      <c r="D429" s="1">
        <f>'Claims Data'!D429</f>
        <v>45364</v>
      </c>
      <c r="E429">
        <f>'Claims Data'!H429</f>
        <v>2.4</v>
      </c>
      <c r="F429">
        <f>'Claims Data'!J429</f>
        <v>141.11000000000001</v>
      </c>
      <c r="G429">
        <f>'Claims Data'!M429</f>
        <v>0</v>
      </c>
      <c r="H429" t="b">
        <f>'Claims Data'!L429</f>
        <v>0</v>
      </c>
      <c r="I429">
        <f t="shared" si="12"/>
        <v>0</v>
      </c>
      <c r="J429" t="str">
        <f t="shared" si="13"/>
        <v>Low Risk</v>
      </c>
    </row>
    <row r="430" spans="1:10" x14ac:dyDescent="0.2">
      <c r="A430" t="str">
        <f>'Claims Data'!A430</f>
        <v>CLM00429</v>
      </c>
      <c r="B430" t="str">
        <f>'Claims Data'!B430</f>
        <v>PAT0092</v>
      </c>
      <c r="C430" t="str">
        <f>'Claims Data'!C430</f>
        <v>PRV0032</v>
      </c>
      <c r="D430" s="1">
        <f>'Claims Data'!D430</f>
        <v>45350</v>
      </c>
      <c r="E430">
        <f>'Claims Data'!H430</f>
        <v>4.5999999999999996</v>
      </c>
      <c r="F430">
        <f>'Claims Data'!J430</f>
        <v>314.39</v>
      </c>
      <c r="G430">
        <f>'Claims Data'!M430</f>
        <v>0</v>
      </c>
      <c r="H430" t="b">
        <f>'Claims Data'!L430</f>
        <v>0</v>
      </c>
      <c r="I430">
        <f t="shared" si="12"/>
        <v>0</v>
      </c>
      <c r="J430" t="str">
        <f t="shared" si="13"/>
        <v>Low Risk</v>
      </c>
    </row>
    <row r="431" spans="1:10" x14ac:dyDescent="0.2">
      <c r="A431" t="str">
        <f>'Claims Data'!A431</f>
        <v>CLM00430</v>
      </c>
      <c r="B431" t="str">
        <f>'Claims Data'!B431</f>
        <v>PAT0226</v>
      </c>
      <c r="C431" t="str">
        <f>'Claims Data'!C431</f>
        <v>PRV0060</v>
      </c>
      <c r="D431" s="1">
        <f>'Claims Data'!D431</f>
        <v>45133</v>
      </c>
      <c r="E431">
        <f>'Claims Data'!H431</f>
        <v>7.5</v>
      </c>
      <c r="F431">
        <f>'Claims Data'!J431</f>
        <v>464.73</v>
      </c>
      <c r="G431">
        <f>'Claims Data'!M431</f>
        <v>0</v>
      </c>
      <c r="H431" t="b">
        <f>'Claims Data'!L431</f>
        <v>0</v>
      </c>
      <c r="I431">
        <f t="shared" si="12"/>
        <v>0</v>
      </c>
      <c r="J431" t="str">
        <f t="shared" si="13"/>
        <v>Low Risk</v>
      </c>
    </row>
    <row r="432" spans="1:10" x14ac:dyDescent="0.2">
      <c r="A432" t="str">
        <f>'Claims Data'!A432</f>
        <v>CLM00431</v>
      </c>
      <c r="B432" t="str">
        <f>'Claims Data'!B432</f>
        <v>PAT0101</v>
      </c>
      <c r="C432" t="str">
        <f>'Claims Data'!C432</f>
        <v>PRV0042</v>
      </c>
      <c r="D432" s="1">
        <f>'Claims Data'!D432</f>
        <v>45031</v>
      </c>
      <c r="E432">
        <f>'Claims Data'!H432</f>
        <v>2.5</v>
      </c>
      <c r="F432">
        <f>'Claims Data'!J432</f>
        <v>77.569999999999993</v>
      </c>
      <c r="G432">
        <f>'Claims Data'!M432</f>
        <v>0</v>
      </c>
      <c r="H432" t="b">
        <f>'Claims Data'!L432</f>
        <v>0</v>
      </c>
      <c r="I432">
        <f t="shared" si="12"/>
        <v>0</v>
      </c>
      <c r="J432" t="str">
        <f t="shared" si="13"/>
        <v>Low Risk</v>
      </c>
    </row>
    <row r="433" spans="1:10" x14ac:dyDescent="0.2">
      <c r="A433" t="str">
        <f>'Claims Data'!A433</f>
        <v>CLM00432</v>
      </c>
      <c r="B433" t="str">
        <f>'Claims Data'!B433</f>
        <v>PAT0043</v>
      </c>
      <c r="C433" t="str">
        <f>'Claims Data'!C433</f>
        <v>PRV0017</v>
      </c>
      <c r="D433" s="1">
        <f>'Claims Data'!D433</f>
        <v>45328</v>
      </c>
      <c r="E433">
        <f>'Claims Data'!H433</f>
        <v>4.0999999999999996</v>
      </c>
      <c r="F433">
        <f>'Claims Data'!J433</f>
        <v>208.13</v>
      </c>
      <c r="G433">
        <f>'Claims Data'!M433</f>
        <v>0</v>
      </c>
      <c r="H433" t="b">
        <f>'Claims Data'!L433</f>
        <v>0</v>
      </c>
      <c r="I433">
        <f t="shared" si="12"/>
        <v>0</v>
      </c>
      <c r="J433" t="str">
        <f t="shared" si="13"/>
        <v>Low Risk</v>
      </c>
    </row>
    <row r="434" spans="1:10" x14ac:dyDescent="0.2">
      <c r="A434" t="str">
        <f>'Claims Data'!A434</f>
        <v>CLM00433</v>
      </c>
      <c r="B434" t="str">
        <f>'Claims Data'!B434</f>
        <v>PAT0034</v>
      </c>
      <c r="C434" t="str">
        <f>'Claims Data'!C434</f>
        <v>PRV0034</v>
      </c>
      <c r="D434" s="1">
        <f>'Claims Data'!D434</f>
        <v>45617</v>
      </c>
      <c r="E434">
        <f>'Claims Data'!H434</f>
        <v>3.7</v>
      </c>
      <c r="F434">
        <f>'Claims Data'!J434</f>
        <v>111.2</v>
      </c>
      <c r="G434">
        <f>'Claims Data'!M434</f>
        <v>0</v>
      </c>
      <c r="H434" t="b">
        <f>'Claims Data'!L434</f>
        <v>0</v>
      </c>
      <c r="I434">
        <f t="shared" si="12"/>
        <v>0</v>
      </c>
      <c r="J434" t="str">
        <f t="shared" si="13"/>
        <v>Low Risk</v>
      </c>
    </row>
    <row r="435" spans="1:10" x14ac:dyDescent="0.2">
      <c r="A435" t="str">
        <f>'Claims Data'!A435</f>
        <v>CLM00434</v>
      </c>
      <c r="B435" t="str">
        <f>'Claims Data'!B435</f>
        <v>PAT0203</v>
      </c>
      <c r="C435" t="str">
        <f>'Claims Data'!C435</f>
        <v>PRV0029</v>
      </c>
      <c r="D435" s="1">
        <f>'Claims Data'!D435</f>
        <v>45580</v>
      </c>
      <c r="E435">
        <f>'Claims Data'!H435</f>
        <v>6.7</v>
      </c>
      <c r="F435">
        <f>'Claims Data'!J435</f>
        <v>445.07</v>
      </c>
      <c r="G435">
        <f>'Claims Data'!M435</f>
        <v>0</v>
      </c>
      <c r="H435" t="b">
        <f>'Claims Data'!L435</f>
        <v>0</v>
      </c>
      <c r="I435">
        <f t="shared" si="12"/>
        <v>0</v>
      </c>
      <c r="J435" t="str">
        <f t="shared" si="13"/>
        <v>Low Risk</v>
      </c>
    </row>
    <row r="436" spans="1:10" x14ac:dyDescent="0.2">
      <c r="A436" t="str">
        <f>'Claims Data'!A436</f>
        <v>CLM00435</v>
      </c>
      <c r="B436" t="str">
        <f>'Claims Data'!B436</f>
        <v>PAT0010</v>
      </c>
      <c r="C436" t="str">
        <f>'Claims Data'!C436</f>
        <v>PRV0037</v>
      </c>
      <c r="D436" s="1">
        <f>'Claims Data'!D436</f>
        <v>44971</v>
      </c>
      <c r="E436">
        <f>'Claims Data'!H436</f>
        <v>3.2</v>
      </c>
      <c r="F436">
        <f>'Claims Data'!J436</f>
        <v>196.53</v>
      </c>
      <c r="G436">
        <f>'Claims Data'!M436</f>
        <v>0</v>
      </c>
      <c r="H436" t="b">
        <f>'Claims Data'!L436</f>
        <v>0</v>
      </c>
      <c r="I436">
        <f t="shared" si="12"/>
        <v>0</v>
      </c>
      <c r="J436" t="str">
        <f t="shared" si="13"/>
        <v>Low Risk</v>
      </c>
    </row>
    <row r="437" spans="1:10" x14ac:dyDescent="0.2">
      <c r="A437" t="str">
        <f>'Claims Data'!A437</f>
        <v>CLM00436</v>
      </c>
      <c r="B437" t="str">
        <f>'Claims Data'!B437</f>
        <v>PAT0109</v>
      </c>
      <c r="C437" t="str">
        <f>'Claims Data'!C437</f>
        <v>PRV0002</v>
      </c>
      <c r="D437" s="1">
        <f>'Claims Data'!D437</f>
        <v>45061</v>
      </c>
      <c r="E437">
        <f>'Claims Data'!H437</f>
        <v>3.8</v>
      </c>
      <c r="F437">
        <f>'Claims Data'!J437</f>
        <v>107.44</v>
      </c>
      <c r="G437">
        <f>'Claims Data'!M437</f>
        <v>0</v>
      </c>
      <c r="H437" t="b">
        <f>'Claims Data'!L437</f>
        <v>0</v>
      </c>
      <c r="I437">
        <f t="shared" si="12"/>
        <v>0</v>
      </c>
      <c r="J437" t="str">
        <f t="shared" si="13"/>
        <v>Low Risk</v>
      </c>
    </row>
    <row r="438" spans="1:10" x14ac:dyDescent="0.2">
      <c r="A438" t="str">
        <f>'Claims Data'!A438</f>
        <v>CLM00437</v>
      </c>
      <c r="B438" t="str">
        <f>'Claims Data'!B438</f>
        <v>PAT0035</v>
      </c>
      <c r="C438" t="str">
        <f>'Claims Data'!C438</f>
        <v>PRV0029</v>
      </c>
      <c r="D438" s="1">
        <f>'Claims Data'!D438</f>
        <v>45007</v>
      </c>
      <c r="E438">
        <f>'Claims Data'!H438</f>
        <v>19</v>
      </c>
      <c r="F438">
        <f>'Claims Data'!J438</f>
        <v>750</v>
      </c>
      <c r="G438" t="str">
        <f>'Claims Data'!M438</f>
        <v>phantom_round_amount</v>
      </c>
      <c r="H438" t="b">
        <f>'Claims Data'!L438</f>
        <v>1</v>
      </c>
      <c r="I438">
        <f t="shared" si="12"/>
        <v>80</v>
      </c>
      <c r="J438" t="str">
        <f t="shared" si="13"/>
        <v>High Risk</v>
      </c>
    </row>
    <row r="439" spans="1:10" x14ac:dyDescent="0.2">
      <c r="A439" t="str">
        <f>'Claims Data'!A439</f>
        <v>CLM00438</v>
      </c>
      <c r="B439" t="str">
        <f>'Claims Data'!B439</f>
        <v>PAT0031</v>
      </c>
      <c r="C439" t="str">
        <f>'Claims Data'!C439</f>
        <v>PRV0035</v>
      </c>
      <c r="D439" s="1">
        <f>'Claims Data'!D439</f>
        <v>44956</v>
      </c>
      <c r="E439">
        <f>'Claims Data'!H439</f>
        <v>5.2</v>
      </c>
      <c r="F439">
        <f>'Claims Data'!J439</f>
        <v>435.04</v>
      </c>
      <c r="G439">
        <f>'Claims Data'!M439</f>
        <v>0</v>
      </c>
      <c r="H439" t="b">
        <f>'Claims Data'!L439</f>
        <v>0</v>
      </c>
      <c r="I439">
        <f t="shared" si="12"/>
        <v>0</v>
      </c>
      <c r="J439" t="str">
        <f t="shared" si="13"/>
        <v>Low Risk</v>
      </c>
    </row>
    <row r="440" spans="1:10" x14ac:dyDescent="0.2">
      <c r="A440" t="str">
        <f>'Claims Data'!A440</f>
        <v>CLM00439</v>
      </c>
      <c r="B440" t="str">
        <f>'Claims Data'!B440</f>
        <v>PAT0064</v>
      </c>
      <c r="C440" t="str">
        <f>'Claims Data'!C440</f>
        <v>PRV0029</v>
      </c>
      <c r="D440" s="1">
        <f>'Claims Data'!D440</f>
        <v>45573</v>
      </c>
      <c r="E440">
        <f>'Claims Data'!H440</f>
        <v>2.8</v>
      </c>
      <c r="F440">
        <f>'Claims Data'!J440</f>
        <v>214.62</v>
      </c>
      <c r="G440">
        <f>'Claims Data'!M440</f>
        <v>0</v>
      </c>
      <c r="H440" t="b">
        <f>'Claims Data'!L440</f>
        <v>0</v>
      </c>
      <c r="I440">
        <f t="shared" si="12"/>
        <v>0</v>
      </c>
      <c r="J440" t="str">
        <f t="shared" si="13"/>
        <v>Low Risk</v>
      </c>
    </row>
    <row r="441" spans="1:10" x14ac:dyDescent="0.2">
      <c r="A441" t="str">
        <f>'Claims Data'!A441</f>
        <v>CLM00440</v>
      </c>
      <c r="B441" t="str">
        <f>'Claims Data'!B441</f>
        <v>PAT0053</v>
      </c>
      <c r="C441" t="str">
        <f>'Claims Data'!C441</f>
        <v>PRV0021</v>
      </c>
      <c r="D441" s="1">
        <f>'Claims Data'!D441</f>
        <v>45553</v>
      </c>
      <c r="E441">
        <f>'Claims Data'!H441</f>
        <v>4.2</v>
      </c>
      <c r="F441">
        <f>'Claims Data'!J441</f>
        <v>277.10000000000002</v>
      </c>
      <c r="G441">
        <f>'Claims Data'!M441</f>
        <v>0</v>
      </c>
      <c r="H441" t="b">
        <f>'Claims Data'!L441</f>
        <v>0</v>
      </c>
      <c r="I441">
        <f t="shared" si="12"/>
        <v>0</v>
      </c>
      <c r="J441" t="str">
        <f t="shared" si="13"/>
        <v>Low Risk</v>
      </c>
    </row>
    <row r="442" spans="1:10" x14ac:dyDescent="0.2">
      <c r="A442" t="str">
        <f>'Claims Data'!A442</f>
        <v>CLM00441</v>
      </c>
      <c r="B442" t="str">
        <f>'Claims Data'!B442</f>
        <v>PAT0204</v>
      </c>
      <c r="C442" t="str">
        <f>'Claims Data'!C442</f>
        <v>PRV0017</v>
      </c>
      <c r="D442" s="1">
        <f>'Claims Data'!D442</f>
        <v>45028</v>
      </c>
      <c r="E442">
        <f>'Claims Data'!H442</f>
        <v>2.1</v>
      </c>
      <c r="F442">
        <f>'Claims Data'!J442</f>
        <v>61.01</v>
      </c>
      <c r="G442">
        <f>'Claims Data'!M442</f>
        <v>0</v>
      </c>
      <c r="H442" t="b">
        <f>'Claims Data'!L442</f>
        <v>0</v>
      </c>
      <c r="I442">
        <f t="shared" si="12"/>
        <v>0</v>
      </c>
      <c r="J442" t="str">
        <f t="shared" si="13"/>
        <v>Low Risk</v>
      </c>
    </row>
    <row r="443" spans="1:10" x14ac:dyDescent="0.2">
      <c r="A443" t="str">
        <f>'Claims Data'!A443</f>
        <v>CLM00442</v>
      </c>
      <c r="B443" t="str">
        <f>'Claims Data'!B443</f>
        <v>PAT0131</v>
      </c>
      <c r="C443" t="str">
        <f>'Claims Data'!C443</f>
        <v>PRV0036</v>
      </c>
      <c r="D443" s="1">
        <f>'Claims Data'!D443</f>
        <v>45200</v>
      </c>
      <c r="E443">
        <f>'Claims Data'!H443</f>
        <v>2.2000000000000002</v>
      </c>
      <c r="F443">
        <f>'Claims Data'!J443</f>
        <v>62.98</v>
      </c>
      <c r="G443">
        <f>'Claims Data'!M443</f>
        <v>0</v>
      </c>
      <c r="H443" t="b">
        <f>'Claims Data'!L443</f>
        <v>0</v>
      </c>
      <c r="I443">
        <f t="shared" si="12"/>
        <v>0</v>
      </c>
      <c r="J443" t="str">
        <f t="shared" si="13"/>
        <v>Low Risk</v>
      </c>
    </row>
    <row r="444" spans="1:10" x14ac:dyDescent="0.2">
      <c r="A444" t="str">
        <f>'Claims Data'!A444</f>
        <v>CLM00443</v>
      </c>
      <c r="B444" t="str">
        <f>'Claims Data'!B444</f>
        <v>PAT0216</v>
      </c>
      <c r="C444" t="str">
        <f>'Claims Data'!C444</f>
        <v>PRV0036</v>
      </c>
      <c r="D444" s="1">
        <f>'Claims Data'!D444</f>
        <v>45583</v>
      </c>
      <c r="E444">
        <f>'Claims Data'!H444</f>
        <v>5.8</v>
      </c>
      <c r="F444">
        <f>'Claims Data'!J444</f>
        <v>319.37</v>
      </c>
      <c r="G444">
        <f>'Claims Data'!M444</f>
        <v>0</v>
      </c>
      <c r="H444" t="b">
        <f>'Claims Data'!L444</f>
        <v>0</v>
      </c>
      <c r="I444">
        <f t="shared" si="12"/>
        <v>0</v>
      </c>
      <c r="J444" t="str">
        <f t="shared" si="13"/>
        <v>Low Risk</v>
      </c>
    </row>
    <row r="445" spans="1:10" x14ac:dyDescent="0.2">
      <c r="A445" t="str">
        <f>'Claims Data'!A445</f>
        <v>CLM00444</v>
      </c>
      <c r="B445" t="str">
        <f>'Claims Data'!B445</f>
        <v>PAT0256</v>
      </c>
      <c r="C445" t="str">
        <f>'Claims Data'!C445</f>
        <v>PRV0021</v>
      </c>
      <c r="D445" s="1">
        <f>'Claims Data'!D445</f>
        <v>45359</v>
      </c>
      <c r="E445">
        <f>'Claims Data'!H445</f>
        <v>6.2</v>
      </c>
      <c r="F445">
        <f>'Claims Data'!J445</f>
        <v>185.66</v>
      </c>
      <c r="G445">
        <f>'Claims Data'!M445</f>
        <v>0</v>
      </c>
      <c r="H445" t="b">
        <f>'Claims Data'!L445</f>
        <v>0</v>
      </c>
      <c r="I445">
        <f t="shared" si="12"/>
        <v>0</v>
      </c>
      <c r="J445" t="str">
        <f t="shared" si="13"/>
        <v>Low Risk</v>
      </c>
    </row>
    <row r="446" spans="1:10" x14ac:dyDescent="0.2">
      <c r="A446" t="str">
        <f>'Claims Data'!A446</f>
        <v>CLM00445</v>
      </c>
      <c r="B446" t="str">
        <f>'Claims Data'!B446</f>
        <v>PAT0190</v>
      </c>
      <c r="C446" t="str">
        <f>'Claims Data'!C446</f>
        <v>PRV0060</v>
      </c>
      <c r="D446" s="1">
        <f>'Claims Data'!D446</f>
        <v>44986</v>
      </c>
      <c r="E446">
        <f>'Claims Data'!H446</f>
        <v>3.7</v>
      </c>
      <c r="F446">
        <f>'Claims Data'!J446</f>
        <v>161.30000000000001</v>
      </c>
      <c r="G446">
        <f>'Claims Data'!M446</f>
        <v>0</v>
      </c>
      <c r="H446" t="b">
        <f>'Claims Data'!L446</f>
        <v>0</v>
      </c>
      <c r="I446">
        <f t="shared" si="12"/>
        <v>0</v>
      </c>
      <c r="J446" t="str">
        <f t="shared" si="13"/>
        <v>Low Risk</v>
      </c>
    </row>
    <row r="447" spans="1:10" x14ac:dyDescent="0.2">
      <c r="A447" t="str">
        <f>'Claims Data'!A447</f>
        <v>CLM00446</v>
      </c>
      <c r="B447" t="str">
        <f>'Claims Data'!B447</f>
        <v>PAT0059</v>
      </c>
      <c r="C447" t="str">
        <f>'Claims Data'!C447</f>
        <v>PRV0031</v>
      </c>
      <c r="D447" s="1">
        <f>'Claims Data'!D447</f>
        <v>45196</v>
      </c>
      <c r="E447">
        <f>'Claims Data'!H447</f>
        <v>43.7</v>
      </c>
      <c r="F447">
        <f>'Claims Data'!J447</f>
        <v>1500</v>
      </c>
      <c r="G447" t="str">
        <f>'Claims Data'!M447</f>
        <v>phantom_round_amount</v>
      </c>
      <c r="H447" t="b">
        <f>'Claims Data'!L447</f>
        <v>1</v>
      </c>
      <c r="I447">
        <f t="shared" si="12"/>
        <v>80</v>
      </c>
      <c r="J447" t="str">
        <f t="shared" si="13"/>
        <v>High Risk</v>
      </c>
    </row>
    <row r="448" spans="1:10" x14ac:dyDescent="0.2">
      <c r="A448" t="str">
        <f>'Claims Data'!A448</f>
        <v>CLM00447</v>
      </c>
      <c r="B448" t="str">
        <f>'Claims Data'!B448</f>
        <v>PAT0124</v>
      </c>
      <c r="C448" t="str">
        <f>'Claims Data'!C448</f>
        <v>PRV0045</v>
      </c>
      <c r="D448" s="1">
        <f>'Claims Data'!D448</f>
        <v>45159</v>
      </c>
      <c r="E448">
        <f>'Claims Data'!H448</f>
        <v>5.5</v>
      </c>
      <c r="F448">
        <f>'Claims Data'!J448</f>
        <v>389.36</v>
      </c>
      <c r="G448">
        <f>'Claims Data'!M448</f>
        <v>0</v>
      </c>
      <c r="H448" t="b">
        <f>'Claims Data'!L448</f>
        <v>0</v>
      </c>
      <c r="I448">
        <f t="shared" si="12"/>
        <v>0</v>
      </c>
      <c r="J448" t="str">
        <f t="shared" si="13"/>
        <v>Low Risk</v>
      </c>
    </row>
    <row r="449" spans="1:10" x14ac:dyDescent="0.2">
      <c r="A449" t="str">
        <f>'Claims Data'!A449</f>
        <v>CLM00448</v>
      </c>
      <c r="B449" t="str">
        <f>'Claims Data'!B449</f>
        <v>PAT0100</v>
      </c>
      <c r="C449" t="str">
        <f>'Claims Data'!C449</f>
        <v>PRV0042</v>
      </c>
      <c r="D449" s="1">
        <f>'Claims Data'!D449</f>
        <v>45497</v>
      </c>
      <c r="E449">
        <f>'Claims Data'!H449</f>
        <v>3.9</v>
      </c>
      <c r="F449">
        <f>'Claims Data'!J449</f>
        <v>199.87</v>
      </c>
      <c r="G449">
        <f>'Claims Data'!M449</f>
        <v>0</v>
      </c>
      <c r="H449" t="b">
        <f>'Claims Data'!L449</f>
        <v>0</v>
      </c>
      <c r="I449">
        <f t="shared" si="12"/>
        <v>0</v>
      </c>
      <c r="J449" t="str">
        <f t="shared" si="13"/>
        <v>Low Risk</v>
      </c>
    </row>
    <row r="450" spans="1:10" x14ac:dyDescent="0.2">
      <c r="A450" t="str">
        <f>'Claims Data'!A450</f>
        <v>CLM00449</v>
      </c>
      <c r="B450" t="str">
        <f>'Claims Data'!B450</f>
        <v>PAT0282</v>
      </c>
      <c r="C450" t="str">
        <f>'Claims Data'!C450</f>
        <v>PRV0042</v>
      </c>
      <c r="D450" s="1">
        <f>'Claims Data'!D450</f>
        <v>45096</v>
      </c>
      <c r="E450">
        <f>'Claims Data'!H450</f>
        <v>3.5</v>
      </c>
      <c r="F450">
        <f>'Claims Data'!J450</f>
        <v>281.67</v>
      </c>
      <c r="G450">
        <f>'Claims Data'!M450</f>
        <v>0</v>
      </c>
      <c r="H450" t="b">
        <f>'Claims Data'!L450</f>
        <v>0</v>
      </c>
      <c r="I450">
        <f t="shared" si="12"/>
        <v>0</v>
      </c>
      <c r="J450" t="str">
        <f t="shared" si="13"/>
        <v>Low Risk</v>
      </c>
    </row>
    <row r="451" spans="1:10" x14ac:dyDescent="0.2">
      <c r="A451" t="str">
        <f>'Claims Data'!A451</f>
        <v>CLM00450</v>
      </c>
      <c r="B451" t="str">
        <f>'Claims Data'!B451</f>
        <v>PAT0109</v>
      </c>
      <c r="C451" t="str">
        <f>'Claims Data'!C451</f>
        <v>PRV0041</v>
      </c>
      <c r="D451" s="1">
        <f>'Claims Data'!D451</f>
        <v>45161</v>
      </c>
      <c r="E451">
        <f>'Claims Data'!H451</f>
        <v>5.7</v>
      </c>
      <c r="F451">
        <f>'Claims Data'!J451</f>
        <v>161.32</v>
      </c>
      <c r="G451">
        <f>'Claims Data'!M451</f>
        <v>0</v>
      </c>
      <c r="H451" t="b">
        <f>'Claims Data'!L451</f>
        <v>0</v>
      </c>
      <c r="I451">
        <f t="shared" ref="I451:I514" si="14">IF(E451&gt;16,40,0)+IF(MOD(F451,250)=0,30,0)+IF(H451=TRUE,10,0)</f>
        <v>0</v>
      </c>
      <c r="J451" t="str">
        <f t="shared" ref="J451:J514" si="15">IF(I451&gt;=70,"High Risk",IF(I451&gt;=30,"Medium Risk","Low Risk"))</f>
        <v>Low Risk</v>
      </c>
    </row>
    <row r="452" spans="1:10" x14ac:dyDescent="0.2">
      <c r="A452" t="str">
        <f>'Claims Data'!A452</f>
        <v>CLM00451</v>
      </c>
      <c r="B452" t="str">
        <f>'Claims Data'!B452</f>
        <v>PAT0272</v>
      </c>
      <c r="C452" t="str">
        <f>'Claims Data'!C452</f>
        <v>PRV0046</v>
      </c>
      <c r="D452" s="1">
        <f>'Claims Data'!D452</f>
        <v>45655</v>
      </c>
      <c r="E452">
        <f>'Claims Data'!H452</f>
        <v>2.7</v>
      </c>
      <c r="F452">
        <f>'Claims Data'!J452</f>
        <v>182.18</v>
      </c>
      <c r="G452">
        <f>'Claims Data'!M452</f>
        <v>0</v>
      </c>
      <c r="H452" t="b">
        <f>'Claims Data'!L452</f>
        <v>0</v>
      </c>
      <c r="I452">
        <f t="shared" si="14"/>
        <v>0</v>
      </c>
      <c r="J452" t="str">
        <f t="shared" si="15"/>
        <v>Low Risk</v>
      </c>
    </row>
    <row r="453" spans="1:10" x14ac:dyDescent="0.2">
      <c r="A453" t="str">
        <f>'Claims Data'!A453</f>
        <v>CLM00452</v>
      </c>
      <c r="B453" t="str">
        <f>'Claims Data'!B453</f>
        <v>PAT0159</v>
      </c>
      <c r="C453" t="str">
        <f>'Claims Data'!C453</f>
        <v>PRV0052</v>
      </c>
      <c r="D453" s="1">
        <f>'Claims Data'!D453</f>
        <v>45457</v>
      </c>
      <c r="E453">
        <f>'Claims Data'!H453</f>
        <v>3</v>
      </c>
      <c r="F453">
        <f>'Claims Data'!J453</f>
        <v>246.54</v>
      </c>
      <c r="G453">
        <f>'Claims Data'!M453</f>
        <v>0</v>
      </c>
      <c r="H453" t="b">
        <f>'Claims Data'!L453</f>
        <v>0</v>
      </c>
      <c r="I453">
        <f t="shared" si="14"/>
        <v>0</v>
      </c>
      <c r="J453" t="str">
        <f t="shared" si="15"/>
        <v>Low Risk</v>
      </c>
    </row>
    <row r="454" spans="1:10" x14ac:dyDescent="0.2">
      <c r="A454" t="str">
        <f>'Claims Data'!A454</f>
        <v>CLM00453</v>
      </c>
      <c r="B454" t="str">
        <f>'Claims Data'!B454</f>
        <v>PAT0006</v>
      </c>
      <c r="C454" t="str">
        <f>'Claims Data'!C454</f>
        <v>PRV0026</v>
      </c>
      <c r="D454" s="1">
        <f>'Claims Data'!D454</f>
        <v>44989</v>
      </c>
      <c r="E454">
        <f>'Claims Data'!H454</f>
        <v>3</v>
      </c>
      <c r="F454">
        <f>'Claims Data'!J454</f>
        <v>97.85</v>
      </c>
      <c r="G454">
        <f>'Claims Data'!M454</f>
        <v>0</v>
      </c>
      <c r="H454" t="b">
        <f>'Claims Data'!L454</f>
        <v>0</v>
      </c>
      <c r="I454">
        <f t="shared" si="14"/>
        <v>0</v>
      </c>
      <c r="J454" t="str">
        <f t="shared" si="15"/>
        <v>Low Risk</v>
      </c>
    </row>
    <row r="455" spans="1:10" x14ac:dyDescent="0.2">
      <c r="A455" t="str">
        <f>'Claims Data'!A455</f>
        <v>CLM00454</v>
      </c>
      <c r="B455" t="str">
        <f>'Claims Data'!B455</f>
        <v>PAT0176</v>
      </c>
      <c r="C455" t="str">
        <f>'Claims Data'!C455</f>
        <v>PRV0054</v>
      </c>
      <c r="D455" s="1">
        <f>'Claims Data'!D455</f>
        <v>45253</v>
      </c>
      <c r="E455">
        <f>'Claims Data'!H455</f>
        <v>6.6</v>
      </c>
      <c r="F455">
        <f>'Claims Data'!J455</f>
        <v>176.63</v>
      </c>
      <c r="G455">
        <f>'Claims Data'!M455</f>
        <v>0</v>
      </c>
      <c r="H455" t="b">
        <f>'Claims Data'!L455</f>
        <v>0</v>
      </c>
      <c r="I455">
        <f t="shared" si="14"/>
        <v>0</v>
      </c>
      <c r="J455" t="str">
        <f t="shared" si="15"/>
        <v>Low Risk</v>
      </c>
    </row>
    <row r="456" spans="1:10" x14ac:dyDescent="0.2">
      <c r="A456" t="str">
        <f>'Claims Data'!A456</f>
        <v>CLM00455</v>
      </c>
      <c r="B456" t="str">
        <f>'Claims Data'!B456</f>
        <v>PAT0274</v>
      </c>
      <c r="C456" t="str">
        <f>'Claims Data'!C456</f>
        <v>PRV0034</v>
      </c>
      <c r="D456" s="1">
        <f>'Claims Data'!D456</f>
        <v>45417</v>
      </c>
      <c r="E456">
        <f>'Claims Data'!H456</f>
        <v>5.0999999999999996</v>
      </c>
      <c r="F456">
        <f>'Claims Data'!J456</f>
        <v>207.96</v>
      </c>
      <c r="G456">
        <f>'Claims Data'!M456</f>
        <v>0</v>
      </c>
      <c r="H456" t="b">
        <f>'Claims Data'!L456</f>
        <v>0</v>
      </c>
      <c r="I456">
        <f t="shared" si="14"/>
        <v>0</v>
      </c>
      <c r="J456" t="str">
        <f t="shared" si="15"/>
        <v>Low Risk</v>
      </c>
    </row>
    <row r="457" spans="1:10" x14ac:dyDescent="0.2">
      <c r="A457" t="str">
        <f>'Claims Data'!A457</f>
        <v>CLM00456</v>
      </c>
      <c r="B457" t="str">
        <f>'Claims Data'!B457</f>
        <v>PAT0027</v>
      </c>
      <c r="C457" t="str">
        <f>'Claims Data'!C457</f>
        <v>PRV0013</v>
      </c>
      <c r="D457" s="1">
        <f>'Claims Data'!D457</f>
        <v>45366</v>
      </c>
      <c r="E457">
        <f>'Claims Data'!H457</f>
        <v>5</v>
      </c>
      <c r="F457">
        <f>'Claims Data'!J457</f>
        <v>278.23</v>
      </c>
      <c r="G457" t="str">
        <f>'Claims Data'!M457</f>
        <v>duplicate_claim</v>
      </c>
      <c r="H457" t="b">
        <f>'Claims Data'!L457</f>
        <v>1</v>
      </c>
      <c r="I457">
        <f t="shared" si="14"/>
        <v>10</v>
      </c>
      <c r="J457" t="str">
        <f t="shared" si="15"/>
        <v>Low Risk</v>
      </c>
    </row>
    <row r="458" spans="1:10" x14ac:dyDescent="0.2">
      <c r="A458" t="str">
        <f>'Claims Data'!A458</f>
        <v>CLM00457</v>
      </c>
      <c r="B458" t="str">
        <f>'Claims Data'!B458</f>
        <v>PAT0046</v>
      </c>
      <c r="C458" t="str">
        <f>'Claims Data'!C458</f>
        <v>PRV0026</v>
      </c>
      <c r="D458" s="1">
        <f>'Claims Data'!D458</f>
        <v>45089</v>
      </c>
      <c r="E458">
        <f>'Claims Data'!H458</f>
        <v>7.2</v>
      </c>
      <c r="F458">
        <f>'Claims Data'!J458</f>
        <v>252.09</v>
      </c>
      <c r="G458">
        <f>'Claims Data'!M458</f>
        <v>0</v>
      </c>
      <c r="H458" t="b">
        <f>'Claims Data'!L458</f>
        <v>0</v>
      </c>
      <c r="I458">
        <f t="shared" si="14"/>
        <v>0</v>
      </c>
      <c r="J458" t="str">
        <f t="shared" si="15"/>
        <v>Low Risk</v>
      </c>
    </row>
    <row r="459" spans="1:10" x14ac:dyDescent="0.2">
      <c r="A459" t="str">
        <f>'Claims Data'!A459</f>
        <v>CLM00458</v>
      </c>
      <c r="B459" t="str">
        <f>'Claims Data'!B459</f>
        <v>PAT0205</v>
      </c>
      <c r="C459" t="str">
        <f>'Claims Data'!C459</f>
        <v>PRV0030</v>
      </c>
      <c r="D459" s="1">
        <f>'Claims Data'!D459</f>
        <v>45201</v>
      </c>
      <c r="E459">
        <f>'Claims Data'!H459</f>
        <v>6.6</v>
      </c>
      <c r="F459">
        <f>'Claims Data'!J459</f>
        <v>519.13</v>
      </c>
      <c r="G459">
        <f>'Claims Data'!M459</f>
        <v>0</v>
      </c>
      <c r="H459" t="b">
        <f>'Claims Data'!L459</f>
        <v>0</v>
      </c>
      <c r="I459">
        <f t="shared" si="14"/>
        <v>0</v>
      </c>
      <c r="J459" t="str">
        <f t="shared" si="15"/>
        <v>Low Risk</v>
      </c>
    </row>
    <row r="460" spans="1:10" x14ac:dyDescent="0.2">
      <c r="A460" t="str">
        <f>'Claims Data'!A460</f>
        <v>CLM00459</v>
      </c>
      <c r="B460" t="str">
        <f>'Claims Data'!B460</f>
        <v>PAT0006</v>
      </c>
      <c r="C460" t="str">
        <f>'Claims Data'!C460</f>
        <v>PRV0050</v>
      </c>
      <c r="D460" s="1">
        <f>'Claims Data'!D460</f>
        <v>45122</v>
      </c>
      <c r="E460">
        <f>'Claims Data'!H460</f>
        <v>3.4</v>
      </c>
      <c r="F460">
        <f>'Claims Data'!J460</f>
        <v>188.8</v>
      </c>
      <c r="G460">
        <f>'Claims Data'!M460</f>
        <v>0</v>
      </c>
      <c r="H460" t="b">
        <f>'Claims Data'!L460</f>
        <v>0</v>
      </c>
      <c r="I460">
        <f t="shared" si="14"/>
        <v>0</v>
      </c>
      <c r="J460" t="str">
        <f t="shared" si="15"/>
        <v>Low Risk</v>
      </c>
    </row>
    <row r="461" spans="1:10" x14ac:dyDescent="0.2">
      <c r="A461" t="str">
        <f>'Claims Data'!A461</f>
        <v>CLM00460</v>
      </c>
      <c r="B461" t="str">
        <f>'Claims Data'!B461</f>
        <v>PAT0113</v>
      </c>
      <c r="C461" t="str">
        <f>'Claims Data'!C461</f>
        <v>PRV0047</v>
      </c>
      <c r="D461" s="1">
        <f>'Claims Data'!D461</f>
        <v>45098</v>
      </c>
      <c r="E461">
        <f>'Claims Data'!H461</f>
        <v>3.5</v>
      </c>
      <c r="F461">
        <f>'Claims Data'!J461</f>
        <v>186.57</v>
      </c>
      <c r="G461">
        <f>'Claims Data'!M461</f>
        <v>0</v>
      </c>
      <c r="H461" t="b">
        <f>'Claims Data'!L461</f>
        <v>0</v>
      </c>
      <c r="I461">
        <f t="shared" si="14"/>
        <v>0</v>
      </c>
      <c r="J461" t="str">
        <f t="shared" si="15"/>
        <v>Low Risk</v>
      </c>
    </row>
    <row r="462" spans="1:10" x14ac:dyDescent="0.2">
      <c r="A462" t="str">
        <f>'Claims Data'!A462</f>
        <v>CLM00461</v>
      </c>
      <c r="B462" t="str">
        <f>'Claims Data'!B462</f>
        <v>PAT0284</v>
      </c>
      <c r="C462" t="str">
        <f>'Claims Data'!C462</f>
        <v>PRV0055</v>
      </c>
      <c r="D462" s="1">
        <f>'Claims Data'!D462</f>
        <v>45467</v>
      </c>
      <c r="E462">
        <f>'Claims Data'!H462</f>
        <v>24.2</v>
      </c>
      <c r="F462">
        <f>'Claims Data'!J462</f>
        <v>2000</v>
      </c>
      <c r="G462" t="str">
        <f>'Claims Data'!M462</f>
        <v>phantom_round_amount</v>
      </c>
      <c r="H462" t="b">
        <f>'Claims Data'!L462</f>
        <v>1</v>
      </c>
      <c r="I462">
        <f t="shared" si="14"/>
        <v>80</v>
      </c>
      <c r="J462" t="str">
        <f t="shared" si="15"/>
        <v>High Risk</v>
      </c>
    </row>
    <row r="463" spans="1:10" x14ac:dyDescent="0.2">
      <c r="A463" t="str">
        <f>'Claims Data'!A463</f>
        <v>CLM00462</v>
      </c>
      <c r="B463" t="str">
        <f>'Claims Data'!B463</f>
        <v>PAT0277</v>
      </c>
      <c r="C463" t="str">
        <f>'Claims Data'!C463</f>
        <v>PRV0057</v>
      </c>
      <c r="D463" s="1">
        <f>'Claims Data'!D463</f>
        <v>45400</v>
      </c>
      <c r="E463">
        <f>'Claims Data'!H463</f>
        <v>3.3</v>
      </c>
      <c r="F463">
        <f>'Claims Data'!J463</f>
        <v>131.66</v>
      </c>
      <c r="G463">
        <f>'Claims Data'!M463</f>
        <v>0</v>
      </c>
      <c r="H463" t="b">
        <f>'Claims Data'!L463</f>
        <v>0</v>
      </c>
      <c r="I463">
        <f t="shared" si="14"/>
        <v>0</v>
      </c>
      <c r="J463" t="str">
        <f t="shared" si="15"/>
        <v>Low Risk</v>
      </c>
    </row>
    <row r="464" spans="1:10" x14ac:dyDescent="0.2">
      <c r="A464" t="str">
        <f>'Claims Data'!A464</f>
        <v>CLM00463</v>
      </c>
      <c r="B464" t="str">
        <f>'Claims Data'!B464</f>
        <v>PAT0068</v>
      </c>
      <c r="C464" t="str">
        <f>'Claims Data'!C464</f>
        <v>PRV0040</v>
      </c>
      <c r="D464" s="1">
        <f>'Claims Data'!D464</f>
        <v>44983</v>
      </c>
      <c r="E464">
        <f>'Claims Data'!H464</f>
        <v>3.6</v>
      </c>
      <c r="F464">
        <f>'Claims Data'!J464</f>
        <v>106.82</v>
      </c>
      <c r="G464" t="str">
        <f>'Claims Data'!M464</f>
        <v>duplicate_claim</v>
      </c>
      <c r="H464" t="b">
        <f>'Claims Data'!L464</f>
        <v>1</v>
      </c>
      <c r="I464">
        <f t="shared" si="14"/>
        <v>10</v>
      </c>
      <c r="J464" t="str">
        <f t="shared" si="15"/>
        <v>Low Risk</v>
      </c>
    </row>
    <row r="465" spans="1:10" x14ac:dyDescent="0.2">
      <c r="A465" t="str">
        <f>'Claims Data'!A465</f>
        <v>CLM00464</v>
      </c>
      <c r="B465" t="str">
        <f>'Claims Data'!B465</f>
        <v>PAT0300</v>
      </c>
      <c r="C465" t="str">
        <f>'Claims Data'!C465</f>
        <v>PRV0047</v>
      </c>
      <c r="D465" s="1">
        <f>'Claims Data'!D465</f>
        <v>45457</v>
      </c>
      <c r="E465">
        <f>'Claims Data'!H465</f>
        <v>31.6</v>
      </c>
      <c r="F465">
        <f>'Claims Data'!J465</f>
        <v>2500</v>
      </c>
      <c r="G465" t="str">
        <f>'Claims Data'!M465</f>
        <v>phantom_round_amount</v>
      </c>
      <c r="H465" t="b">
        <f>'Claims Data'!L465</f>
        <v>1</v>
      </c>
      <c r="I465">
        <f t="shared" si="14"/>
        <v>80</v>
      </c>
      <c r="J465" t="str">
        <f t="shared" si="15"/>
        <v>High Risk</v>
      </c>
    </row>
    <row r="466" spans="1:10" x14ac:dyDescent="0.2">
      <c r="A466" t="str">
        <f>'Claims Data'!A466</f>
        <v>CLM00465</v>
      </c>
      <c r="B466" t="str">
        <f>'Claims Data'!B466</f>
        <v>PAT0028</v>
      </c>
      <c r="C466" t="str">
        <f>'Claims Data'!C466</f>
        <v>PRV0001</v>
      </c>
      <c r="D466" s="1">
        <f>'Claims Data'!D466</f>
        <v>45639</v>
      </c>
      <c r="E466">
        <f>'Claims Data'!H466</f>
        <v>6.8</v>
      </c>
      <c r="F466">
        <f>'Claims Data'!J466</f>
        <v>570.41999999999996</v>
      </c>
      <c r="G466">
        <f>'Claims Data'!M466</f>
        <v>0</v>
      </c>
      <c r="H466" t="b">
        <f>'Claims Data'!L466</f>
        <v>0</v>
      </c>
      <c r="I466">
        <f t="shared" si="14"/>
        <v>0</v>
      </c>
      <c r="J466" t="str">
        <f t="shared" si="15"/>
        <v>Low Risk</v>
      </c>
    </row>
    <row r="467" spans="1:10" x14ac:dyDescent="0.2">
      <c r="A467" t="str">
        <f>'Claims Data'!A467</f>
        <v>CLM00466</v>
      </c>
      <c r="B467" t="str">
        <f>'Claims Data'!B467</f>
        <v>PAT0274</v>
      </c>
      <c r="C467" t="str">
        <f>'Claims Data'!C467</f>
        <v>PRV0014</v>
      </c>
      <c r="D467" s="1">
        <f>'Claims Data'!D467</f>
        <v>45233</v>
      </c>
      <c r="E467">
        <f>'Claims Data'!H467</f>
        <v>7.3</v>
      </c>
      <c r="F467">
        <f>'Claims Data'!J467</f>
        <v>561.82000000000005</v>
      </c>
      <c r="G467">
        <f>'Claims Data'!M467</f>
        <v>0</v>
      </c>
      <c r="H467" t="b">
        <f>'Claims Data'!L467</f>
        <v>0</v>
      </c>
      <c r="I467">
        <f t="shared" si="14"/>
        <v>0</v>
      </c>
      <c r="J467" t="str">
        <f t="shared" si="15"/>
        <v>Low Risk</v>
      </c>
    </row>
    <row r="468" spans="1:10" x14ac:dyDescent="0.2">
      <c r="A468" t="str">
        <f>'Claims Data'!A468</f>
        <v>CLM00467</v>
      </c>
      <c r="B468" t="str">
        <f>'Claims Data'!B468</f>
        <v>PAT0034</v>
      </c>
      <c r="C468" t="str">
        <f>'Claims Data'!C468</f>
        <v>PRV0032</v>
      </c>
      <c r="D468" s="1">
        <f>'Claims Data'!D468</f>
        <v>45394</v>
      </c>
      <c r="E468">
        <f>'Claims Data'!H468</f>
        <v>2.5</v>
      </c>
      <c r="F468">
        <f>'Claims Data'!J468</f>
        <v>131.01</v>
      </c>
      <c r="G468">
        <f>'Claims Data'!M468</f>
        <v>0</v>
      </c>
      <c r="H468" t="b">
        <f>'Claims Data'!L468</f>
        <v>0</v>
      </c>
      <c r="I468">
        <f t="shared" si="14"/>
        <v>0</v>
      </c>
      <c r="J468" t="str">
        <f t="shared" si="15"/>
        <v>Low Risk</v>
      </c>
    </row>
    <row r="469" spans="1:10" x14ac:dyDescent="0.2">
      <c r="A469" t="str">
        <f>'Claims Data'!A469</f>
        <v>CLM00468</v>
      </c>
      <c r="B469" t="str">
        <f>'Claims Data'!B469</f>
        <v>PAT0267</v>
      </c>
      <c r="C469" t="str">
        <f>'Claims Data'!C469</f>
        <v>PRV0033</v>
      </c>
      <c r="D469" s="1">
        <f>'Claims Data'!D469</f>
        <v>45353</v>
      </c>
      <c r="E469">
        <f>'Claims Data'!H469</f>
        <v>3.7</v>
      </c>
      <c r="F469">
        <f>'Claims Data'!J469</f>
        <v>266.66000000000003</v>
      </c>
      <c r="G469">
        <f>'Claims Data'!M469</f>
        <v>0</v>
      </c>
      <c r="H469" t="b">
        <f>'Claims Data'!L469</f>
        <v>0</v>
      </c>
      <c r="I469">
        <f t="shared" si="14"/>
        <v>0</v>
      </c>
      <c r="J469" t="str">
        <f t="shared" si="15"/>
        <v>Low Risk</v>
      </c>
    </row>
    <row r="470" spans="1:10" x14ac:dyDescent="0.2">
      <c r="A470" t="str">
        <f>'Claims Data'!A470</f>
        <v>CLM00469</v>
      </c>
      <c r="B470" t="str">
        <f>'Claims Data'!B470</f>
        <v>PAT0271</v>
      </c>
      <c r="C470" t="str">
        <f>'Claims Data'!C470</f>
        <v>PRV0046</v>
      </c>
      <c r="D470" s="1">
        <f>'Claims Data'!D470</f>
        <v>45537</v>
      </c>
      <c r="E470">
        <f>'Claims Data'!H470</f>
        <v>18.3</v>
      </c>
      <c r="F470">
        <f>'Claims Data'!J470</f>
        <v>1107.1500000000001</v>
      </c>
      <c r="G470" t="str">
        <f>'Claims Data'!M470</f>
        <v>inflated_hours</v>
      </c>
      <c r="H470" t="b">
        <f>'Claims Data'!L470</f>
        <v>1</v>
      </c>
      <c r="I470">
        <f t="shared" si="14"/>
        <v>50</v>
      </c>
      <c r="J470" t="str">
        <f t="shared" si="15"/>
        <v>Medium Risk</v>
      </c>
    </row>
    <row r="471" spans="1:10" x14ac:dyDescent="0.2">
      <c r="A471" t="str">
        <f>'Claims Data'!A471</f>
        <v>CLM00470</v>
      </c>
      <c r="B471" t="str">
        <f>'Claims Data'!B471</f>
        <v>PAT0006</v>
      </c>
      <c r="C471" t="str">
        <f>'Claims Data'!C471</f>
        <v>PRV0021</v>
      </c>
      <c r="D471" s="1">
        <f>'Claims Data'!D471</f>
        <v>45088</v>
      </c>
      <c r="E471">
        <f>'Claims Data'!H471</f>
        <v>6.4</v>
      </c>
      <c r="F471">
        <f>'Claims Data'!J471</f>
        <v>369.88</v>
      </c>
      <c r="G471">
        <f>'Claims Data'!M471</f>
        <v>0</v>
      </c>
      <c r="H471" t="b">
        <f>'Claims Data'!L471</f>
        <v>0</v>
      </c>
      <c r="I471">
        <f t="shared" si="14"/>
        <v>0</v>
      </c>
      <c r="J471" t="str">
        <f t="shared" si="15"/>
        <v>Low Risk</v>
      </c>
    </row>
    <row r="472" spans="1:10" x14ac:dyDescent="0.2">
      <c r="A472" t="str">
        <f>'Claims Data'!A472</f>
        <v>CLM00471</v>
      </c>
      <c r="B472" t="str">
        <f>'Claims Data'!B472</f>
        <v>PAT0234</v>
      </c>
      <c r="C472" t="str">
        <f>'Claims Data'!C472</f>
        <v>PRV0049</v>
      </c>
      <c r="D472" s="1">
        <f>'Claims Data'!D472</f>
        <v>45229</v>
      </c>
      <c r="E472">
        <f>'Claims Data'!H472</f>
        <v>2</v>
      </c>
      <c r="F472">
        <f>'Claims Data'!J472</f>
        <v>99.2</v>
      </c>
      <c r="G472">
        <f>'Claims Data'!M472</f>
        <v>0</v>
      </c>
      <c r="H472" t="b">
        <f>'Claims Data'!L472</f>
        <v>0</v>
      </c>
      <c r="I472">
        <f t="shared" si="14"/>
        <v>0</v>
      </c>
      <c r="J472" t="str">
        <f t="shared" si="15"/>
        <v>Low Risk</v>
      </c>
    </row>
    <row r="473" spans="1:10" x14ac:dyDescent="0.2">
      <c r="A473" t="str">
        <f>'Claims Data'!A473</f>
        <v>CLM00472</v>
      </c>
      <c r="B473" t="str">
        <f>'Claims Data'!B473</f>
        <v>PAT0164</v>
      </c>
      <c r="C473" t="str">
        <f>'Claims Data'!C473</f>
        <v>PRV0044</v>
      </c>
      <c r="D473" s="1">
        <f>'Claims Data'!D473</f>
        <v>45117</v>
      </c>
      <c r="E473">
        <f>'Claims Data'!H473</f>
        <v>5.8</v>
      </c>
      <c r="F473">
        <f>'Claims Data'!J473</f>
        <v>386.32</v>
      </c>
      <c r="G473">
        <f>'Claims Data'!M473</f>
        <v>0</v>
      </c>
      <c r="H473" t="b">
        <f>'Claims Data'!L473</f>
        <v>0</v>
      </c>
      <c r="I473">
        <f t="shared" si="14"/>
        <v>0</v>
      </c>
      <c r="J473" t="str">
        <f t="shared" si="15"/>
        <v>Low Risk</v>
      </c>
    </row>
    <row r="474" spans="1:10" x14ac:dyDescent="0.2">
      <c r="A474" t="str">
        <f>'Claims Data'!A474</f>
        <v>CLM00473</v>
      </c>
      <c r="B474" t="str">
        <f>'Claims Data'!B474</f>
        <v>PAT0103</v>
      </c>
      <c r="C474" t="str">
        <f>'Claims Data'!C474</f>
        <v>PRV0054</v>
      </c>
      <c r="D474" s="1">
        <f>'Claims Data'!D474</f>
        <v>45354</v>
      </c>
      <c r="E474">
        <f>'Claims Data'!H474</f>
        <v>2</v>
      </c>
      <c r="F474">
        <f>'Claims Data'!J474</f>
        <v>128.88</v>
      </c>
      <c r="G474">
        <f>'Claims Data'!M474</f>
        <v>0</v>
      </c>
      <c r="H474" t="b">
        <f>'Claims Data'!L474</f>
        <v>0</v>
      </c>
      <c r="I474">
        <f t="shared" si="14"/>
        <v>0</v>
      </c>
      <c r="J474" t="str">
        <f t="shared" si="15"/>
        <v>Low Risk</v>
      </c>
    </row>
    <row r="475" spans="1:10" x14ac:dyDescent="0.2">
      <c r="A475" t="str">
        <f>'Claims Data'!A475</f>
        <v>CLM00474</v>
      </c>
      <c r="B475" t="str">
        <f>'Claims Data'!B475</f>
        <v>PAT0180</v>
      </c>
      <c r="C475" t="str">
        <f>'Claims Data'!C475</f>
        <v>PRV0028</v>
      </c>
      <c r="D475" s="1">
        <f>'Claims Data'!D475</f>
        <v>45123</v>
      </c>
      <c r="E475">
        <f>'Claims Data'!H475</f>
        <v>2.6</v>
      </c>
      <c r="F475">
        <f>'Claims Data'!J475</f>
        <v>147.65</v>
      </c>
      <c r="G475">
        <f>'Claims Data'!M475</f>
        <v>0</v>
      </c>
      <c r="H475" t="b">
        <f>'Claims Data'!L475</f>
        <v>0</v>
      </c>
      <c r="I475">
        <f t="shared" si="14"/>
        <v>0</v>
      </c>
      <c r="J475" t="str">
        <f t="shared" si="15"/>
        <v>Low Risk</v>
      </c>
    </row>
    <row r="476" spans="1:10" x14ac:dyDescent="0.2">
      <c r="A476" t="str">
        <f>'Claims Data'!A476</f>
        <v>CLM00475</v>
      </c>
      <c r="B476" t="str">
        <f>'Claims Data'!B476</f>
        <v>PAT0193</v>
      </c>
      <c r="C476" t="str">
        <f>'Claims Data'!C476</f>
        <v>PRV0040</v>
      </c>
      <c r="D476" s="1">
        <f>'Claims Data'!D476</f>
        <v>44940</v>
      </c>
      <c r="E476">
        <f>'Claims Data'!H476</f>
        <v>5</v>
      </c>
      <c r="F476">
        <f>'Claims Data'!J476</f>
        <v>142.97</v>
      </c>
      <c r="G476">
        <f>'Claims Data'!M476</f>
        <v>0</v>
      </c>
      <c r="H476" t="b">
        <f>'Claims Data'!L476</f>
        <v>0</v>
      </c>
      <c r="I476">
        <f t="shared" si="14"/>
        <v>0</v>
      </c>
      <c r="J476" t="str">
        <f t="shared" si="15"/>
        <v>Low Risk</v>
      </c>
    </row>
    <row r="477" spans="1:10" x14ac:dyDescent="0.2">
      <c r="A477" t="str">
        <f>'Claims Data'!A477</f>
        <v>CLM00476</v>
      </c>
      <c r="B477" t="str">
        <f>'Claims Data'!B477</f>
        <v>PAT0079</v>
      </c>
      <c r="C477" t="str">
        <f>'Claims Data'!C477</f>
        <v>PRV0057</v>
      </c>
      <c r="D477" s="1">
        <f>'Claims Data'!D477</f>
        <v>45304</v>
      </c>
      <c r="E477">
        <f>'Claims Data'!H477</f>
        <v>2.6</v>
      </c>
      <c r="F477">
        <f>'Claims Data'!J477</f>
        <v>208.72</v>
      </c>
      <c r="G477">
        <f>'Claims Data'!M477</f>
        <v>0</v>
      </c>
      <c r="H477" t="b">
        <f>'Claims Data'!L477</f>
        <v>0</v>
      </c>
      <c r="I477">
        <f t="shared" si="14"/>
        <v>0</v>
      </c>
      <c r="J477" t="str">
        <f t="shared" si="15"/>
        <v>Low Risk</v>
      </c>
    </row>
    <row r="478" spans="1:10" x14ac:dyDescent="0.2">
      <c r="A478" t="str">
        <f>'Claims Data'!A478</f>
        <v>CLM00477</v>
      </c>
      <c r="B478" t="str">
        <f>'Claims Data'!B478</f>
        <v>PAT0031</v>
      </c>
      <c r="C478" t="str">
        <f>'Claims Data'!C478</f>
        <v>PRV0053</v>
      </c>
      <c r="D478" s="1">
        <f>'Claims Data'!D478</f>
        <v>45153</v>
      </c>
      <c r="E478">
        <f>'Claims Data'!H478</f>
        <v>6.2</v>
      </c>
      <c r="F478">
        <f>'Claims Data'!J478</f>
        <v>293.57</v>
      </c>
      <c r="G478">
        <f>'Claims Data'!M478</f>
        <v>0</v>
      </c>
      <c r="H478" t="b">
        <f>'Claims Data'!L478</f>
        <v>0</v>
      </c>
      <c r="I478">
        <f t="shared" si="14"/>
        <v>0</v>
      </c>
      <c r="J478" t="str">
        <f t="shared" si="15"/>
        <v>Low Risk</v>
      </c>
    </row>
    <row r="479" spans="1:10" x14ac:dyDescent="0.2">
      <c r="A479" t="str">
        <f>'Claims Data'!A479</f>
        <v>CLM00478</v>
      </c>
      <c r="B479" t="str">
        <f>'Claims Data'!B479</f>
        <v>PAT0190</v>
      </c>
      <c r="C479" t="str">
        <f>'Claims Data'!C479</f>
        <v>PRV0041</v>
      </c>
      <c r="D479" s="1">
        <f>'Claims Data'!D479</f>
        <v>45423</v>
      </c>
      <c r="E479">
        <f>'Claims Data'!H479</f>
        <v>5.5</v>
      </c>
      <c r="F479">
        <f>'Claims Data'!J479</f>
        <v>304.29000000000002</v>
      </c>
      <c r="G479">
        <f>'Claims Data'!M479</f>
        <v>0</v>
      </c>
      <c r="H479" t="b">
        <f>'Claims Data'!L479</f>
        <v>0</v>
      </c>
      <c r="I479">
        <f t="shared" si="14"/>
        <v>0</v>
      </c>
      <c r="J479" t="str">
        <f t="shared" si="15"/>
        <v>Low Risk</v>
      </c>
    </row>
    <row r="480" spans="1:10" x14ac:dyDescent="0.2">
      <c r="A480" t="str">
        <f>'Claims Data'!A480</f>
        <v>CLM00479</v>
      </c>
      <c r="B480" t="str">
        <f>'Claims Data'!B480</f>
        <v>PAT0225</v>
      </c>
      <c r="C480" t="str">
        <f>'Claims Data'!C480</f>
        <v>PRV0026</v>
      </c>
      <c r="D480" s="1">
        <f>'Claims Data'!D480</f>
        <v>45461</v>
      </c>
      <c r="E480">
        <f>'Claims Data'!H480</f>
        <v>2.4</v>
      </c>
      <c r="F480">
        <f>'Claims Data'!J480</f>
        <v>141.77000000000001</v>
      </c>
      <c r="G480">
        <f>'Claims Data'!M480</f>
        <v>0</v>
      </c>
      <c r="H480" t="b">
        <f>'Claims Data'!L480</f>
        <v>0</v>
      </c>
      <c r="I480">
        <f t="shared" si="14"/>
        <v>0</v>
      </c>
      <c r="J480" t="str">
        <f t="shared" si="15"/>
        <v>Low Risk</v>
      </c>
    </row>
    <row r="481" spans="1:10" x14ac:dyDescent="0.2">
      <c r="A481" t="str">
        <f>'Claims Data'!A481</f>
        <v>CLM00480</v>
      </c>
      <c r="B481" t="str">
        <f>'Claims Data'!B481</f>
        <v>PAT0102</v>
      </c>
      <c r="C481" t="str">
        <f>'Claims Data'!C481</f>
        <v>PRV0038</v>
      </c>
      <c r="D481" s="1">
        <f>'Claims Data'!D481</f>
        <v>45354</v>
      </c>
      <c r="E481">
        <f>'Claims Data'!H481</f>
        <v>3.4</v>
      </c>
      <c r="F481">
        <f>'Claims Data'!J481</f>
        <v>138.24</v>
      </c>
      <c r="G481">
        <f>'Claims Data'!M481</f>
        <v>0</v>
      </c>
      <c r="H481" t="b">
        <f>'Claims Data'!L481</f>
        <v>0</v>
      </c>
      <c r="I481">
        <f t="shared" si="14"/>
        <v>0</v>
      </c>
      <c r="J481" t="str">
        <f t="shared" si="15"/>
        <v>Low Risk</v>
      </c>
    </row>
    <row r="482" spans="1:10" x14ac:dyDescent="0.2">
      <c r="A482" t="str">
        <f>'Claims Data'!A482</f>
        <v>CLM00481</v>
      </c>
      <c r="B482" t="str">
        <f>'Claims Data'!B482</f>
        <v>PAT0068</v>
      </c>
      <c r="C482" t="str">
        <f>'Claims Data'!C482</f>
        <v>PRV0018</v>
      </c>
      <c r="D482" s="1">
        <f>'Claims Data'!D482</f>
        <v>45214</v>
      </c>
      <c r="E482">
        <f>'Claims Data'!H482</f>
        <v>6.2</v>
      </c>
      <c r="F482">
        <f>'Claims Data'!J482</f>
        <v>428.55</v>
      </c>
      <c r="G482">
        <f>'Claims Data'!M482</f>
        <v>0</v>
      </c>
      <c r="H482" t="b">
        <f>'Claims Data'!L482</f>
        <v>0</v>
      </c>
      <c r="I482">
        <f t="shared" si="14"/>
        <v>0</v>
      </c>
      <c r="J482" t="str">
        <f t="shared" si="15"/>
        <v>Low Risk</v>
      </c>
    </row>
    <row r="483" spans="1:10" x14ac:dyDescent="0.2">
      <c r="A483" t="str">
        <f>'Claims Data'!A483</f>
        <v>CLM00482</v>
      </c>
      <c r="B483" t="str">
        <f>'Claims Data'!B483</f>
        <v>PAT0013</v>
      </c>
      <c r="C483" t="str">
        <f>'Claims Data'!C483</f>
        <v>PRV0042</v>
      </c>
      <c r="D483" s="1">
        <f>'Claims Data'!D483</f>
        <v>45462</v>
      </c>
      <c r="E483">
        <f>'Claims Data'!H483</f>
        <v>3.6</v>
      </c>
      <c r="F483">
        <f>'Claims Data'!J483</f>
        <v>106.13</v>
      </c>
      <c r="G483">
        <f>'Claims Data'!M483</f>
        <v>0</v>
      </c>
      <c r="H483" t="b">
        <f>'Claims Data'!L483</f>
        <v>0</v>
      </c>
      <c r="I483">
        <f t="shared" si="14"/>
        <v>0</v>
      </c>
      <c r="J483" t="str">
        <f t="shared" si="15"/>
        <v>Low Risk</v>
      </c>
    </row>
    <row r="484" spans="1:10" x14ac:dyDescent="0.2">
      <c r="A484" t="str">
        <f>'Claims Data'!A484</f>
        <v>CLM00483</v>
      </c>
      <c r="B484" t="str">
        <f>'Claims Data'!B484</f>
        <v>PAT0238</v>
      </c>
      <c r="C484" t="str">
        <f>'Claims Data'!C484</f>
        <v>PRV0014</v>
      </c>
      <c r="D484" s="1">
        <f>'Claims Data'!D484</f>
        <v>45493</v>
      </c>
      <c r="E484">
        <f>'Claims Data'!H484</f>
        <v>6.7</v>
      </c>
      <c r="F484">
        <f>'Claims Data'!J484</f>
        <v>402.55</v>
      </c>
      <c r="G484">
        <f>'Claims Data'!M484</f>
        <v>0</v>
      </c>
      <c r="H484" t="b">
        <f>'Claims Data'!L484</f>
        <v>0</v>
      </c>
      <c r="I484">
        <f t="shared" si="14"/>
        <v>0</v>
      </c>
      <c r="J484" t="str">
        <f t="shared" si="15"/>
        <v>Low Risk</v>
      </c>
    </row>
    <row r="485" spans="1:10" x14ac:dyDescent="0.2">
      <c r="A485" t="str">
        <f>'Claims Data'!A485</f>
        <v>CLM00484</v>
      </c>
      <c r="B485" t="str">
        <f>'Claims Data'!B485</f>
        <v>PAT0135</v>
      </c>
      <c r="C485" t="str">
        <f>'Claims Data'!C485</f>
        <v>PRV0039</v>
      </c>
      <c r="D485" s="1">
        <f>'Claims Data'!D485</f>
        <v>45159</v>
      </c>
      <c r="E485">
        <f>'Claims Data'!H485</f>
        <v>3</v>
      </c>
      <c r="F485">
        <f>'Claims Data'!J485</f>
        <v>158.88999999999999</v>
      </c>
      <c r="G485">
        <f>'Claims Data'!M485</f>
        <v>0</v>
      </c>
      <c r="H485" t="b">
        <f>'Claims Data'!L485</f>
        <v>0</v>
      </c>
      <c r="I485">
        <f t="shared" si="14"/>
        <v>0</v>
      </c>
      <c r="J485" t="str">
        <f t="shared" si="15"/>
        <v>Low Risk</v>
      </c>
    </row>
    <row r="486" spans="1:10" x14ac:dyDescent="0.2">
      <c r="A486" t="str">
        <f>'Claims Data'!A486</f>
        <v>CLM00485</v>
      </c>
      <c r="B486" t="str">
        <f>'Claims Data'!B486</f>
        <v>PAT0101</v>
      </c>
      <c r="C486" t="str">
        <f>'Claims Data'!C486</f>
        <v>PRV0010</v>
      </c>
      <c r="D486" s="1">
        <f>'Claims Data'!D486</f>
        <v>45223</v>
      </c>
      <c r="E486">
        <f>'Claims Data'!H486</f>
        <v>5.2</v>
      </c>
      <c r="F486">
        <f>'Claims Data'!J486</f>
        <v>430.97</v>
      </c>
      <c r="G486">
        <f>'Claims Data'!M486</f>
        <v>0</v>
      </c>
      <c r="H486" t="b">
        <f>'Claims Data'!L486</f>
        <v>0</v>
      </c>
      <c r="I486">
        <f t="shared" si="14"/>
        <v>0</v>
      </c>
      <c r="J486" t="str">
        <f t="shared" si="15"/>
        <v>Low Risk</v>
      </c>
    </row>
    <row r="487" spans="1:10" x14ac:dyDescent="0.2">
      <c r="A487" t="str">
        <f>'Claims Data'!A487</f>
        <v>CLM00486</v>
      </c>
      <c r="B487" t="str">
        <f>'Claims Data'!B487</f>
        <v>PAT0059</v>
      </c>
      <c r="C487" t="str">
        <f>'Claims Data'!C487</f>
        <v>PRV0035</v>
      </c>
      <c r="D487" s="1">
        <f>'Claims Data'!D487</f>
        <v>45430</v>
      </c>
      <c r="E487">
        <f>'Claims Data'!H487</f>
        <v>3.8</v>
      </c>
      <c r="F487">
        <f>'Claims Data'!J487</f>
        <v>155.41999999999999</v>
      </c>
      <c r="G487">
        <f>'Claims Data'!M487</f>
        <v>0</v>
      </c>
      <c r="H487" t="b">
        <f>'Claims Data'!L487</f>
        <v>0</v>
      </c>
      <c r="I487">
        <f t="shared" si="14"/>
        <v>0</v>
      </c>
      <c r="J487" t="str">
        <f t="shared" si="15"/>
        <v>Low Risk</v>
      </c>
    </row>
    <row r="488" spans="1:10" x14ac:dyDescent="0.2">
      <c r="A488" t="str">
        <f>'Claims Data'!A488</f>
        <v>CLM00487</v>
      </c>
      <c r="B488" t="str">
        <f>'Claims Data'!B488</f>
        <v>PAT0207</v>
      </c>
      <c r="C488" t="str">
        <f>'Claims Data'!C488</f>
        <v>PRV0057</v>
      </c>
      <c r="D488" s="1">
        <f>'Claims Data'!D488</f>
        <v>45592</v>
      </c>
      <c r="E488">
        <f>'Claims Data'!H488</f>
        <v>2.9</v>
      </c>
      <c r="F488">
        <f>'Claims Data'!J488</f>
        <v>191.87</v>
      </c>
      <c r="G488">
        <f>'Claims Data'!M488</f>
        <v>0</v>
      </c>
      <c r="H488" t="b">
        <f>'Claims Data'!L488</f>
        <v>0</v>
      </c>
      <c r="I488">
        <f t="shared" si="14"/>
        <v>0</v>
      </c>
      <c r="J488" t="str">
        <f t="shared" si="15"/>
        <v>Low Risk</v>
      </c>
    </row>
    <row r="489" spans="1:10" x14ac:dyDescent="0.2">
      <c r="A489" t="str">
        <f>'Claims Data'!A489</f>
        <v>CLM00488</v>
      </c>
      <c r="B489" t="str">
        <f>'Claims Data'!B489</f>
        <v>PAT0045</v>
      </c>
      <c r="C489" t="str">
        <f>'Claims Data'!C489</f>
        <v>PRV0059</v>
      </c>
      <c r="D489" s="1">
        <f>'Claims Data'!D489</f>
        <v>45522</v>
      </c>
      <c r="E489">
        <f>'Claims Data'!H489</f>
        <v>3.3</v>
      </c>
      <c r="F489">
        <f>'Claims Data'!J489</f>
        <v>252.1</v>
      </c>
      <c r="G489">
        <f>'Claims Data'!M489</f>
        <v>0</v>
      </c>
      <c r="H489" t="b">
        <f>'Claims Data'!L489</f>
        <v>0</v>
      </c>
      <c r="I489">
        <f t="shared" si="14"/>
        <v>0</v>
      </c>
      <c r="J489" t="str">
        <f t="shared" si="15"/>
        <v>Low Risk</v>
      </c>
    </row>
    <row r="490" spans="1:10" x14ac:dyDescent="0.2">
      <c r="A490" t="str">
        <f>'Claims Data'!A490</f>
        <v>CLM00489</v>
      </c>
      <c r="B490" t="str">
        <f>'Claims Data'!B490</f>
        <v>PAT0181</v>
      </c>
      <c r="C490" t="str">
        <f>'Claims Data'!C490</f>
        <v>PRV0012</v>
      </c>
      <c r="D490" s="1">
        <f>'Claims Data'!D490</f>
        <v>45081</v>
      </c>
      <c r="E490">
        <f>'Claims Data'!H490</f>
        <v>6.3</v>
      </c>
      <c r="F490">
        <f>'Claims Data'!J490</f>
        <v>523.55999999999995</v>
      </c>
      <c r="G490">
        <f>'Claims Data'!M490</f>
        <v>0</v>
      </c>
      <c r="H490" t="b">
        <f>'Claims Data'!L490</f>
        <v>0</v>
      </c>
      <c r="I490">
        <f t="shared" si="14"/>
        <v>0</v>
      </c>
      <c r="J490" t="str">
        <f t="shared" si="15"/>
        <v>Low Risk</v>
      </c>
    </row>
    <row r="491" spans="1:10" x14ac:dyDescent="0.2">
      <c r="A491" t="str">
        <f>'Claims Data'!A491</f>
        <v>CLM00490</v>
      </c>
      <c r="B491" t="str">
        <f>'Claims Data'!B491</f>
        <v>PAT0116</v>
      </c>
      <c r="C491" t="str">
        <f>'Claims Data'!C491</f>
        <v>PRV0043</v>
      </c>
      <c r="D491" s="1">
        <f>'Claims Data'!D491</f>
        <v>45571</v>
      </c>
      <c r="E491">
        <f>'Claims Data'!H491</f>
        <v>6.1</v>
      </c>
      <c r="F491">
        <f>'Claims Data'!J491</f>
        <v>247.72</v>
      </c>
      <c r="G491">
        <f>'Claims Data'!M491</f>
        <v>0</v>
      </c>
      <c r="H491" t="b">
        <f>'Claims Data'!L491</f>
        <v>0</v>
      </c>
      <c r="I491">
        <f t="shared" si="14"/>
        <v>0</v>
      </c>
      <c r="J491" t="str">
        <f t="shared" si="15"/>
        <v>Low Risk</v>
      </c>
    </row>
    <row r="492" spans="1:10" x14ac:dyDescent="0.2">
      <c r="A492" t="str">
        <f>'Claims Data'!A492</f>
        <v>CLM00491</v>
      </c>
      <c r="B492" t="str">
        <f>'Claims Data'!B492</f>
        <v>PAT0101</v>
      </c>
      <c r="C492" t="str">
        <f>'Claims Data'!C492</f>
        <v>PRV0038</v>
      </c>
      <c r="D492" s="1">
        <f>'Claims Data'!D492</f>
        <v>45469</v>
      </c>
      <c r="E492">
        <f>'Claims Data'!H492</f>
        <v>7.7</v>
      </c>
      <c r="F492">
        <f>'Claims Data'!J492</f>
        <v>587.33000000000004</v>
      </c>
      <c r="G492">
        <f>'Claims Data'!M492</f>
        <v>0</v>
      </c>
      <c r="H492" t="b">
        <f>'Claims Data'!L492</f>
        <v>0</v>
      </c>
      <c r="I492">
        <f t="shared" si="14"/>
        <v>0</v>
      </c>
      <c r="J492" t="str">
        <f t="shared" si="15"/>
        <v>Low Risk</v>
      </c>
    </row>
    <row r="493" spans="1:10" x14ac:dyDescent="0.2">
      <c r="A493" t="str">
        <f>'Claims Data'!A493</f>
        <v>CLM00492</v>
      </c>
      <c r="B493" t="str">
        <f>'Claims Data'!B493</f>
        <v>PAT0210</v>
      </c>
      <c r="C493" t="str">
        <f>'Claims Data'!C493</f>
        <v>PRV0055</v>
      </c>
      <c r="D493" s="1">
        <f>'Claims Data'!D493</f>
        <v>45304</v>
      </c>
      <c r="E493">
        <f>'Claims Data'!H493</f>
        <v>23</v>
      </c>
      <c r="F493">
        <f>'Claims Data'!J493</f>
        <v>715.53</v>
      </c>
      <c r="G493" t="str">
        <f>'Claims Data'!M493</f>
        <v>inflated_hours</v>
      </c>
      <c r="H493" t="b">
        <f>'Claims Data'!L493</f>
        <v>1</v>
      </c>
      <c r="I493">
        <f t="shared" si="14"/>
        <v>50</v>
      </c>
      <c r="J493" t="str">
        <f t="shared" si="15"/>
        <v>Medium Risk</v>
      </c>
    </row>
    <row r="494" spans="1:10" x14ac:dyDescent="0.2">
      <c r="A494" t="str">
        <f>'Claims Data'!A494</f>
        <v>CLM00493</v>
      </c>
      <c r="B494" t="str">
        <f>'Claims Data'!B494</f>
        <v>PAT0121</v>
      </c>
      <c r="C494" t="str">
        <f>'Claims Data'!C494</f>
        <v>PRV0029</v>
      </c>
      <c r="D494" s="1">
        <f>'Claims Data'!D494</f>
        <v>45358</v>
      </c>
      <c r="E494">
        <f>'Claims Data'!H494</f>
        <v>2.1</v>
      </c>
      <c r="F494">
        <f>'Claims Data'!J494</f>
        <v>157.13</v>
      </c>
      <c r="G494">
        <f>'Claims Data'!M494</f>
        <v>0</v>
      </c>
      <c r="H494" t="b">
        <f>'Claims Data'!L494</f>
        <v>0</v>
      </c>
      <c r="I494">
        <f t="shared" si="14"/>
        <v>0</v>
      </c>
      <c r="J494" t="str">
        <f t="shared" si="15"/>
        <v>Low Risk</v>
      </c>
    </row>
    <row r="495" spans="1:10" x14ac:dyDescent="0.2">
      <c r="A495" t="str">
        <f>'Claims Data'!A495</f>
        <v>CLM00494</v>
      </c>
      <c r="B495" t="str">
        <f>'Claims Data'!B495</f>
        <v>PAT0026</v>
      </c>
      <c r="C495" t="str">
        <f>'Claims Data'!C495</f>
        <v>PRV0049</v>
      </c>
      <c r="D495" s="1">
        <f>'Claims Data'!D495</f>
        <v>44978</v>
      </c>
      <c r="E495">
        <f>'Claims Data'!H495</f>
        <v>3.2</v>
      </c>
      <c r="F495">
        <f>'Claims Data'!J495</f>
        <v>156.91</v>
      </c>
      <c r="G495">
        <f>'Claims Data'!M495</f>
        <v>0</v>
      </c>
      <c r="H495" t="b">
        <f>'Claims Data'!L495</f>
        <v>0</v>
      </c>
      <c r="I495">
        <f t="shared" si="14"/>
        <v>0</v>
      </c>
      <c r="J495" t="str">
        <f t="shared" si="15"/>
        <v>Low Risk</v>
      </c>
    </row>
    <row r="496" spans="1:10" x14ac:dyDescent="0.2">
      <c r="A496" t="str">
        <f>'Claims Data'!A496</f>
        <v>CLM00495</v>
      </c>
      <c r="B496" t="str">
        <f>'Claims Data'!B496</f>
        <v>PAT0074</v>
      </c>
      <c r="C496" t="str">
        <f>'Claims Data'!C496</f>
        <v>PRV0032</v>
      </c>
      <c r="D496" s="1">
        <f>'Claims Data'!D496</f>
        <v>45362</v>
      </c>
      <c r="E496">
        <f>'Claims Data'!H496</f>
        <v>5.5</v>
      </c>
      <c r="F496">
        <f>'Claims Data'!J496</f>
        <v>222.91</v>
      </c>
      <c r="G496">
        <f>'Claims Data'!M496</f>
        <v>0</v>
      </c>
      <c r="H496" t="b">
        <f>'Claims Data'!L496</f>
        <v>0</v>
      </c>
      <c r="I496">
        <f t="shared" si="14"/>
        <v>0</v>
      </c>
      <c r="J496" t="str">
        <f t="shared" si="15"/>
        <v>Low Risk</v>
      </c>
    </row>
    <row r="497" spans="1:10" x14ac:dyDescent="0.2">
      <c r="A497" t="str">
        <f>'Claims Data'!A497</f>
        <v>CLM00496</v>
      </c>
      <c r="B497" t="str">
        <f>'Claims Data'!B497</f>
        <v>PAT0216</v>
      </c>
      <c r="C497" t="str">
        <f>'Claims Data'!C497</f>
        <v>PRV0023</v>
      </c>
      <c r="D497" s="1">
        <f>'Claims Data'!D497</f>
        <v>45465</v>
      </c>
      <c r="E497">
        <f>'Claims Data'!H497</f>
        <v>8</v>
      </c>
      <c r="F497">
        <f>'Claims Data'!J497</f>
        <v>294.92</v>
      </c>
      <c r="G497">
        <f>'Claims Data'!M497</f>
        <v>0</v>
      </c>
      <c r="H497" t="b">
        <f>'Claims Data'!L497</f>
        <v>0</v>
      </c>
      <c r="I497">
        <f t="shared" si="14"/>
        <v>0</v>
      </c>
      <c r="J497" t="str">
        <f t="shared" si="15"/>
        <v>Low Risk</v>
      </c>
    </row>
    <row r="498" spans="1:10" x14ac:dyDescent="0.2">
      <c r="A498" t="str">
        <f>'Claims Data'!A498</f>
        <v>CLM00497</v>
      </c>
      <c r="B498" t="str">
        <f>'Claims Data'!B498</f>
        <v>PAT0047</v>
      </c>
      <c r="C498" t="str">
        <f>'Claims Data'!C498</f>
        <v>PRV0008</v>
      </c>
      <c r="D498" s="1">
        <f>'Claims Data'!D498</f>
        <v>44979</v>
      </c>
      <c r="E498">
        <f>'Claims Data'!H498</f>
        <v>6.9</v>
      </c>
      <c r="F498">
        <f>'Claims Data'!J498</f>
        <v>210.58</v>
      </c>
      <c r="G498">
        <f>'Claims Data'!M498</f>
        <v>0</v>
      </c>
      <c r="H498" t="b">
        <f>'Claims Data'!L498</f>
        <v>0</v>
      </c>
      <c r="I498">
        <f t="shared" si="14"/>
        <v>0</v>
      </c>
      <c r="J498" t="str">
        <f t="shared" si="15"/>
        <v>Low Risk</v>
      </c>
    </row>
    <row r="499" spans="1:10" x14ac:dyDescent="0.2">
      <c r="A499" t="str">
        <f>'Claims Data'!A499</f>
        <v>CLM00498</v>
      </c>
      <c r="B499" t="str">
        <f>'Claims Data'!B499</f>
        <v>PAT0026</v>
      </c>
      <c r="C499" t="str">
        <f>'Claims Data'!C499</f>
        <v>PRV0023</v>
      </c>
      <c r="D499" s="1">
        <f>'Claims Data'!D499</f>
        <v>45471</v>
      </c>
      <c r="E499">
        <f>'Claims Data'!H499</f>
        <v>2.2999999999999998</v>
      </c>
      <c r="F499">
        <f>'Claims Data'!J499</f>
        <v>121.12</v>
      </c>
      <c r="G499">
        <f>'Claims Data'!M499</f>
        <v>0</v>
      </c>
      <c r="H499" t="b">
        <f>'Claims Data'!L499</f>
        <v>0</v>
      </c>
      <c r="I499">
        <f t="shared" si="14"/>
        <v>0</v>
      </c>
      <c r="J499" t="str">
        <f t="shared" si="15"/>
        <v>Low Risk</v>
      </c>
    </row>
    <row r="500" spans="1:10" x14ac:dyDescent="0.2">
      <c r="A500" t="str">
        <f>'Claims Data'!A500</f>
        <v>CLM00499</v>
      </c>
      <c r="B500" t="str">
        <f>'Claims Data'!B500</f>
        <v>PAT0080</v>
      </c>
      <c r="C500" t="str">
        <f>'Claims Data'!C500</f>
        <v>PRV0056</v>
      </c>
      <c r="D500" s="1">
        <f>'Claims Data'!D500</f>
        <v>45142</v>
      </c>
      <c r="E500">
        <f>'Claims Data'!H500</f>
        <v>6.9</v>
      </c>
      <c r="F500">
        <f>'Claims Data'!J500</f>
        <v>336.03</v>
      </c>
      <c r="G500">
        <f>'Claims Data'!M500</f>
        <v>0</v>
      </c>
      <c r="H500" t="b">
        <f>'Claims Data'!L500</f>
        <v>0</v>
      </c>
      <c r="I500">
        <f t="shared" si="14"/>
        <v>0</v>
      </c>
      <c r="J500" t="str">
        <f t="shared" si="15"/>
        <v>Low Risk</v>
      </c>
    </row>
    <row r="501" spans="1:10" x14ac:dyDescent="0.2">
      <c r="A501" t="str">
        <f>'Claims Data'!A501</f>
        <v>CLM00500</v>
      </c>
      <c r="B501" t="str">
        <f>'Claims Data'!B501</f>
        <v>PAT0285</v>
      </c>
      <c r="C501" t="str">
        <f>'Claims Data'!C501</f>
        <v>PRV0059</v>
      </c>
      <c r="D501" s="1">
        <f>'Claims Data'!D501</f>
        <v>45635</v>
      </c>
      <c r="E501">
        <f>'Claims Data'!H501</f>
        <v>6.1</v>
      </c>
      <c r="F501">
        <f>'Claims Data'!J501</f>
        <v>215.75</v>
      </c>
      <c r="G501">
        <f>'Claims Data'!M501</f>
        <v>0</v>
      </c>
      <c r="H501" t="b">
        <f>'Claims Data'!L501</f>
        <v>0</v>
      </c>
      <c r="I501">
        <f t="shared" si="14"/>
        <v>0</v>
      </c>
      <c r="J501" t="str">
        <f t="shared" si="15"/>
        <v>Low Risk</v>
      </c>
    </row>
    <row r="502" spans="1:10" x14ac:dyDescent="0.2">
      <c r="A502" t="str">
        <f>'Claims Data'!A502</f>
        <v>CLM00501</v>
      </c>
      <c r="B502" t="str">
        <f>'Claims Data'!B502</f>
        <v>PAT0217</v>
      </c>
      <c r="C502" t="str">
        <f>'Claims Data'!C502</f>
        <v>PRV0022</v>
      </c>
      <c r="D502" s="1">
        <f>'Claims Data'!D502</f>
        <v>45078</v>
      </c>
      <c r="E502">
        <f>'Claims Data'!H502</f>
        <v>38.6</v>
      </c>
      <c r="F502">
        <f>'Claims Data'!J502</f>
        <v>2000</v>
      </c>
      <c r="G502" t="str">
        <f>'Claims Data'!M502</f>
        <v>phantom_round_amount</v>
      </c>
      <c r="H502" t="b">
        <f>'Claims Data'!L502</f>
        <v>1</v>
      </c>
      <c r="I502">
        <f t="shared" si="14"/>
        <v>80</v>
      </c>
      <c r="J502" t="str">
        <f t="shared" si="15"/>
        <v>High Risk</v>
      </c>
    </row>
    <row r="503" spans="1:10" x14ac:dyDescent="0.2">
      <c r="A503" t="str">
        <f>'Claims Data'!A503</f>
        <v>CLM00502</v>
      </c>
      <c r="B503" t="str">
        <f>'Claims Data'!B503</f>
        <v>PAT0092</v>
      </c>
      <c r="C503" t="str">
        <f>'Claims Data'!C503</f>
        <v>PRV0009</v>
      </c>
      <c r="D503" s="1">
        <f>'Claims Data'!D503</f>
        <v>44948</v>
      </c>
      <c r="E503">
        <f>'Claims Data'!H503</f>
        <v>5.7</v>
      </c>
      <c r="F503">
        <f>'Claims Data'!J503</f>
        <v>353.51</v>
      </c>
      <c r="G503">
        <f>'Claims Data'!M503</f>
        <v>0</v>
      </c>
      <c r="H503" t="b">
        <f>'Claims Data'!L503</f>
        <v>0</v>
      </c>
      <c r="I503">
        <f t="shared" si="14"/>
        <v>0</v>
      </c>
      <c r="J503" t="str">
        <f t="shared" si="15"/>
        <v>Low Risk</v>
      </c>
    </row>
    <row r="504" spans="1:10" x14ac:dyDescent="0.2">
      <c r="A504" t="str">
        <f>'Claims Data'!A504</f>
        <v>CLM00503</v>
      </c>
      <c r="B504" t="str">
        <f>'Claims Data'!B504</f>
        <v>PAT0131</v>
      </c>
      <c r="C504" t="str">
        <f>'Claims Data'!C504</f>
        <v>PRV0043</v>
      </c>
      <c r="D504" s="1">
        <f>'Claims Data'!D504</f>
        <v>45547</v>
      </c>
      <c r="E504">
        <f>'Claims Data'!H504</f>
        <v>5</v>
      </c>
      <c r="F504">
        <f>'Claims Data'!J504</f>
        <v>389.83</v>
      </c>
      <c r="G504">
        <f>'Claims Data'!M504</f>
        <v>0</v>
      </c>
      <c r="H504" t="b">
        <f>'Claims Data'!L504</f>
        <v>0</v>
      </c>
      <c r="I504">
        <f t="shared" si="14"/>
        <v>0</v>
      </c>
      <c r="J504" t="str">
        <f t="shared" si="15"/>
        <v>Low Risk</v>
      </c>
    </row>
    <row r="505" spans="1:10" x14ac:dyDescent="0.2">
      <c r="A505" t="str">
        <f>'Claims Data'!A505</f>
        <v>CLM00504</v>
      </c>
      <c r="B505" t="str">
        <f>'Claims Data'!B505</f>
        <v>PAT0212</v>
      </c>
      <c r="C505" t="str">
        <f>'Claims Data'!C505</f>
        <v>PRV0007</v>
      </c>
      <c r="D505" s="1">
        <f>'Claims Data'!D505</f>
        <v>45223</v>
      </c>
      <c r="E505">
        <f>'Claims Data'!H505</f>
        <v>2.5</v>
      </c>
      <c r="F505">
        <f>'Claims Data'!J505</f>
        <v>119.95</v>
      </c>
      <c r="G505">
        <f>'Claims Data'!M505</f>
        <v>0</v>
      </c>
      <c r="H505" t="b">
        <f>'Claims Data'!L505</f>
        <v>0</v>
      </c>
      <c r="I505">
        <f t="shared" si="14"/>
        <v>0</v>
      </c>
      <c r="J505" t="str">
        <f t="shared" si="15"/>
        <v>Low Risk</v>
      </c>
    </row>
    <row r="506" spans="1:10" x14ac:dyDescent="0.2">
      <c r="A506" t="str">
        <f>'Claims Data'!A506</f>
        <v>CLM00505</v>
      </c>
      <c r="B506" t="str">
        <f>'Claims Data'!B506</f>
        <v>PAT0051</v>
      </c>
      <c r="C506" t="str">
        <f>'Claims Data'!C506</f>
        <v>PRV0006</v>
      </c>
      <c r="D506" s="1">
        <f>'Claims Data'!D506</f>
        <v>45051</v>
      </c>
      <c r="E506">
        <f>'Claims Data'!H506</f>
        <v>5.9</v>
      </c>
      <c r="F506">
        <f>'Claims Data'!J506</f>
        <v>429.71</v>
      </c>
      <c r="G506">
        <f>'Claims Data'!M506</f>
        <v>0</v>
      </c>
      <c r="H506" t="b">
        <f>'Claims Data'!L506</f>
        <v>0</v>
      </c>
      <c r="I506">
        <f t="shared" si="14"/>
        <v>0</v>
      </c>
      <c r="J506" t="str">
        <f t="shared" si="15"/>
        <v>Low Risk</v>
      </c>
    </row>
    <row r="507" spans="1:10" x14ac:dyDescent="0.2">
      <c r="A507" t="str">
        <f>'Claims Data'!A507</f>
        <v>CLM00506</v>
      </c>
      <c r="B507" t="str">
        <f>'Claims Data'!B507</f>
        <v>PAT0061</v>
      </c>
      <c r="C507" t="str">
        <f>'Claims Data'!C507</f>
        <v>PRV0022</v>
      </c>
      <c r="D507" s="1">
        <f>'Claims Data'!D507</f>
        <v>45057</v>
      </c>
      <c r="E507">
        <f>'Claims Data'!H507</f>
        <v>7.9</v>
      </c>
      <c r="F507">
        <f>'Claims Data'!J507</f>
        <v>568.13</v>
      </c>
      <c r="G507">
        <f>'Claims Data'!M507</f>
        <v>0</v>
      </c>
      <c r="H507" t="b">
        <f>'Claims Data'!L507</f>
        <v>0</v>
      </c>
      <c r="I507">
        <f t="shared" si="14"/>
        <v>0</v>
      </c>
      <c r="J507" t="str">
        <f t="shared" si="15"/>
        <v>Low Risk</v>
      </c>
    </row>
    <row r="508" spans="1:10" x14ac:dyDescent="0.2">
      <c r="A508" t="str">
        <f>'Claims Data'!A508</f>
        <v>CLM00507</v>
      </c>
      <c r="B508" t="str">
        <f>'Claims Data'!B508</f>
        <v>PAT0102</v>
      </c>
      <c r="C508" t="str">
        <f>'Claims Data'!C508</f>
        <v>PRV0017</v>
      </c>
      <c r="D508" s="1">
        <f>'Claims Data'!D508</f>
        <v>45627</v>
      </c>
      <c r="E508">
        <f>'Claims Data'!H508</f>
        <v>5.3</v>
      </c>
      <c r="F508">
        <f>'Claims Data'!J508</f>
        <v>286.63</v>
      </c>
      <c r="G508" t="str">
        <f>'Claims Data'!M508</f>
        <v>duplicate_claim</v>
      </c>
      <c r="H508" t="b">
        <f>'Claims Data'!L508</f>
        <v>1</v>
      </c>
      <c r="I508">
        <f t="shared" si="14"/>
        <v>10</v>
      </c>
      <c r="J508" t="str">
        <f t="shared" si="15"/>
        <v>Low Risk</v>
      </c>
    </row>
    <row r="509" spans="1:10" x14ac:dyDescent="0.2">
      <c r="A509" t="str">
        <f>'Claims Data'!A509</f>
        <v>CLM00508</v>
      </c>
      <c r="B509" t="str">
        <f>'Claims Data'!B509</f>
        <v>PAT0295</v>
      </c>
      <c r="C509" t="str">
        <f>'Claims Data'!C509</f>
        <v>PRV0032</v>
      </c>
      <c r="D509" s="1">
        <f>'Claims Data'!D509</f>
        <v>45191</v>
      </c>
      <c r="E509">
        <f>'Claims Data'!H509</f>
        <v>4.3</v>
      </c>
      <c r="F509">
        <f>'Claims Data'!J509</f>
        <v>153.88999999999999</v>
      </c>
      <c r="G509">
        <f>'Claims Data'!M509</f>
        <v>0</v>
      </c>
      <c r="H509" t="b">
        <f>'Claims Data'!L509</f>
        <v>0</v>
      </c>
      <c r="I509">
        <f t="shared" si="14"/>
        <v>0</v>
      </c>
      <c r="J509" t="str">
        <f t="shared" si="15"/>
        <v>Low Risk</v>
      </c>
    </row>
    <row r="510" spans="1:10" x14ac:dyDescent="0.2">
      <c r="A510" t="str">
        <f>'Claims Data'!A510</f>
        <v>CLM00509</v>
      </c>
      <c r="B510" t="str">
        <f>'Claims Data'!B510</f>
        <v>PAT0289</v>
      </c>
      <c r="C510" t="str">
        <f>'Claims Data'!C510</f>
        <v>PRV0057</v>
      </c>
      <c r="D510" s="1">
        <f>'Claims Data'!D510</f>
        <v>45449</v>
      </c>
      <c r="E510">
        <f>'Claims Data'!H510</f>
        <v>2.2000000000000002</v>
      </c>
      <c r="F510">
        <f>'Claims Data'!J510</f>
        <v>162.01</v>
      </c>
      <c r="G510">
        <f>'Claims Data'!M510</f>
        <v>0</v>
      </c>
      <c r="H510" t="b">
        <f>'Claims Data'!L510</f>
        <v>0</v>
      </c>
      <c r="I510">
        <f t="shared" si="14"/>
        <v>0</v>
      </c>
      <c r="J510" t="str">
        <f t="shared" si="15"/>
        <v>Low Risk</v>
      </c>
    </row>
    <row r="511" spans="1:10" x14ac:dyDescent="0.2">
      <c r="A511" t="str">
        <f>'Claims Data'!A511</f>
        <v>CLM00510</v>
      </c>
      <c r="B511" t="str">
        <f>'Claims Data'!B511</f>
        <v>PAT0013</v>
      </c>
      <c r="C511" t="str">
        <f>'Claims Data'!C511</f>
        <v>PRV0037</v>
      </c>
      <c r="D511" s="1">
        <f>'Claims Data'!D511</f>
        <v>45126</v>
      </c>
      <c r="E511">
        <f>'Claims Data'!H511</f>
        <v>6.9</v>
      </c>
      <c r="F511">
        <f>'Claims Data'!J511</f>
        <v>367.78</v>
      </c>
      <c r="G511">
        <f>'Claims Data'!M511</f>
        <v>0</v>
      </c>
      <c r="H511" t="b">
        <f>'Claims Data'!L511</f>
        <v>0</v>
      </c>
      <c r="I511">
        <f t="shared" si="14"/>
        <v>0</v>
      </c>
      <c r="J511" t="str">
        <f t="shared" si="15"/>
        <v>Low Risk</v>
      </c>
    </row>
    <row r="512" spans="1:10" x14ac:dyDescent="0.2">
      <c r="A512" t="str">
        <f>'Claims Data'!A512</f>
        <v>CLM00511</v>
      </c>
      <c r="B512" t="str">
        <f>'Claims Data'!B512</f>
        <v>PAT0015</v>
      </c>
      <c r="C512" t="str">
        <f>'Claims Data'!C512</f>
        <v>PRV0017</v>
      </c>
      <c r="D512" s="1">
        <f>'Claims Data'!D512</f>
        <v>44999</v>
      </c>
      <c r="E512">
        <f>'Claims Data'!H512</f>
        <v>19.100000000000001</v>
      </c>
      <c r="F512">
        <f>'Claims Data'!J512</f>
        <v>592.29</v>
      </c>
      <c r="G512" t="str">
        <f>'Claims Data'!M512</f>
        <v>inflated_hours</v>
      </c>
      <c r="H512" t="b">
        <f>'Claims Data'!L512</f>
        <v>1</v>
      </c>
      <c r="I512">
        <f t="shared" si="14"/>
        <v>50</v>
      </c>
      <c r="J512" t="str">
        <f t="shared" si="15"/>
        <v>Medium Risk</v>
      </c>
    </row>
    <row r="513" spans="1:10" x14ac:dyDescent="0.2">
      <c r="A513" t="str">
        <f>'Claims Data'!A513</f>
        <v>CLM00512</v>
      </c>
      <c r="B513" t="str">
        <f>'Claims Data'!B513</f>
        <v>PAT0074</v>
      </c>
      <c r="C513" t="str">
        <f>'Claims Data'!C513</f>
        <v>PRV0018</v>
      </c>
      <c r="D513" s="1">
        <f>'Claims Data'!D513</f>
        <v>45272</v>
      </c>
      <c r="E513">
        <f>'Claims Data'!H513</f>
        <v>27</v>
      </c>
      <c r="F513">
        <f>'Claims Data'!J513</f>
        <v>2000</v>
      </c>
      <c r="G513" t="str">
        <f>'Claims Data'!M513</f>
        <v>phantom_round_amount</v>
      </c>
      <c r="H513" t="b">
        <f>'Claims Data'!L513</f>
        <v>1</v>
      </c>
      <c r="I513">
        <f t="shared" si="14"/>
        <v>80</v>
      </c>
      <c r="J513" t="str">
        <f t="shared" si="15"/>
        <v>High Risk</v>
      </c>
    </row>
    <row r="514" spans="1:10" x14ac:dyDescent="0.2">
      <c r="A514" t="str">
        <f>'Claims Data'!A514</f>
        <v>CLM00513</v>
      </c>
      <c r="B514" t="str">
        <f>'Claims Data'!B514</f>
        <v>PAT0123</v>
      </c>
      <c r="C514" t="str">
        <f>'Claims Data'!C514</f>
        <v>PRV0045</v>
      </c>
      <c r="D514" s="1">
        <f>'Claims Data'!D514</f>
        <v>45539</v>
      </c>
      <c r="E514">
        <f>'Claims Data'!H514</f>
        <v>9.1999999999999993</v>
      </c>
      <c r="F514">
        <f>'Claims Data'!J514</f>
        <v>750</v>
      </c>
      <c r="G514" t="str">
        <f>'Claims Data'!M514</f>
        <v>phantom_round_amount</v>
      </c>
      <c r="H514" t="b">
        <f>'Claims Data'!L514</f>
        <v>1</v>
      </c>
      <c r="I514">
        <f t="shared" si="14"/>
        <v>40</v>
      </c>
      <c r="J514" t="str">
        <f t="shared" si="15"/>
        <v>Medium Risk</v>
      </c>
    </row>
    <row r="515" spans="1:10" x14ac:dyDescent="0.2">
      <c r="A515" t="str">
        <f>'Claims Data'!A515</f>
        <v>CLM00514</v>
      </c>
      <c r="B515" t="str">
        <f>'Claims Data'!B515</f>
        <v>PAT0181</v>
      </c>
      <c r="C515" t="str">
        <f>'Claims Data'!C515</f>
        <v>PRV0039</v>
      </c>
      <c r="D515" s="1">
        <f>'Claims Data'!D515</f>
        <v>45440</v>
      </c>
      <c r="E515">
        <f>'Claims Data'!H515</f>
        <v>4.0999999999999996</v>
      </c>
      <c r="F515">
        <f>'Claims Data'!J515</f>
        <v>308.95</v>
      </c>
      <c r="G515">
        <f>'Claims Data'!M515</f>
        <v>0</v>
      </c>
      <c r="H515" t="b">
        <f>'Claims Data'!L515</f>
        <v>0</v>
      </c>
      <c r="I515">
        <f t="shared" ref="I515:I578" si="16">IF(E515&gt;16,40,0)+IF(MOD(F515,250)=0,30,0)+IF(H515=TRUE,10,0)</f>
        <v>0</v>
      </c>
      <c r="J515" t="str">
        <f t="shared" ref="J515:J578" si="17">IF(I515&gt;=70,"High Risk",IF(I515&gt;=30,"Medium Risk","Low Risk"))</f>
        <v>Low Risk</v>
      </c>
    </row>
    <row r="516" spans="1:10" x14ac:dyDescent="0.2">
      <c r="A516" t="str">
        <f>'Claims Data'!A516</f>
        <v>CLM00515</v>
      </c>
      <c r="B516" t="str">
        <f>'Claims Data'!B516</f>
        <v>PAT0082</v>
      </c>
      <c r="C516" t="str">
        <f>'Claims Data'!C516</f>
        <v>PRV0058</v>
      </c>
      <c r="D516" s="1">
        <f>'Claims Data'!D516</f>
        <v>45328</v>
      </c>
      <c r="E516">
        <f>'Claims Data'!H516</f>
        <v>3.4</v>
      </c>
      <c r="F516">
        <f>'Claims Data'!J516</f>
        <v>149.87</v>
      </c>
      <c r="G516">
        <f>'Claims Data'!M516</f>
        <v>0</v>
      </c>
      <c r="H516" t="b">
        <f>'Claims Data'!L516</f>
        <v>0</v>
      </c>
      <c r="I516">
        <f t="shared" si="16"/>
        <v>0</v>
      </c>
      <c r="J516" t="str">
        <f t="shared" si="17"/>
        <v>Low Risk</v>
      </c>
    </row>
    <row r="517" spans="1:10" x14ac:dyDescent="0.2">
      <c r="A517" t="str">
        <f>'Claims Data'!A517</f>
        <v>CLM00516</v>
      </c>
      <c r="B517" t="str">
        <f>'Claims Data'!B517</f>
        <v>PAT0177</v>
      </c>
      <c r="C517" t="str">
        <f>'Claims Data'!C517</f>
        <v>PRV0060</v>
      </c>
      <c r="D517" s="1">
        <f>'Claims Data'!D517</f>
        <v>45488</v>
      </c>
      <c r="E517">
        <f>'Claims Data'!H517</f>
        <v>7.5</v>
      </c>
      <c r="F517">
        <f>'Claims Data'!J517</f>
        <v>200.19</v>
      </c>
      <c r="G517">
        <f>'Claims Data'!M517</f>
        <v>0</v>
      </c>
      <c r="H517" t="b">
        <f>'Claims Data'!L517</f>
        <v>0</v>
      </c>
      <c r="I517">
        <f t="shared" si="16"/>
        <v>0</v>
      </c>
      <c r="J517" t="str">
        <f t="shared" si="17"/>
        <v>Low Risk</v>
      </c>
    </row>
    <row r="518" spans="1:10" x14ac:dyDescent="0.2">
      <c r="A518" t="str">
        <f>'Claims Data'!A518</f>
        <v>CLM00517</v>
      </c>
      <c r="B518" t="str">
        <f>'Claims Data'!B518</f>
        <v>PAT0056</v>
      </c>
      <c r="C518" t="str">
        <f>'Claims Data'!C518</f>
        <v>PRV0001</v>
      </c>
      <c r="D518" s="1">
        <f>'Claims Data'!D518</f>
        <v>45489</v>
      </c>
      <c r="E518">
        <f>'Claims Data'!H518</f>
        <v>7.7</v>
      </c>
      <c r="F518">
        <f>'Claims Data'!J518</f>
        <v>452.89</v>
      </c>
      <c r="G518">
        <f>'Claims Data'!M518</f>
        <v>0</v>
      </c>
      <c r="H518" t="b">
        <f>'Claims Data'!L518</f>
        <v>0</v>
      </c>
      <c r="I518">
        <f t="shared" si="16"/>
        <v>0</v>
      </c>
      <c r="J518" t="str">
        <f t="shared" si="17"/>
        <v>Low Risk</v>
      </c>
    </row>
    <row r="519" spans="1:10" x14ac:dyDescent="0.2">
      <c r="A519" t="str">
        <f>'Claims Data'!A519</f>
        <v>CLM00518</v>
      </c>
      <c r="B519" t="str">
        <f>'Claims Data'!B519</f>
        <v>PAT0253</v>
      </c>
      <c r="C519" t="str">
        <f>'Claims Data'!C519</f>
        <v>PRV0006</v>
      </c>
      <c r="D519" s="1">
        <f>'Claims Data'!D519</f>
        <v>45255</v>
      </c>
      <c r="E519">
        <f>'Claims Data'!H519</f>
        <v>7</v>
      </c>
      <c r="F519">
        <f>'Claims Data'!J519</f>
        <v>515.37</v>
      </c>
      <c r="G519">
        <f>'Claims Data'!M519</f>
        <v>0</v>
      </c>
      <c r="H519" t="b">
        <f>'Claims Data'!L519</f>
        <v>0</v>
      </c>
      <c r="I519">
        <f t="shared" si="16"/>
        <v>0</v>
      </c>
      <c r="J519" t="str">
        <f t="shared" si="17"/>
        <v>Low Risk</v>
      </c>
    </row>
    <row r="520" spans="1:10" x14ac:dyDescent="0.2">
      <c r="A520" t="str">
        <f>'Claims Data'!A520</f>
        <v>CLM00519</v>
      </c>
      <c r="B520" t="str">
        <f>'Claims Data'!B520</f>
        <v>PAT0231</v>
      </c>
      <c r="C520" t="str">
        <f>'Claims Data'!C520</f>
        <v>PRV0032</v>
      </c>
      <c r="D520" s="1">
        <f>'Claims Data'!D520</f>
        <v>44955</v>
      </c>
      <c r="E520">
        <f>'Claims Data'!H520</f>
        <v>3.1</v>
      </c>
      <c r="F520">
        <f>'Claims Data'!J520</f>
        <v>84.56</v>
      </c>
      <c r="G520">
        <f>'Claims Data'!M520</f>
        <v>0</v>
      </c>
      <c r="H520" t="b">
        <f>'Claims Data'!L520</f>
        <v>0</v>
      </c>
      <c r="I520">
        <f t="shared" si="16"/>
        <v>0</v>
      </c>
      <c r="J520" t="str">
        <f t="shared" si="17"/>
        <v>Low Risk</v>
      </c>
    </row>
    <row r="521" spans="1:10" x14ac:dyDescent="0.2">
      <c r="A521" t="str">
        <f>'Claims Data'!A521</f>
        <v>CLM00520</v>
      </c>
      <c r="B521" t="str">
        <f>'Claims Data'!B521</f>
        <v>PAT0095</v>
      </c>
      <c r="C521" t="str">
        <f>'Claims Data'!C521</f>
        <v>PRV0039</v>
      </c>
      <c r="D521" s="1">
        <f>'Claims Data'!D521</f>
        <v>45617</v>
      </c>
      <c r="E521">
        <f>'Claims Data'!H521</f>
        <v>5.6</v>
      </c>
      <c r="F521">
        <f>'Claims Data'!J521</f>
        <v>146.69999999999999</v>
      </c>
      <c r="G521">
        <f>'Claims Data'!M521</f>
        <v>0</v>
      </c>
      <c r="H521" t="b">
        <f>'Claims Data'!L521</f>
        <v>0</v>
      </c>
      <c r="I521">
        <f t="shared" si="16"/>
        <v>0</v>
      </c>
      <c r="J521" t="str">
        <f t="shared" si="17"/>
        <v>Low Risk</v>
      </c>
    </row>
    <row r="522" spans="1:10" x14ac:dyDescent="0.2">
      <c r="A522" t="str">
        <f>'Claims Data'!A522</f>
        <v>CLM00521</v>
      </c>
      <c r="B522" t="str">
        <f>'Claims Data'!B522</f>
        <v>PAT0234</v>
      </c>
      <c r="C522" t="str">
        <f>'Claims Data'!C522</f>
        <v>PRV0025</v>
      </c>
      <c r="D522" s="1">
        <f>'Claims Data'!D522</f>
        <v>45600</v>
      </c>
      <c r="E522">
        <f>'Claims Data'!H522</f>
        <v>4</v>
      </c>
      <c r="F522">
        <f>'Claims Data'!J522</f>
        <v>247.39</v>
      </c>
      <c r="G522">
        <f>'Claims Data'!M522</f>
        <v>0</v>
      </c>
      <c r="H522" t="b">
        <f>'Claims Data'!L522</f>
        <v>0</v>
      </c>
      <c r="I522">
        <f t="shared" si="16"/>
        <v>0</v>
      </c>
      <c r="J522" t="str">
        <f t="shared" si="17"/>
        <v>Low Risk</v>
      </c>
    </row>
    <row r="523" spans="1:10" x14ac:dyDescent="0.2">
      <c r="A523" t="str">
        <f>'Claims Data'!A523</f>
        <v>CLM00522</v>
      </c>
      <c r="B523" t="str">
        <f>'Claims Data'!B523</f>
        <v>PAT0292</v>
      </c>
      <c r="C523" t="str">
        <f>'Claims Data'!C523</f>
        <v>PRV0028</v>
      </c>
      <c r="D523" s="1">
        <f>'Claims Data'!D523</f>
        <v>45008</v>
      </c>
      <c r="E523">
        <f>'Claims Data'!H523</f>
        <v>6.3</v>
      </c>
      <c r="F523">
        <f>'Claims Data'!J523</f>
        <v>504.8</v>
      </c>
      <c r="G523">
        <f>'Claims Data'!M523</f>
        <v>0</v>
      </c>
      <c r="H523" t="b">
        <f>'Claims Data'!L523</f>
        <v>0</v>
      </c>
      <c r="I523">
        <f t="shared" si="16"/>
        <v>0</v>
      </c>
      <c r="J523" t="str">
        <f t="shared" si="17"/>
        <v>Low Risk</v>
      </c>
    </row>
    <row r="524" spans="1:10" x14ac:dyDescent="0.2">
      <c r="A524" t="str">
        <f>'Claims Data'!A524</f>
        <v>CLM00523</v>
      </c>
      <c r="B524" t="str">
        <f>'Claims Data'!B524</f>
        <v>PAT0047</v>
      </c>
      <c r="C524" t="str">
        <f>'Claims Data'!C524</f>
        <v>PRV0044</v>
      </c>
      <c r="D524" s="1">
        <f>'Claims Data'!D524</f>
        <v>45029</v>
      </c>
      <c r="E524">
        <f>'Claims Data'!H524</f>
        <v>2.1</v>
      </c>
      <c r="F524">
        <f>'Claims Data'!J524</f>
        <v>126.41</v>
      </c>
      <c r="G524">
        <f>'Claims Data'!M524</f>
        <v>0</v>
      </c>
      <c r="H524" t="b">
        <f>'Claims Data'!L524</f>
        <v>0</v>
      </c>
      <c r="I524">
        <f t="shared" si="16"/>
        <v>0</v>
      </c>
      <c r="J524" t="str">
        <f t="shared" si="17"/>
        <v>Low Risk</v>
      </c>
    </row>
    <row r="525" spans="1:10" x14ac:dyDescent="0.2">
      <c r="A525" t="str">
        <f>'Claims Data'!A525</f>
        <v>CLM00524</v>
      </c>
      <c r="B525" t="str">
        <f>'Claims Data'!B525</f>
        <v>PAT0054</v>
      </c>
      <c r="C525" t="str">
        <f>'Claims Data'!C525</f>
        <v>PRV0016</v>
      </c>
      <c r="D525" s="1">
        <f>'Claims Data'!D525</f>
        <v>45552</v>
      </c>
      <c r="E525">
        <f>'Claims Data'!H525</f>
        <v>7.1</v>
      </c>
      <c r="F525">
        <f>'Claims Data'!J525</f>
        <v>544.15</v>
      </c>
      <c r="G525">
        <f>'Claims Data'!M525</f>
        <v>0</v>
      </c>
      <c r="H525" t="b">
        <f>'Claims Data'!L525</f>
        <v>0</v>
      </c>
      <c r="I525">
        <f t="shared" si="16"/>
        <v>0</v>
      </c>
      <c r="J525" t="str">
        <f t="shared" si="17"/>
        <v>Low Risk</v>
      </c>
    </row>
    <row r="526" spans="1:10" x14ac:dyDescent="0.2">
      <c r="A526" t="str">
        <f>'Claims Data'!A526</f>
        <v>CLM00525</v>
      </c>
      <c r="B526" t="str">
        <f>'Claims Data'!B526</f>
        <v>PAT0232</v>
      </c>
      <c r="C526" t="str">
        <f>'Claims Data'!C526</f>
        <v>PRV0055</v>
      </c>
      <c r="D526" s="1">
        <f>'Claims Data'!D526</f>
        <v>45010</v>
      </c>
      <c r="E526">
        <f>'Claims Data'!H526</f>
        <v>6.2</v>
      </c>
      <c r="F526">
        <f>'Claims Data'!J526</f>
        <v>401.32</v>
      </c>
      <c r="G526">
        <f>'Claims Data'!M526</f>
        <v>0</v>
      </c>
      <c r="H526" t="b">
        <f>'Claims Data'!L526</f>
        <v>0</v>
      </c>
      <c r="I526">
        <f t="shared" si="16"/>
        <v>0</v>
      </c>
      <c r="J526" t="str">
        <f t="shared" si="17"/>
        <v>Low Risk</v>
      </c>
    </row>
    <row r="527" spans="1:10" x14ac:dyDescent="0.2">
      <c r="A527" t="str">
        <f>'Claims Data'!A527</f>
        <v>CLM00526</v>
      </c>
      <c r="B527" t="str">
        <f>'Claims Data'!B527</f>
        <v>PAT0059</v>
      </c>
      <c r="C527" t="str">
        <f>'Claims Data'!C527</f>
        <v>PRV0044</v>
      </c>
      <c r="D527" s="1">
        <f>'Claims Data'!D527</f>
        <v>45022</v>
      </c>
      <c r="E527">
        <f>'Claims Data'!H527</f>
        <v>4</v>
      </c>
      <c r="F527">
        <f>'Claims Data'!J527</f>
        <v>177.42</v>
      </c>
      <c r="G527">
        <f>'Claims Data'!M527</f>
        <v>0</v>
      </c>
      <c r="H527" t="b">
        <f>'Claims Data'!L527</f>
        <v>0</v>
      </c>
      <c r="I527">
        <f t="shared" si="16"/>
        <v>0</v>
      </c>
      <c r="J527" t="str">
        <f t="shared" si="17"/>
        <v>Low Risk</v>
      </c>
    </row>
    <row r="528" spans="1:10" x14ac:dyDescent="0.2">
      <c r="A528" t="str">
        <f>'Claims Data'!A528</f>
        <v>CLM00527</v>
      </c>
      <c r="B528" t="str">
        <f>'Claims Data'!B528</f>
        <v>PAT0188</v>
      </c>
      <c r="C528" t="str">
        <f>'Claims Data'!C528</f>
        <v>PRV0055</v>
      </c>
      <c r="D528" s="1">
        <f>'Claims Data'!D528</f>
        <v>45026</v>
      </c>
      <c r="E528">
        <f>'Claims Data'!H528</f>
        <v>6.8</v>
      </c>
      <c r="F528">
        <f>'Claims Data'!J528</f>
        <v>561.95000000000005</v>
      </c>
      <c r="G528">
        <f>'Claims Data'!M528</f>
        <v>0</v>
      </c>
      <c r="H528" t="b">
        <f>'Claims Data'!L528</f>
        <v>0</v>
      </c>
      <c r="I528">
        <f t="shared" si="16"/>
        <v>0</v>
      </c>
      <c r="J528" t="str">
        <f t="shared" si="17"/>
        <v>Low Risk</v>
      </c>
    </row>
    <row r="529" spans="1:10" x14ac:dyDescent="0.2">
      <c r="A529" t="str">
        <f>'Claims Data'!A529</f>
        <v>CLM00528</v>
      </c>
      <c r="B529" t="str">
        <f>'Claims Data'!B529</f>
        <v>PAT0064</v>
      </c>
      <c r="C529" t="str">
        <f>'Claims Data'!C529</f>
        <v>PRV0021</v>
      </c>
      <c r="D529" s="1">
        <f>'Claims Data'!D529</f>
        <v>45325</v>
      </c>
      <c r="E529">
        <f>'Claims Data'!H529</f>
        <v>3</v>
      </c>
      <c r="F529">
        <f>'Claims Data'!J529</f>
        <v>249.37</v>
      </c>
      <c r="G529">
        <f>'Claims Data'!M529</f>
        <v>0</v>
      </c>
      <c r="H529" t="b">
        <f>'Claims Data'!L529</f>
        <v>0</v>
      </c>
      <c r="I529">
        <f t="shared" si="16"/>
        <v>0</v>
      </c>
      <c r="J529" t="str">
        <f t="shared" si="17"/>
        <v>Low Risk</v>
      </c>
    </row>
    <row r="530" spans="1:10" x14ac:dyDescent="0.2">
      <c r="A530" t="str">
        <f>'Claims Data'!A530</f>
        <v>CLM00529</v>
      </c>
      <c r="B530" t="str">
        <f>'Claims Data'!B530</f>
        <v>PAT0197</v>
      </c>
      <c r="C530" t="str">
        <f>'Claims Data'!C530</f>
        <v>PRV0010</v>
      </c>
      <c r="D530" s="1">
        <f>'Claims Data'!D530</f>
        <v>45443</v>
      </c>
      <c r="E530">
        <f>'Claims Data'!H530</f>
        <v>3.3</v>
      </c>
      <c r="F530">
        <f>'Claims Data'!J530</f>
        <v>199.11</v>
      </c>
      <c r="G530">
        <f>'Claims Data'!M530</f>
        <v>0</v>
      </c>
      <c r="H530" t="b">
        <f>'Claims Data'!L530</f>
        <v>0</v>
      </c>
      <c r="I530">
        <f t="shared" si="16"/>
        <v>0</v>
      </c>
      <c r="J530" t="str">
        <f t="shared" si="17"/>
        <v>Low Risk</v>
      </c>
    </row>
    <row r="531" spans="1:10" x14ac:dyDescent="0.2">
      <c r="A531" t="str">
        <f>'Claims Data'!A531</f>
        <v>CLM00530</v>
      </c>
      <c r="B531" t="str">
        <f>'Claims Data'!B531</f>
        <v>PAT0031</v>
      </c>
      <c r="C531" t="str">
        <f>'Claims Data'!C531</f>
        <v>PRV0023</v>
      </c>
      <c r="D531" s="1">
        <f>'Claims Data'!D531</f>
        <v>45424</v>
      </c>
      <c r="E531">
        <f>'Claims Data'!H531</f>
        <v>3.8</v>
      </c>
      <c r="F531">
        <f>'Claims Data'!J531</f>
        <v>251.98</v>
      </c>
      <c r="G531">
        <f>'Claims Data'!M531</f>
        <v>0</v>
      </c>
      <c r="H531" t="b">
        <f>'Claims Data'!L531</f>
        <v>0</v>
      </c>
      <c r="I531">
        <f t="shared" si="16"/>
        <v>0</v>
      </c>
      <c r="J531" t="str">
        <f t="shared" si="17"/>
        <v>Low Risk</v>
      </c>
    </row>
    <row r="532" spans="1:10" x14ac:dyDescent="0.2">
      <c r="A532" t="str">
        <f>'Claims Data'!A532</f>
        <v>CLM00531</v>
      </c>
      <c r="B532" t="str">
        <f>'Claims Data'!B532</f>
        <v>PAT0194</v>
      </c>
      <c r="C532" t="str">
        <f>'Claims Data'!C532</f>
        <v>PRV0032</v>
      </c>
      <c r="D532" s="1">
        <f>'Claims Data'!D532</f>
        <v>43948</v>
      </c>
      <c r="E532">
        <f>'Claims Data'!H532</f>
        <v>6.4</v>
      </c>
      <c r="F532">
        <f>'Claims Data'!J532</f>
        <v>524.33000000000004</v>
      </c>
      <c r="G532" t="str">
        <f>'Claims Data'!M532</f>
        <v>deceased_patient_billing</v>
      </c>
      <c r="H532" t="b">
        <f>'Claims Data'!L532</f>
        <v>1</v>
      </c>
      <c r="I532">
        <f t="shared" si="16"/>
        <v>10</v>
      </c>
      <c r="J532" t="str">
        <f t="shared" si="17"/>
        <v>Low Risk</v>
      </c>
    </row>
    <row r="533" spans="1:10" x14ac:dyDescent="0.2">
      <c r="A533" t="str">
        <f>'Claims Data'!A533</f>
        <v>CLM00532</v>
      </c>
      <c r="B533" t="str">
        <f>'Claims Data'!B533</f>
        <v>PAT0011</v>
      </c>
      <c r="C533" t="str">
        <f>'Claims Data'!C533</f>
        <v>PRV0032</v>
      </c>
      <c r="D533" s="1">
        <f>'Claims Data'!D533</f>
        <v>45410</v>
      </c>
      <c r="E533">
        <f>'Claims Data'!H533</f>
        <v>7.1</v>
      </c>
      <c r="F533">
        <f>'Claims Data'!J533</f>
        <v>505.87</v>
      </c>
      <c r="G533">
        <f>'Claims Data'!M533</f>
        <v>0</v>
      </c>
      <c r="H533" t="b">
        <f>'Claims Data'!L533</f>
        <v>0</v>
      </c>
      <c r="I533">
        <f t="shared" si="16"/>
        <v>0</v>
      </c>
      <c r="J533" t="str">
        <f t="shared" si="17"/>
        <v>Low Risk</v>
      </c>
    </row>
    <row r="534" spans="1:10" x14ac:dyDescent="0.2">
      <c r="A534" t="str">
        <f>'Claims Data'!A534</f>
        <v>CLM00533</v>
      </c>
      <c r="B534" t="str">
        <f>'Claims Data'!B534</f>
        <v>PAT0167</v>
      </c>
      <c r="C534" t="str">
        <f>'Claims Data'!C534</f>
        <v>PRV0018</v>
      </c>
      <c r="D534" s="1">
        <f>'Claims Data'!D534</f>
        <v>45258</v>
      </c>
      <c r="E534">
        <f>'Claims Data'!H534</f>
        <v>3.1</v>
      </c>
      <c r="F534">
        <f>'Claims Data'!J534</f>
        <v>136.69</v>
      </c>
      <c r="G534">
        <f>'Claims Data'!M534</f>
        <v>0</v>
      </c>
      <c r="H534" t="b">
        <f>'Claims Data'!L534</f>
        <v>0</v>
      </c>
      <c r="I534">
        <f t="shared" si="16"/>
        <v>0</v>
      </c>
      <c r="J534" t="str">
        <f t="shared" si="17"/>
        <v>Low Risk</v>
      </c>
    </row>
    <row r="535" spans="1:10" x14ac:dyDescent="0.2">
      <c r="A535" t="str">
        <f>'Claims Data'!A535</f>
        <v>CLM00534</v>
      </c>
      <c r="B535" t="str">
        <f>'Claims Data'!B535</f>
        <v>PAT0300</v>
      </c>
      <c r="C535" t="str">
        <f>'Claims Data'!C535</f>
        <v>PRV0025</v>
      </c>
      <c r="D535" s="1">
        <f>'Claims Data'!D535</f>
        <v>45378</v>
      </c>
      <c r="E535">
        <f>'Claims Data'!H535</f>
        <v>5.8</v>
      </c>
      <c r="F535">
        <f>'Claims Data'!J535</f>
        <v>181.23</v>
      </c>
      <c r="G535">
        <f>'Claims Data'!M535</f>
        <v>0</v>
      </c>
      <c r="H535" t="b">
        <f>'Claims Data'!L535</f>
        <v>0</v>
      </c>
      <c r="I535">
        <f t="shared" si="16"/>
        <v>0</v>
      </c>
      <c r="J535" t="str">
        <f t="shared" si="17"/>
        <v>Low Risk</v>
      </c>
    </row>
    <row r="536" spans="1:10" x14ac:dyDescent="0.2">
      <c r="A536" t="str">
        <f>'Claims Data'!A536</f>
        <v>CLM00535</v>
      </c>
      <c r="B536" t="str">
        <f>'Claims Data'!B536</f>
        <v>PAT0064</v>
      </c>
      <c r="C536" t="str">
        <f>'Claims Data'!C536</f>
        <v>PRV0053</v>
      </c>
      <c r="D536" s="1">
        <f>'Claims Data'!D536</f>
        <v>45545</v>
      </c>
      <c r="E536">
        <f>'Claims Data'!H536</f>
        <v>4</v>
      </c>
      <c r="F536">
        <f>'Claims Data'!J536</f>
        <v>118.67</v>
      </c>
      <c r="G536">
        <f>'Claims Data'!M536</f>
        <v>0</v>
      </c>
      <c r="H536" t="b">
        <f>'Claims Data'!L536</f>
        <v>0</v>
      </c>
      <c r="I536">
        <f t="shared" si="16"/>
        <v>0</v>
      </c>
      <c r="J536" t="str">
        <f t="shared" si="17"/>
        <v>Low Risk</v>
      </c>
    </row>
    <row r="537" spans="1:10" x14ac:dyDescent="0.2">
      <c r="A537" t="str">
        <f>'Claims Data'!A537</f>
        <v>CLM00536</v>
      </c>
      <c r="B537" t="str">
        <f>'Claims Data'!B537</f>
        <v>PAT0173</v>
      </c>
      <c r="C537" t="str">
        <f>'Claims Data'!C537</f>
        <v>PRV0039</v>
      </c>
      <c r="D537" s="1">
        <f>'Claims Data'!D537</f>
        <v>45055</v>
      </c>
      <c r="E537">
        <f>'Claims Data'!H537</f>
        <v>3</v>
      </c>
      <c r="F537">
        <f>'Claims Data'!J537</f>
        <v>234.36</v>
      </c>
      <c r="G537">
        <f>'Claims Data'!M537</f>
        <v>0</v>
      </c>
      <c r="H537" t="b">
        <f>'Claims Data'!L537</f>
        <v>0</v>
      </c>
      <c r="I537">
        <f t="shared" si="16"/>
        <v>0</v>
      </c>
      <c r="J537" t="str">
        <f t="shared" si="17"/>
        <v>Low Risk</v>
      </c>
    </row>
    <row r="538" spans="1:10" x14ac:dyDescent="0.2">
      <c r="A538" t="str">
        <f>'Claims Data'!A538</f>
        <v>CLM00537</v>
      </c>
      <c r="B538" t="str">
        <f>'Claims Data'!B538</f>
        <v>PAT0082</v>
      </c>
      <c r="C538" t="str">
        <f>'Claims Data'!C538</f>
        <v>PRV0028</v>
      </c>
      <c r="D538" s="1">
        <f>'Claims Data'!D538</f>
        <v>45547</v>
      </c>
      <c r="E538">
        <f>'Claims Data'!H538</f>
        <v>4.7</v>
      </c>
      <c r="F538">
        <f>'Claims Data'!J538</f>
        <v>192.29</v>
      </c>
      <c r="G538">
        <f>'Claims Data'!M538</f>
        <v>0</v>
      </c>
      <c r="H538" t="b">
        <f>'Claims Data'!L538</f>
        <v>0</v>
      </c>
      <c r="I538">
        <f t="shared" si="16"/>
        <v>0</v>
      </c>
      <c r="J538" t="str">
        <f t="shared" si="17"/>
        <v>Low Risk</v>
      </c>
    </row>
    <row r="539" spans="1:10" x14ac:dyDescent="0.2">
      <c r="A539" t="str">
        <f>'Claims Data'!A539</f>
        <v>CLM00538</v>
      </c>
      <c r="B539" t="str">
        <f>'Claims Data'!B539</f>
        <v>PAT0075</v>
      </c>
      <c r="C539" t="str">
        <f>'Claims Data'!C539</f>
        <v>PRV0028</v>
      </c>
      <c r="D539" s="1">
        <f>'Claims Data'!D539</f>
        <v>45562</v>
      </c>
      <c r="E539">
        <f>'Claims Data'!H539</f>
        <v>4.0999999999999996</v>
      </c>
      <c r="F539">
        <f>'Claims Data'!J539</f>
        <v>296.11</v>
      </c>
      <c r="G539">
        <f>'Claims Data'!M539</f>
        <v>0</v>
      </c>
      <c r="H539" t="b">
        <f>'Claims Data'!L539</f>
        <v>0</v>
      </c>
      <c r="I539">
        <f t="shared" si="16"/>
        <v>0</v>
      </c>
      <c r="J539" t="str">
        <f t="shared" si="17"/>
        <v>Low Risk</v>
      </c>
    </row>
    <row r="540" spans="1:10" x14ac:dyDescent="0.2">
      <c r="A540" t="str">
        <f>'Claims Data'!A540</f>
        <v>CLM00539</v>
      </c>
      <c r="B540" t="str">
        <f>'Claims Data'!B540</f>
        <v>PAT0268</v>
      </c>
      <c r="C540" t="str">
        <f>'Claims Data'!C540</f>
        <v>PRV0023</v>
      </c>
      <c r="D540" s="1">
        <f>'Claims Data'!D540</f>
        <v>45357</v>
      </c>
      <c r="E540">
        <f>'Claims Data'!H540</f>
        <v>2.2999999999999998</v>
      </c>
      <c r="F540">
        <f>'Claims Data'!J540</f>
        <v>117.97</v>
      </c>
      <c r="G540">
        <f>'Claims Data'!M540</f>
        <v>0</v>
      </c>
      <c r="H540" t="b">
        <f>'Claims Data'!L540</f>
        <v>0</v>
      </c>
      <c r="I540">
        <f t="shared" si="16"/>
        <v>0</v>
      </c>
      <c r="J540" t="str">
        <f t="shared" si="17"/>
        <v>Low Risk</v>
      </c>
    </row>
    <row r="541" spans="1:10" x14ac:dyDescent="0.2">
      <c r="A541" t="str">
        <f>'Claims Data'!A541</f>
        <v>CLM00540</v>
      </c>
      <c r="B541" t="str">
        <f>'Claims Data'!B541</f>
        <v>PAT0079</v>
      </c>
      <c r="C541" t="str">
        <f>'Claims Data'!C541</f>
        <v>PRV0003</v>
      </c>
      <c r="D541" s="1">
        <f>'Claims Data'!D541</f>
        <v>45319</v>
      </c>
      <c r="E541">
        <f>'Claims Data'!H541</f>
        <v>7.3</v>
      </c>
      <c r="F541">
        <f>'Claims Data'!J541</f>
        <v>398.47</v>
      </c>
      <c r="G541">
        <f>'Claims Data'!M541</f>
        <v>0</v>
      </c>
      <c r="H541" t="b">
        <f>'Claims Data'!L541</f>
        <v>0</v>
      </c>
      <c r="I541">
        <f t="shared" si="16"/>
        <v>0</v>
      </c>
      <c r="J541" t="str">
        <f t="shared" si="17"/>
        <v>Low Risk</v>
      </c>
    </row>
    <row r="542" spans="1:10" x14ac:dyDescent="0.2">
      <c r="A542" t="str">
        <f>'Claims Data'!A542</f>
        <v>CLM00541</v>
      </c>
      <c r="B542" t="str">
        <f>'Claims Data'!B542</f>
        <v>PAT0057</v>
      </c>
      <c r="C542" t="str">
        <f>'Claims Data'!C542</f>
        <v>PRV0025</v>
      </c>
      <c r="D542" s="1">
        <f>'Claims Data'!D542</f>
        <v>45481</v>
      </c>
      <c r="E542">
        <f>'Claims Data'!H542</f>
        <v>5.3</v>
      </c>
      <c r="F542">
        <f>'Claims Data'!J542</f>
        <v>164.75</v>
      </c>
      <c r="G542">
        <f>'Claims Data'!M542</f>
        <v>0</v>
      </c>
      <c r="H542" t="b">
        <f>'Claims Data'!L542</f>
        <v>0</v>
      </c>
      <c r="I542">
        <f t="shared" si="16"/>
        <v>0</v>
      </c>
      <c r="J542" t="str">
        <f t="shared" si="17"/>
        <v>Low Risk</v>
      </c>
    </row>
    <row r="543" spans="1:10" x14ac:dyDescent="0.2">
      <c r="A543" t="str">
        <f>'Claims Data'!A543</f>
        <v>CLM00542</v>
      </c>
      <c r="B543" t="str">
        <f>'Claims Data'!B543</f>
        <v>PAT0141</v>
      </c>
      <c r="C543" t="str">
        <f>'Claims Data'!C543</f>
        <v>PRV0053</v>
      </c>
      <c r="D543" s="1">
        <f>'Claims Data'!D543</f>
        <v>45611</v>
      </c>
      <c r="E543">
        <f>'Claims Data'!H543</f>
        <v>3</v>
      </c>
      <c r="F543">
        <f>'Claims Data'!J543</f>
        <v>88.27</v>
      </c>
      <c r="G543">
        <f>'Claims Data'!M543</f>
        <v>0</v>
      </c>
      <c r="H543" t="b">
        <f>'Claims Data'!L543</f>
        <v>0</v>
      </c>
      <c r="I543">
        <f t="shared" si="16"/>
        <v>0</v>
      </c>
      <c r="J543" t="str">
        <f t="shared" si="17"/>
        <v>Low Risk</v>
      </c>
    </row>
    <row r="544" spans="1:10" x14ac:dyDescent="0.2">
      <c r="A544" t="str">
        <f>'Claims Data'!A544</f>
        <v>CLM00543</v>
      </c>
      <c r="B544" t="str">
        <f>'Claims Data'!B544</f>
        <v>PAT0291</v>
      </c>
      <c r="C544" t="str">
        <f>'Claims Data'!C544</f>
        <v>PRV0040</v>
      </c>
      <c r="D544" s="1">
        <f>'Claims Data'!D544</f>
        <v>45034</v>
      </c>
      <c r="E544">
        <f>'Claims Data'!H544</f>
        <v>24.6</v>
      </c>
      <c r="F544">
        <f>'Claims Data'!J544</f>
        <v>1000</v>
      </c>
      <c r="G544" t="str">
        <f>'Claims Data'!M544</f>
        <v>phantom_round_amount</v>
      </c>
      <c r="H544" t="b">
        <f>'Claims Data'!L544</f>
        <v>1</v>
      </c>
      <c r="I544">
        <f t="shared" si="16"/>
        <v>80</v>
      </c>
      <c r="J544" t="str">
        <f t="shared" si="17"/>
        <v>High Risk</v>
      </c>
    </row>
    <row r="545" spans="1:10" x14ac:dyDescent="0.2">
      <c r="A545" t="str">
        <f>'Claims Data'!A545</f>
        <v>CLM00544</v>
      </c>
      <c r="B545" t="str">
        <f>'Claims Data'!B545</f>
        <v>PAT0048</v>
      </c>
      <c r="C545" t="str">
        <f>'Claims Data'!C545</f>
        <v>PRV0031</v>
      </c>
      <c r="D545" s="1">
        <f>'Claims Data'!D545</f>
        <v>45488</v>
      </c>
      <c r="E545">
        <f>'Claims Data'!H545</f>
        <v>4.0999999999999996</v>
      </c>
      <c r="F545">
        <f>'Claims Data'!J545</f>
        <v>320.93</v>
      </c>
      <c r="G545">
        <f>'Claims Data'!M545</f>
        <v>0</v>
      </c>
      <c r="H545" t="b">
        <f>'Claims Data'!L545</f>
        <v>0</v>
      </c>
      <c r="I545">
        <f t="shared" si="16"/>
        <v>0</v>
      </c>
      <c r="J545" t="str">
        <f t="shared" si="17"/>
        <v>Low Risk</v>
      </c>
    </row>
    <row r="546" spans="1:10" x14ac:dyDescent="0.2">
      <c r="A546" t="str">
        <f>'Claims Data'!A546</f>
        <v>CLM00545</v>
      </c>
      <c r="B546" t="str">
        <f>'Claims Data'!B546</f>
        <v>PAT0282</v>
      </c>
      <c r="C546" t="str">
        <f>'Claims Data'!C546</f>
        <v>PRV0022</v>
      </c>
      <c r="D546" s="1">
        <f>'Claims Data'!D546</f>
        <v>45629</v>
      </c>
      <c r="E546">
        <f>'Claims Data'!H546</f>
        <v>5.3</v>
      </c>
      <c r="F546">
        <f>'Claims Data'!J546</f>
        <v>418.1</v>
      </c>
      <c r="G546">
        <f>'Claims Data'!M546</f>
        <v>0</v>
      </c>
      <c r="H546" t="b">
        <f>'Claims Data'!L546</f>
        <v>0</v>
      </c>
      <c r="I546">
        <f t="shared" si="16"/>
        <v>0</v>
      </c>
      <c r="J546" t="str">
        <f t="shared" si="17"/>
        <v>Low Risk</v>
      </c>
    </row>
    <row r="547" spans="1:10" x14ac:dyDescent="0.2">
      <c r="A547" t="str">
        <f>'Claims Data'!A547</f>
        <v>CLM00546</v>
      </c>
      <c r="B547" t="str">
        <f>'Claims Data'!B547</f>
        <v>PAT0002</v>
      </c>
      <c r="C547" t="str">
        <f>'Claims Data'!C547</f>
        <v>PRV0042</v>
      </c>
      <c r="D547" s="1">
        <f>'Claims Data'!D547</f>
        <v>44984</v>
      </c>
      <c r="E547">
        <f>'Claims Data'!H547</f>
        <v>5.6</v>
      </c>
      <c r="F547">
        <f>'Claims Data'!J547</f>
        <v>346.18</v>
      </c>
      <c r="G547">
        <f>'Claims Data'!M547</f>
        <v>0</v>
      </c>
      <c r="H547" t="b">
        <f>'Claims Data'!L547</f>
        <v>0</v>
      </c>
      <c r="I547">
        <f t="shared" si="16"/>
        <v>0</v>
      </c>
      <c r="J547" t="str">
        <f t="shared" si="17"/>
        <v>Low Risk</v>
      </c>
    </row>
    <row r="548" spans="1:10" x14ac:dyDescent="0.2">
      <c r="A548" t="str">
        <f>'Claims Data'!A548</f>
        <v>CLM00547</v>
      </c>
      <c r="B548" t="str">
        <f>'Claims Data'!B548</f>
        <v>PAT0088</v>
      </c>
      <c r="C548" t="str">
        <f>'Claims Data'!C548</f>
        <v>PRV0026</v>
      </c>
      <c r="D548" s="1">
        <f>'Claims Data'!D548</f>
        <v>45400</v>
      </c>
      <c r="E548">
        <f>'Claims Data'!H548</f>
        <v>4.5999999999999996</v>
      </c>
      <c r="F548">
        <f>'Claims Data'!J548</f>
        <v>295.39999999999998</v>
      </c>
      <c r="G548">
        <f>'Claims Data'!M548</f>
        <v>0</v>
      </c>
      <c r="H548" t="b">
        <f>'Claims Data'!L548</f>
        <v>0</v>
      </c>
      <c r="I548">
        <f t="shared" si="16"/>
        <v>0</v>
      </c>
      <c r="J548" t="str">
        <f t="shared" si="17"/>
        <v>Low Risk</v>
      </c>
    </row>
    <row r="549" spans="1:10" x14ac:dyDescent="0.2">
      <c r="A549" t="str">
        <f>'Claims Data'!A549</f>
        <v>CLM00548</v>
      </c>
      <c r="B549" t="str">
        <f>'Claims Data'!B549</f>
        <v>PAT0180</v>
      </c>
      <c r="C549" t="str">
        <f>'Claims Data'!C549</f>
        <v>PRV0014</v>
      </c>
      <c r="D549" s="1">
        <f>'Claims Data'!D549</f>
        <v>45421</v>
      </c>
      <c r="E549">
        <f>'Claims Data'!H549</f>
        <v>17.399999999999999</v>
      </c>
      <c r="F549">
        <f>'Claims Data'!J549</f>
        <v>540.79</v>
      </c>
      <c r="G549" t="str">
        <f>'Claims Data'!M549</f>
        <v>inflated_hours</v>
      </c>
      <c r="H549" t="b">
        <f>'Claims Data'!L549</f>
        <v>1</v>
      </c>
      <c r="I549">
        <f t="shared" si="16"/>
        <v>50</v>
      </c>
      <c r="J549" t="str">
        <f t="shared" si="17"/>
        <v>Medium Risk</v>
      </c>
    </row>
    <row r="550" spans="1:10" x14ac:dyDescent="0.2">
      <c r="A550" t="str">
        <f>'Claims Data'!A550</f>
        <v>CLM00549</v>
      </c>
      <c r="B550" t="str">
        <f>'Claims Data'!B550</f>
        <v>PAT0034</v>
      </c>
      <c r="C550" t="str">
        <f>'Claims Data'!C550</f>
        <v>PRV0041</v>
      </c>
      <c r="D550" s="1">
        <f>'Claims Data'!D550</f>
        <v>45174</v>
      </c>
      <c r="E550">
        <f>'Claims Data'!H550</f>
        <v>4.5</v>
      </c>
      <c r="F550">
        <f>'Claims Data'!J550</f>
        <v>262.11</v>
      </c>
      <c r="G550">
        <f>'Claims Data'!M550</f>
        <v>0</v>
      </c>
      <c r="H550" t="b">
        <f>'Claims Data'!L550</f>
        <v>0</v>
      </c>
      <c r="I550">
        <f t="shared" si="16"/>
        <v>0</v>
      </c>
      <c r="J550" t="str">
        <f t="shared" si="17"/>
        <v>Low Risk</v>
      </c>
    </row>
    <row r="551" spans="1:10" x14ac:dyDescent="0.2">
      <c r="A551" t="str">
        <f>'Claims Data'!A551</f>
        <v>CLM00550</v>
      </c>
      <c r="B551" t="str">
        <f>'Claims Data'!B551</f>
        <v>PAT0069</v>
      </c>
      <c r="C551" t="str">
        <f>'Claims Data'!C551</f>
        <v>PRV0020</v>
      </c>
      <c r="D551" s="1">
        <f>'Claims Data'!D551</f>
        <v>45267</v>
      </c>
      <c r="E551">
        <f>'Claims Data'!H551</f>
        <v>6</v>
      </c>
      <c r="F551">
        <f>'Claims Data'!J551</f>
        <v>257.06</v>
      </c>
      <c r="G551">
        <f>'Claims Data'!M551</f>
        <v>0</v>
      </c>
      <c r="H551" t="b">
        <f>'Claims Data'!L551</f>
        <v>0</v>
      </c>
      <c r="I551">
        <f t="shared" si="16"/>
        <v>0</v>
      </c>
      <c r="J551" t="str">
        <f t="shared" si="17"/>
        <v>Low Risk</v>
      </c>
    </row>
    <row r="552" spans="1:10" x14ac:dyDescent="0.2">
      <c r="A552" t="str">
        <f>'Claims Data'!A552</f>
        <v>CLM00551</v>
      </c>
      <c r="B552" t="str">
        <f>'Claims Data'!B552</f>
        <v>PAT0164</v>
      </c>
      <c r="C552" t="str">
        <f>'Claims Data'!C552</f>
        <v>PRV0021</v>
      </c>
      <c r="D552" s="1">
        <f>'Claims Data'!D552</f>
        <v>45185</v>
      </c>
      <c r="E552">
        <f>'Claims Data'!H552</f>
        <v>4.4000000000000004</v>
      </c>
      <c r="F552">
        <f>'Claims Data'!J552</f>
        <v>255.11</v>
      </c>
      <c r="G552">
        <f>'Claims Data'!M552</f>
        <v>0</v>
      </c>
      <c r="H552" t="b">
        <f>'Claims Data'!L552</f>
        <v>0</v>
      </c>
      <c r="I552">
        <f t="shared" si="16"/>
        <v>0</v>
      </c>
      <c r="J552" t="str">
        <f t="shared" si="17"/>
        <v>Low Risk</v>
      </c>
    </row>
    <row r="553" spans="1:10" x14ac:dyDescent="0.2">
      <c r="A553" t="str">
        <f>'Claims Data'!A553</f>
        <v>CLM00552</v>
      </c>
      <c r="B553" t="str">
        <f>'Claims Data'!B553</f>
        <v>PAT0008</v>
      </c>
      <c r="C553" t="str">
        <f>'Claims Data'!C553</f>
        <v>PRV0016</v>
      </c>
      <c r="D553" s="1">
        <f>'Claims Data'!D553</f>
        <v>45057</v>
      </c>
      <c r="E553">
        <f>'Claims Data'!H553</f>
        <v>2.2999999999999998</v>
      </c>
      <c r="F553">
        <f>'Claims Data'!J553</f>
        <v>58.03</v>
      </c>
      <c r="G553" t="str">
        <f>'Claims Data'!M553</f>
        <v>duplicate_claim</v>
      </c>
      <c r="H553" t="b">
        <f>'Claims Data'!L553</f>
        <v>1</v>
      </c>
      <c r="I553">
        <f t="shared" si="16"/>
        <v>10</v>
      </c>
      <c r="J553" t="str">
        <f t="shared" si="17"/>
        <v>Low Risk</v>
      </c>
    </row>
    <row r="554" spans="1:10" x14ac:dyDescent="0.2">
      <c r="A554" t="str">
        <f>'Claims Data'!A554</f>
        <v>CLM00553</v>
      </c>
      <c r="B554" t="str">
        <f>'Claims Data'!B554</f>
        <v>PAT0275</v>
      </c>
      <c r="C554" t="str">
        <f>'Claims Data'!C554</f>
        <v>PRV0046</v>
      </c>
      <c r="D554" s="1">
        <f>'Claims Data'!D554</f>
        <v>45003</v>
      </c>
      <c r="E554">
        <f>'Claims Data'!H554</f>
        <v>6.9</v>
      </c>
      <c r="F554">
        <f>'Claims Data'!J554</f>
        <v>431.29</v>
      </c>
      <c r="G554">
        <f>'Claims Data'!M554</f>
        <v>0</v>
      </c>
      <c r="H554" t="b">
        <f>'Claims Data'!L554</f>
        <v>0</v>
      </c>
      <c r="I554">
        <f t="shared" si="16"/>
        <v>0</v>
      </c>
      <c r="J554" t="str">
        <f t="shared" si="17"/>
        <v>Low Risk</v>
      </c>
    </row>
    <row r="555" spans="1:10" x14ac:dyDescent="0.2">
      <c r="A555" t="str">
        <f>'Claims Data'!A555</f>
        <v>CLM00554</v>
      </c>
      <c r="B555" t="str">
        <f>'Claims Data'!B555</f>
        <v>PAT0086</v>
      </c>
      <c r="C555" t="str">
        <f>'Claims Data'!C555</f>
        <v>PRV0024</v>
      </c>
      <c r="D555" s="1">
        <f>'Claims Data'!D555</f>
        <v>45567</v>
      </c>
      <c r="E555">
        <f>'Claims Data'!H555</f>
        <v>2.6</v>
      </c>
      <c r="F555">
        <f>'Claims Data'!J555</f>
        <v>97.28</v>
      </c>
      <c r="G555" t="str">
        <f>'Claims Data'!M555</f>
        <v>duplicate_claim</v>
      </c>
      <c r="H555" t="b">
        <f>'Claims Data'!L555</f>
        <v>1</v>
      </c>
      <c r="I555">
        <f t="shared" si="16"/>
        <v>10</v>
      </c>
      <c r="J555" t="str">
        <f t="shared" si="17"/>
        <v>Low Risk</v>
      </c>
    </row>
    <row r="556" spans="1:10" x14ac:dyDescent="0.2">
      <c r="A556" t="str">
        <f>'Claims Data'!A556</f>
        <v>CLM00555</v>
      </c>
      <c r="B556" t="str">
        <f>'Claims Data'!B556</f>
        <v>PAT0118</v>
      </c>
      <c r="C556" t="str">
        <f>'Claims Data'!C556</f>
        <v>PRV0002</v>
      </c>
      <c r="D556" s="1">
        <f>'Claims Data'!D556</f>
        <v>45398</v>
      </c>
      <c r="E556">
        <f>'Claims Data'!H556</f>
        <v>7.9</v>
      </c>
      <c r="F556">
        <f>'Claims Data'!J556</f>
        <v>421.97</v>
      </c>
      <c r="G556">
        <f>'Claims Data'!M556</f>
        <v>0</v>
      </c>
      <c r="H556" t="b">
        <f>'Claims Data'!L556</f>
        <v>0</v>
      </c>
      <c r="I556">
        <f t="shared" si="16"/>
        <v>0</v>
      </c>
      <c r="J556" t="str">
        <f t="shared" si="17"/>
        <v>Low Risk</v>
      </c>
    </row>
    <row r="557" spans="1:10" x14ac:dyDescent="0.2">
      <c r="A557" t="str">
        <f>'Claims Data'!A557</f>
        <v>CLM00556</v>
      </c>
      <c r="B557" t="str">
        <f>'Claims Data'!B557</f>
        <v>PAT0120</v>
      </c>
      <c r="C557" t="str">
        <f>'Claims Data'!C557</f>
        <v>PRV0025</v>
      </c>
      <c r="D557" s="1">
        <f>'Claims Data'!D557</f>
        <v>42569</v>
      </c>
      <c r="E557">
        <f>'Claims Data'!H557</f>
        <v>6.7</v>
      </c>
      <c r="F557">
        <f>'Claims Data'!J557</f>
        <v>356.82</v>
      </c>
      <c r="G557" t="str">
        <f>'Claims Data'!M557</f>
        <v>deceased_patient_billing</v>
      </c>
      <c r="H557" t="b">
        <f>'Claims Data'!L557</f>
        <v>1</v>
      </c>
      <c r="I557">
        <f t="shared" si="16"/>
        <v>10</v>
      </c>
      <c r="J557" t="str">
        <f t="shared" si="17"/>
        <v>Low Risk</v>
      </c>
    </row>
    <row r="558" spans="1:10" x14ac:dyDescent="0.2">
      <c r="A558" t="str">
        <f>'Claims Data'!A558</f>
        <v>CLM00557</v>
      </c>
      <c r="B558" t="str">
        <f>'Claims Data'!B558</f>
        <v>PAT0213</v>
      </c>
      <c r="C558" t="str">
        <f>'Claims Data'!C558</f>
        <v>PRV0015</v>
      </c>
      <c r="D558" s="1">
        <f>'Claims Data'!D558</f>
        <v>45209</v>
      </c>
      <c r="E558">
        <f>'Claims Data'!H558</f>
        <v>2.5</v>
      </c>
      <c r="F558">
        <f>'Claims Data'!J558</f>
        <v>144.12</v>
      </c>
      <c r="G558">
        <f>'Claims Data'!M558</f>
        <v>0</v>
      </c>
      <c r="H558" t="b">
        <f>'Claims Data'!L558</f>
        <v>0</v>
      </c>
      <c r="I558">
        <f t="shared" si="16"/>
        <v>0</v>
      </c>
      <c r="J558" t="str">
        <f t="shared" si="17"/>
        <v>Low Risk</v>
      </c>
    </row>
    <row r="559" spans="1:10" x14ac:dyDescent="0.2">
      <c r="A559" t="str">
        <f>'Claims Data'!A559</f>
        <v>CLM00558</v>
      </c>
      <c r="B559" t="str">
        <f>'Claims Data'!B559</f>
        <v>PAT0266</v>
      </c>
      <c r="C559" t="str">
        <f>'Claims Data'!C559</f>
        <v>PRV0025</v>
      </c>
      <c r="D559" s="1">
        <f>'Claims Data'!D559</f>
        <v>45633</v>
      </c>
      <c r="E559">
        <f>'Claims Data'!H559</f>
        <v>7.3</v>
      </c>
      <c r="F559">
        <f>'Claims Data'!J559</f>
        <v>344.3</v>
      </c>
      <c r="G559">
        <f>'Claims Data'!M559</f>
        <v>0</v>
      </c>
      <c r="H559" t="b">
        <f>'Claims Data'!L559</f>
        <v>0</v>
      </c>
      <c r="I559">
        <f t="shared" si="16"/>
        <v>0</v>
      </c>
      <c r="J559" t="str">
        <f t="shared" si="17"/>
        <v>Low Risk</v>
      </c>
    </row>
    <row r="560" spans="1:10" x14ac:dyDescent="0.2">
      <c r="A560" t="str">
        <f>'Claims Data'!A560</f>
        <v>CLM00559</v>
      </c>
      <c r="B560" t="str">
        <f>'Claims Data'!B560</f>
        <v>PAT0003</v>
      </c>
      <c r="C560" t="str">
        <f>'Claims Data'!C560</f>
        <v>PRV0021</v>
      </c>
      <c r="D560" s="1">
        <f>'Claims Data'!D560</f>
        <v>45577</v>
      </c>
      <c r="E560">
        <f>'Claims Data'!H560</f>
        <v>3.6</v>
      </c>
      <c r="F560">
        <f>'Claims Data'!J560</f>
        <v>190.45</v>
      </c>
      <c r="G560">
        <f>'Claims Data'!M560</f>
        <v>0</v>
      </c>
      <c r="H560" t="b">
        <f>'Claims Data'!L560</f>
        <v>0</v>
      </c>
      <c r="I560">
        <f t="shared" si="16"/>
        <v>0</v>
      </c>
      <c r="J560" t="str">
        <f t="shared" si="17"/>
        <v>Low Risk</v>
      </c>
    </row>
    <row r="561" spans="1:10" x14ac:dyDescent="0.2">
      <c r="A561" t="str">
        <f>'Claims Data'!A561</f>
        <v>CLM00560</v>
      </c>
      <c r="B561" t="str">
        <f>'Claims Data'!B561</f>
        <v>PAT0156</v>
      </c>
      <c r="C561" t="str">
        <f>'Claims Data'!C561</f>
        <v>PRV0043</v>
      </c>
      <c r="D561" s="1">
        <f>'Claims Data'!D561</f>
        <v>45010</v>
      </c>
      <c r="E561">
        <f>'Claims Data'!H561</f>
        <v>5.4</v>
      </c>
      <c r="F561">
        <f>'Claims Data'!J561</f>
        <v>183.97</v>
      </c>
      <c r="G561" t="str">
        <f>'Claims Data'!M561</f>
        <v>duplicate_claim</v>
      </c>
      <c r="H561" t="b">
        <f>'Claims Data'!L561</f>
        <v>1</v>
      </c>
      <c r="I561">
        <f t="shared" si="16"/>
        <v>10</v>
      </c>
      <c r="J561" t="str">
        <f t="shared" si="17"/>
        <v>Low Risk</v>
      </c>
    </row>
    <row r="562" spans="1:10" x14ac:dyDescent="0.2">
      <c r="A562" t="str">
        <f>'Claims Data'!A562</f>
        <v>CLM00561</v>
      </c>
      <c r="B562" t="str">
        <f>'Claims Data'!B562</f>
        <v>PAT0221</v>
      </c>
      <c r="C562" t="str">
        <f>'Claims Data'!C562</f>
        <v>PRV0056</v>
      </c>
      <c r="D562" s="1">
        <f>'Claims Data'!D562</f>
        <v>44987</v>
      </c>
      <c r="E562">
        <f>'Claims Data'!H562</f>
        <v>2.5</v>
      </c>
      <c r="F562">
        <f>'Claims Data'!J562</f>
        <v>114.07</v>
      </c>
      <c r="G562" t="str">
        <f>'Claims Data'!M562</f>
        <v>duplicate_claim</v>
      </c>
      <c r="H562" t="b">
        <f>'Claims Data'!L562</f>
        <v>1</v>
      </c>
      <c r="I562">
        <f t="shared" si="16"/>
        <v>10</v>
      </c>
      <c r="J562" t="str">
        <f t="shared" si="17"/>
        <v>Low Risk</v>
      </c>
    </row>
    <row r="563" spans="1:10" x14ac:dyDescent="0.2">
      <c r="A563" t="str">
        <f>'Claims Data'!A563</f>
        <v>CLM00562</v>
      </c>
      <c r="B563" t="str">
        <f>'Claims Data'!B563</f>
        <v>PAT0158</v>
      </c>
      <c r="C563" t="str">
        <f>'Claims Data'!C563</f>
        <v>PRV0024</v>
      </c>
      <c r="D563" s="1">
        <f>'Claims Data'!D563</f>
        <v>45027</v>
      </c>
      <c r="E563">
        <f>'Claims Data'!H563</f>
        <v>7.8</v>
      </c>
      <c r="F563">
        <f>'Claims Data'!J563</f>
        <v>470.99</v>
      </c>
      <c r="G563">
        <f>'Claims Data'!M563</f>
        <v>0</v>
      </c>
      <c r="H563" t="b">
        <f>'Claims Data'!L563</f>
        <v>0</v>
      </c>
      <c r="I563">
        <f t="shared" si="16"/>
        <v>0</v>
      </c>
      <c r="J563" t="str">
        <f t="shared" si="17"/>
        <v>Low Risk</v>
      </c>
    </row>
    <row r="564" spans="1:10" x14ac:dyDescent="0.2">
      <c r="A564" t="str">
        <f>'Claims Data'!A564</f>
        <v>CLM00563</v>
      </c>
      <c r="B564" t="str">
        <f>'Claims Data'!B564</f>
        <v>PAT0068</v>
      </c>
      <c r="C564" t="str">
        <f>'Claims Data'!C564</f>
        <v>PRV0041</v>
      </c>
      <c r="D564" s="1">
        <f>'Claims Data'!D564</f>
        <v>45495</v>
      </c>
      <c r="E564">
        <f>'Claims Data'!H564</f>
        <v>7</v>
      </c>
      <c r="F564">
        <f>'Claims Data'!J564</f>
        <v>518.73</v>
      </c>
      <c r="G564">
        <f>'Claims Data'!M564</f>
        <v>0</v>
      </c>
      <c r="H564" t="b">
        <f>'Claims Data'!L564</f>
        <v>0</v>
      </c>
      <c r="I564">
        <f t="shared" si="16"/>
        <v>0</v>
      </c>
      <c r="J564" t="str">
        <f t="shared" si="17"/>
        <v>Low Risk</v>
      </c>
    </row>
    <row r="565" spans="1:10" x14ac:dyDescent="0.2">
      <c r="A565" t="str">
        <f>'Claims Data'!A565</f>
        <v>CLM00564</v>
      </c>
      <c r="B565" t="str">
        <f>'Claims Data'!B565</f>
        <v>PAT0015</v>
      </c>
      <c r="C565" t="str">
        <f>'Claims Data'!C565</f>
        <v>PRV0039</v>
      </c>
      <c r="D565" s="1">
        <f>'Claims Data'!D565</f>
        <v>45236</v>
      </c>
      <c r="E565">
        <f>'Claims Data'!H565</f>
        <v>5.4</v>
      </c>
      <c r="F565">
        <f>'Claims Data'!J565</f>
        <v>211.35</v>
      </c>
      <c r="G565">
        <f>'Claims Data'!M565</f>
        <v>0</v>
      </c>
      <c r="H565" t="b">
        <f>'Claims Data'!L565</f>
        <v>0</v>
      </c>
      <c r="I565">
        <f t="shared" si="16"/>
        <v>0</v>
      </c>
      <c r="J565" t="str">
        <f t="shared" si="17"/>
        <v>Low Risk</v>
      </c>
    </row>
    <row r="566" spans="1:10" x14ac:dyDescent="0.2">
      <c r="A566" t="str">
        <f>'Claims Data'!A566</f>
        <v>CLM00565</v>
      </c>
      <c r="B566" t="str">
        <f>'Claims Data'!B566</f>
        <v>PAT0003</v>
      </c>
      <c r="C566" t="str">
        <f>'Claims Data'!C566</f>
        <v>PRV0059</v>
      </c>
      <c r="D566" s="1">
        <f>'Claims Data'!D566</f>
        <v>44984</v>
      </c>
      <c r="E566">
        <f>'Claims Data'!H566</f>
        <v>18.5</v>
      </c>
      <c r="F566">
        <f>'Claims Data'!J566</f>
        <v>1410.44</v>
      </c>
      <c r="G566" t="str">
        <f>'Claims Data'!M566</f>
        <v>inflated_hours</v>
      </c>
      <c r="H566" t="b">
        <f>'Claims Data'!L566</f>
        <v>1</v>
      </c>
      <c r="I566">
        <f t="shared" si="16"/>
        <v>50</v>
      </c>
      <c r="J566" t="str">
        <f t="shared" si="17"/>
        <v>Medium Risk</v>
      </c>
    </row>
    <row r="567" spans="1:10" x14ac:dyDescent="0.2">
      <c r="A567" t="str">
        <f>'Claims Data'!A567</f>
        <v>CLM00566</v>
      </c>
      <c r="B567" t="str">
        <f>'Claims Data'!B567</f>
        <v>PAT0117</v>
      </c>
      <c r="C567" t="str">
        <f>'Claims Data'!C567</f>
        <v>PRV0059</v>
      </c>
      <c r="D567" s="1">
        <f>'Claims Data'!D567</f>
        <v>45499</v>
      </c>
      <c r="E567">
        <f>'Claims Data'!H567</f>
        <v>2.7</v>
      </c>
      <c r="F567">
        <f>'Claims Data'!J567</f>
        <v>190.16</v>
      </c>
      <c r="G567">
        <f>'Claims Data'!M567</f>
        <v>0</v>
      </c>
      <c r="H567" t="b">
        <f>'Claims Data'!L567</f>
        <v>0</v>
      </c>
      <c r="I567">
        <f t="shared" si="16"/>
        <v>0</v>
      </c>
      <c r="J567" t="str">
        <f t="shared" si="17"/>
        <v>Low Risk</v>
      </c>
    </row>
    <row r="568" spans="1:10" x14ac:dyDescent="0.2">
      <c r="A568" t="str">
        <f>'Claims Data'!A568</f>
        <v>CLM00567</v>
      </c>
      <c r="B568" t="str">
        <f>'Claims Data'!B568</f>
        <v>PAT0188</v>
      </c>
      <c r="C568" t="str">
        <f>'Claims Data'!C568</f>
        <v>PRV0013</v>
      </c>
      <c r="D568" s="1">
        <f>'Claims Data'!D568</f>
        <v>45115</v>
      </c>
      <c r="E568">
        <f>'Claims Data'!H568</f>
        <v>7.8</v>
      </c>
      <c r="F568">
        <f>'Claims Data'!J568</f>
        <v>573.36</v>
      </c>
      <c r="G568">
        <f>'Claims Data'!M568</f>
        <v>0</v>
      </c>
      <c r="H568" t="b">
        <f>'Claims Data'!L568</f>
        <v>0</v>
      </c>
      <c r="I568">
        <f t="shared" si="16"/>
        <v>0</v>
      </c>
      <c r="J568" t="str">
        <f t="shared" si="17"/>
        <v>Low Risk</v>
      </c>
    </row>
    <row r="569" spans="1:10" x14ac:dyDescent="0.2">
      <c r="A569" t="str">
        <f>'Claims Data'!A569</f>
        <v>CLM00568</v>
      </c>
      <c r="B569" t="str">
        <f>'Claims Data'!B569</f>
        <v>PAT0277</v>
      </c>
      <c r="C569" t="str">
        <f>'Claims Data'!C569</f>
        <v>PRV0012</v>
      </c>
      <c r="D569" s="1">
        <f>'Claims Data'!D569</f>
        <v>45492</v>
      </c>
      <c r="E569">
        <f>'Claims Data'!H569</f>
        <v>4.5</v>
      </c>
      <c r="F569">
        <f>'Claims Data'!J569</f>
        <v>379.34</v>
      </c>
      <c r="G569">
        <f>'Claims Data'!M569</f>
        <v>0</v>
      </c>
      <c r="H569" t="b">
        <f>'Claims Data'!L569</f>
        <v>0</v>
      </c>
      <c r="I569">
        <f t="shared" si="16"/>
        <v>0</v>
      </c>
      <c r="J569" t="str">
        <f t="shared" si="17"/>
        <v>Low Risk</v>
      </c>
    </row>
    <row r="570" spans="1:10" x14ac:dyDescent="0.2">
      <c r="A570" t="str">
        <f>'Claims Data'!A570</f>
        <v>CLM00569</v>
      </c>
      <c r="B570" t="str">
        <f>'Claims Data'!B570</f>
        <v>PAT0195</v>
      </c>
      <c r="C570" t="str">
        <f>'Claims Data'!C570</f>
        <v>PRV0027</v>
      </c>
      <c r="D570" s="1">
        <f>'Claims Data'!D570</f>
        <v>45584</v>
      </c>
      <c r="E570">
        <f>'Claims Data'!H570</f>
        <v>8</v>
      </c>
      <c r="F570">
        <f>'Claims Data'!J570</f>
        <v>501.07</v>
      </c>
      <c r="G570">
        <f>'Claims Data'!M570</f>
        <v>0</v>
      </c>
      <c r="H570" t="b">
        <f>'Claims Data'!L570</f>
        <v>0</v>
      </c>
      <c r="I570">
        <f t="shared" si="16"/>
        <v>0</v>
      </c>
      <c r="J570" t="str">
        <f t="shared" si="17"/>
        <v>Low Risk</v>
      </c>
    </row>
    <row r="571" spans="1:10" x14ac:dyDescent="0.2">
      <c r="A571" t="str">
        <f>'Claims Data'!A571</f>
        <v>CLM00570</v>
      </c>
      <c r="B571" t="str">
        <f>'Claims Data'!B571</f>
        <v>PAT0124</v>
      </c>
      <c r="C571" t="str">
        <f>'Claims Data'!C571</f>
        <v>PRV0044</v>
      </c>
      <c r="D571" s="1">
        <f>'Claims Data'!D571</f>
        <v>45594</v>
      </c>
      <c r="E571">
        <f>'Claims Data'!H571</f>
        <v>3.9</v>
      </c>
      <c r="F571">
        <f>'Claims Data'!J571</f>
        <v>267.64</v>
      </c>
      <c r="G571">
        <f>'Claims Data'!M571</f>
        <v>0</v>
      </c>
      <c r="H571" t="b">
        <f>'Claims Data'!L571</f>
        <v>0</v>
      </c>
      <c r="I571">
        <f t="shared" si="16"/>
        <v>0</v>
      </c>
      <c r="J571" t="str">
        <f t="shared" si="17"/>
        <v>Low Risk</v>
      </c>
    </row>
    <row r="572" spans="1:10" x14ac:dyDescent="0.2">
      <c r="A572" t="str">
        <f>'Claims Data'!A572</f>
        <v>CLM00571</v>
      </c>
      <c r="B572" t="str">
        <f>'Claims Data'!B572</f>
        <v>PAT0033</v>
      </c>
      <c r="C572" t="str">
        <f>'Claims Data'!C572</f>
        <v>PRV0018</v>
      </c>
      <c r="D572" s="1">
        <f>'Claims Data'!D572</f>
        <v>45251</v>
      </c>
      <c r="E572">
        <f>'Claims Data'!H572</f>
        <v>4.3</v>
      </c>
      <c r="F572">
        <f>'Claims Data'!J572</f>
        <v>210.02</v>
      </c>
      <c r="G572">
        <f>'Claims Data'!M572</f>
        <v>0</v>
      </c>
      <c r="H572" t="b">
        <f>'Claims Data'!L572</f>
        <v>0</v>
      </c>
      <c r="I572">
        <f t="shared" si="16"/>
        <v>0</v>
      </c>
      <c r="J572" t="str">
        <f t="shared" si="17"/>
        <v>Low Risk</v>
      </c>
    </row>
    <row r="573" spans="1:10" x14ac:dyDescent="0.2">
      <c r="A573" t="str">
        <f>'Claims Data'!A573</f>
        <v>CLM00572</v>
      </c>
      <c r="B573" t="str">
        <f>'Claims Data'!B573</f>
        <v>PAT0017</v>
      </c>
      <c r="C573" t="str">
        <f>'Claims Data'!C573</f>
        <v>PRV0023</v>
      </c>
      <c r="D573" s="1">
        <f>'Claims Data'!D573</f>
        <v>45381</v>
      </c>
      <c r="E573">
        <f>'Claims Data'!H573</f>
        <v>5.0999999999999996</v>
      </c>
      <c r="F573">
        <f>'Claims Data'!J573</f>
        <v>408.15</v>
      </c>
      <c r="G573">
        <f>'Claims Data'!M573</f>
        <v>0</v>
      </c>
      <c r="H573" t="b">
        <f>'Claims Data'!L573</f>
        <v>0</v>
      </c>
      <c r="I573">
        <f t="shared" si="16"/>
        <v>0</v>
      </c>
      <c r="J573" t="str">
        <f t="shared" si="17"/>
        <v>Low Risk</v>
      </c>
    </row>
    <row r="574" spans="1:10" x14ac:dyDescent="0.2">
      <c r="A574" t="str">
        <f>'Claims Data'!A574</f>
        <v>CLM00573</v>
      </c>
      <c r="B574" t="str">
        <f>'Claims Data'!B574</f>
        <v>PAT0288</v>
      </c>
      <c r="C574" t="str">
        <f>'Claims Data'!C574</f>
        <v>PRV0058</v>
      </c>
      <c r="D574" s="1">
        <f>'Claims Data'!D574</f>
        <v>45011</v>
      </c>
      <c r="E574">
        <f>'Claims Data'!H574</f>
        <v>2.7</v>
      </c>
      <c r="F574">
        <f>'Claims Data'!J574</f>
        <v>91.74</v>
      </c>
      <c r="G574">
        <f>'Claims Data'!M574</f>
        <v>0</v>
      </c>
      <c r="H574" t="b">
        <f>'Claims Data'!L574</f>
        <v>0</v>
      </c>
      <c r="I574">
        <f t="shared" si="16"/>
        <v>0</v>
      </c>
      <c r="J574" t="str">
        <f t="shared" si="17"/>
        <v>Low Risk</v>
      </c>
    </row>
    <row r="575" spans="1:10" x14ac:dyDescent="0.2">
      <c r="A575" t="str">
        <f>'Claims Data'!A575</f>
        <v>CLM00574</v>
      </c>
      <c r="B575" t="str">
        <f>'Claims Data'!B575</f>
        <v>PAT0039</v>
      </c>
      <c r="C575" t="str">
        <f>'Claims Data'!C575</f>
        <v>PRV0021</v>
      </c>
      <c r="D575" s="1">
        <f>'Claims Data'!D575</f>
        <v>45398</v>
      </c>
      <c r="E575">
        <f>'Claims Data'!H575</f>
        <v>7.5</v>
      </c>
      <c r="F575">
        <f>'Claims Data'!J575</f>
        <v>440.71</v>
      </c>
      <c r="G575">
        <f>'Claims Data'!M575</f>
        <v>0</v>
      </c>
      <c r="H575" t="b">
        <f>'Claims Data'!L575</f>
        <v>0</v>
      </c>
      <c r="I575">
        <f t="shared" si="16"/>
        <v>0</v>
      </c>
      <c r="J575" t="str">
        <f t="shared" si="17"/>
        <v>Low Risk</v>
      </c>
    </row>
    <row r="576" spans="1:10" x14ac:dyDescent="0.2">
      <c r="A576" t="str">
        <f>'Claims Data'!A576</f>
        <v>CLM00575</v>
      </c>
      <c r="B576" t="str">
        <f>'Claims Data'!B576</f>
        <v>PAT0010</v>
      </c>
      <c r="C576" t="str">
        <f>'Claims Data'!C576</f>
        <v>PRV0005</v>
      </c>
      <c r="D576" s="1">
        <f>'Claims Data'!D576</f>
        <v>45103</v>
      </c>
      <c r="E576">
        <f>'Claims Data'!H576</f>
        <v>7.2</v>
      </c>
      <c r="F576">
        <f>'Claims Data'!J576</f>
        <v>560.22</v>
      </c>
      <c r="G576">
        <f>'Claims Data'!M576</f>
        <v>0</v>
      </c>
      <c r="H576" t="b">
        <f>'Claims Data'!L576</f>
        <v>0</v>
      </c>
      <c r="I576">
        <f t="shared" si="16"/>
        <v>0</v>
      </c>
      <c r="J576" t="str">
        <f t="shared" si="17"/>
        <v>Low Risk</v>
      </c>
    </row>
    <row r="577" spans="1:10" x14ac:dyDescent="0.2">
      <c r="A577" t="str">
        <f>'Claims Data'!A577</f>
        <v>CLM00576</v>
      </c>
      <c r="B577" t="str">
        <f>'Claims Data'!B577</f>
        <v>PAT0258</v>
      </c>
      <c r="C577" t="str">
        <f>'Claims Data'!C577</f>
        <v>PRV0011</v>
      </c>
      <c r="D577" s="1">
        <f>'Claims Data'!D577</f>
        <v>44954</v>
      </c>
      <c r="E577">
        <f>'Claims Data'!H577</f>
        <v>4.3</v>
      </c>
      <c r="F577">
        <f>'Claims Data'!J577</f>
        <v>232.78</v>
      </c>
      <c r="G577">
        <f>'Claims Data'!M577</f>
        <v>0</v>
      </c>
      <c r="H577" t="b">
        <f>'Claims Data'!L577</f>
        <v>0</v>
      </c>
      <c r="I577">
        <f t="shared" si="16"/>
        <v>0</v>
      </c>
      <c r="J577" t="str">
        <f t="shared" si="17"/>
        <v>Low Risk</v>
      </c>
    </row>
    <row r="578" spans="1:10" x14ac:dyDescent="0.2">
      <c r="A578" t="str">
        <f>'Claims Data'!A578</f>
        <v>CLM00577</v>
      </c>
      <c r="B578" t="str">
        <f>'Claims Data'!B578</f>
        <v>PAT0167</v>
      </c>
      <c r="C578" t="str">
        <f>'Claims Data'!C578</f>
        <v>PRV0035</v>
      </c>
      <c r="D578" s="1">
        <f>'Claims Data'!D578</f>
        <v>45314</v>
      </c>
      <c r="E578">
        <f>'Claims Data'!H578</f>
        <v>2.2000000000000002</v>
      </c>
      <c r="F578">
        <f>'Claims Data'!J578</f>
        <v>91.35</v>
      </c>
      <c r="G578">
        <f>'Claims Data'!M578</f>
        <v>0</v>
      </c>
      <c r="H578" t="b">
        <f>'Claims Data'!L578</f>
        <v>0</v>
      </c>
      <c r="I578">
        <f t="shared" si="16"/>
        <v>0</v>
      </c>
      <c r="J578" t="str">
        <f t="shared" si="17"/>
        <v>Low Risk</v>
      </c>
    </row>
    <row r="579" spans="1:10" x14ac:dyDescent="0.2">
      <c r="A579" t="str">
        <f>'Claims Data'!A579</f>
        <v>CLM00578</v>
      </c>
      <c r="B579" t="str">
        <f>'Claims Data'!B579</f>
        <v>PAT0286</v>
      </c>
      <c r="C579" t="str">
        <f>'Claims Data'!C579</f>
        <v>PRV0032</v>
      </c>
      <c r="D579" s="1">
        <f>'Claims Data'!D579</f>
        <v>41541</v>
      </c>
      <c r="E579">
        <f>'Claims Data'!H579</f>
        <v>2.2000000000000002</v>
      </c>
      <c r="F579">
        <f>'Claims Data'!J579</f>
        <v>172.42</v>
      </c>
      <c r="G579" t="str">
        <f>'Claims Data'!M579</f>
        <v>deceased_patient_billing</v>
      </c>
      <c r="H579" t="b">
        <f>'Claims Data'!L579</f>
        <v>1</v>
      </c>
      <c r="I579">
        <f t="shared" ref="I579:I642" si="18">IF(E579&gt;16,40,0)+IF(MOD(F579,250)=0,30,0)+IF(H579=TRUE,10,0)</f>
        <v>10</v>
      </c>
      <c r="J579" t="str">
        <f t="shared" ref="J579:J642" si="19">IF(I579&gt;=70,"High Risk",IF(I579&gt;=30,"Medium Risk","Low Risk"))</f>
        <v>Low Risk</v>
      </c>
    </row>
    <row r="580" spans="1:10" x14ac:dyDescent="0.2">
      <c r="A580" t="str">
        <f>'Claims Data'!A580</f>
        <v>CLM00579</v>
      </c>
      <c r="B580" t="str">
        <f>'Claims Data'!B580</f>
        <v>PAT0273</v>
      </c>
      <c r="C580" t="str">
        <f>'Claims Data'!C580</f>
        <v>PRV0003</v>
      </c>
      <c r="D580" s="1">
        <f>'Claims Data'!D580</f>
        <v>45539</v>
      </c>
      <c r="E580">
        <f>'Claims Data'!H580</f>
        <v>2.2999999999999998</v>
      </c>
      <c r="F580">
        <f>'Claims Data'!J580</f>
        <v>123.08</v>
      </c>
      <c r="G580">
        <f>'Claims Data'!M580</f>
        <v>0</v>
      </c>
      <c r="H580" t="b">
        <f>'Claims Data'!L580</f>
        <v>0</v>
      </c>
      <c r="I580">
        <f t="shared" si="18"/>
        <v>0</v>
      </c>
      <c r="J580" t="str">
        <f t="shared" si="19"/>
        <v>Low Risk</v>
      </c>
    </row>
    <row r="581" spans="1:10" x14ac:dyDescent="0.2">
      <c r="A581" t="str">
        <f>'Claims Data'!A581</f>
        <v>CLM00580</v>
      </c>
      <c r="B581" t="str">
        <f>'Claims Data'!B581</f>
        <v>PAT0050</v>
      </c>
      <c r="C581" t="str">
        <f>'Claims Data'!C581</f>
        <v>PRV0011</v>
      </c>
      <c r="D581" s="1">
        <f>'Claims Data'!D581</f>
        <v>44983</v>
      </c>
      <c r="E581">
        <f>'Claims Data'!H581</f>
        <v>2.1</v>
      </c>
      <c r="F581">
        <f>'Claims Data'!J581</f>
        <v>155.49</v>
      </c>
      <c r="G581">
        <f>'Claims Data'!M581</f>
        <v>0</v>
      </c>
      <c r="H581" t="b">
        <f>'Claims Data'!L581</f>
        <v>0</v>
      </c>
      <c r="I581">
        <f t="shared" si="18"/>
        <v>0</v>
      </c>
      <c r="J581" t="str">
        <f t="shared" si="19"/>
        <v>Low Risk</v>
      </c>
    </row>
    <row r="582" spans="1:10" x14ac:dyDescent="0.2">
      <c r="A582" t="str">
        <f>'Claims Data'!A582</f>
        <v>CLM00581</v>
      </c>
      <c r="B582" t="str">
        <f>'Claims Data'!B582</f>
        <v>PAT0255</v>
      </c>
      <c r="C582" t="str">
        <f>'Claims Data'!C582</f>
        <v>PRV0044</v>
      </c>
      <c r="D582" s="1">
        <f>'Claims Data'!D582</f>
        <v>45406</v>
      </c>
      <c r="E582">
        <f>'Claims Data'!H582</f>
        <v>3.7</v>
      </c>
      <c r="F582">
        <f>'Claims Data'!J582</f>
        <v>201.64</v>
      </c>
      <c r="G582">
        <f>'Claims Data'!M582</f>
        <v>0</v>
      </c>
      <c r="H582" t="b">
        <f>'Claims Data'!L582</f>
        <v>0</v>
      </c>
      <c r="I582">
        <f t="shared" si="18"/>
        <v>0</v>
      </c>
      <c r="J582" t="str">
        <f t="shared" si="19"/>
        <v>Low Risk</v>
      </c>
    </row>
    <row r="583" spans="1:10" x14ac:dyDescent="0.2">
      <c r="A583" t="str">
        <f>'Claims Data'!A583</f>
        <v>CLM00582</v>
      </c>
      <c r="B583" t="str">
        <f>'Claims Data'!B583</f>
        <v>PAT0181</v>
      </c>
      <c r="C583" t="str">
        <f>'Claims Data'!C583</f>
        <v>PRV0042</v>
      </c>
      <c r="D583" s="1">
        <f>'Claims Data'!D583</f>
        <v>44932</v>
      </c>
      <c r="E583">
        <f>'Claims Data'!H583</f>
        <v>7.8</v>
      </c>
      <c r="F583">
        <f>'Claims Data'!J583</f>
        <v>301.68</v>
      </c>
      <c r="G583">
        <f>'Claims Data'!M583</f>
        <v>0</v>
      </c>
      <c r="H583" t="b">
        <f>'Claims Data'!L583</f>
        <v>0</v>
      </c>
      <c r="I583">
        <f t="shared" si="18"/>
        <v>0</v>
      </c>
      <c r="J583" t="str">
        <f t="shared" si="19"/>
        <v>Low Risk</v>
      </c>
    </row>
    <row r="584" spans="1:10" x14ac:dyDescent="0.2">
      <c r="A584" t="str">
        <f>'Claims Data'!A584</f>
        <v>CLM00583</v>
      </c>
      <c r="B584" t="str">
        <f>'Claims Data'!B584</f>
        <v>PAT0115</v>
      </c>
      <c r="C584" t="str">
        <f>'Claims Data'!C584</f>
        <v>PRV0034</v>
      </c>
      <c r="D584" s="1">
        <f>'Claims Data'!D584</f>
        <v>44959</v>
      </c>
      <c r="E584">
        <f>'Claims Data'!H584</f>
        <v>6.6</v>
      </c>
      <c r="F584">
        <f>'Claims Data'!J584</f>
        <v>292.06</v>
      </c>
      <c r="G584">
        <f>'Claims Data'!M584</f>
        <v>0</v>
      </c>
      <c r="H584" t="b">
        <f>'Claims Data'!L584</f>
        <v>0</v>
      </c>
      <c r="I584">
        <f t="shared" si="18"/>
        <v>0</v>
      </c>
      <c r="J584" t="str">
        <f t="shared" si="19"/>
        <v>Low Risk</v>
      </c>
    </row>
    <row r="585" spans="1:10" x14ac:dyDescent="0.2">
      <c r="A585" t="str">
        <f>'Claims Data'!A585</f>
        <v>CLM00584</v>
      </c>
      <c r="B585" t="str">
        <f>'Claims Data'!B585</f>
        <v>PAT0163</v>
      </c>
      <c r="C585" t="str">
        <f>'Claims Data'!C585</f>
        <v>PRV0048</v>
      </c>
      <c r="D585" s="1">
        <f>'Claims Data'!D585</f>
        <v>45502</v>
      </c>
      <c r="E585">
        <f>'Claims Data'!H585</f>
        <v>5.6</v>
      </c>
      <c r="F585">
        <f>'Claims Data'!J585</f>
        <v>170</v>
      </c>
      <c r="G585">
        <f>'Claims Data'!M585</f>
        <v>0</v>
      </c>
      <c r="H585" t="b">
        <f>'Claims Data'!L585</f>
        <v>0</v>
      </c>
      <c r="I585">
        <f t="shared" si="18"/>
        <v>0</v>
      </c>
      <c r="J585" t="str">
        <f t="shared" si="19"/>
        <v>Low Risk</v>
      </c>
    </row>
    <row r="586" spans="1:10" x14ac:dyDescent="0.2">
      <c r="A586" t="str">
        <f>'Claims Data'!A586</f>
        <v>CLM00585</v>
      </c>
      <c r="B586" t="str">
        <f>'Claims Data'!B586</f>
        <v>PAT0274</v>
      </c>
      <c r="C586" t="str">
        <f>'Claims Data'!C586</f>
        <v>PRV0028</v>
      </c>
      <c r="D586" s="1">
        <f>'Claims Data'!D586</f>
        <v>45462</v>
      </c>
      <c r="E586">
        <f>'Claims Data'!H586</f>
        <v>7.5</v>
      </c>
      <c r="F586">
        <f>'Claims Data'!J586</f>
        <v>370.73</v>
      </c>
      <c r="G586">
        <f>'Claims Data'!M586</f>
        <v>0</v>
      </c>
      <c r="H586" t="b">
        <f>'Claims Data'!L586</f>
        <v>0</v>
      </c>
      <c r="I586">
        <f t="shared" si="18"/>
        <v>0</v>
      </c>
      <c r="J586" t="str">
        <f t="shared" si="19"/>
        <v>Low Risk</v>
      </c>
    </row>
    <row r="587" spans="1:10" x14ac:dyDescent="0.2">
      <c r="A587" t="str">
        <f>'Claims Data'!A587</f>
        <v>CLM00586</v>
      </c>
      <c r="B587" t="str">
        <f>'Claims Data'!B587</f>
        <v>PAT0147</v>
      </c>
      <c r="C587" t="str">
        <f>'Claims Data'!C587</f>
        <v>PRV0053</v>
      </c>
      <c r="D587" s="1">
        <f>'Claims Data'!D587</f>
        <v>45438</v>
      </c>
      <c r="E587">
        <f>'Claims Data'!H587</f>
        <v>19.899999999999999</v>
      </c>
      <c r="F587">
        <f>'Claims Data'!J587</f>
        <v>1112.81</v>
      </c>
      <c r="G587" t="str">
        <f>'Claims Data'!M587</f>
        <v>inflated_hours</v>
      </c>
      <c r="H587" t="b">
        <f>'Claims Data'!L587</f>
        <v>1</v>
      </c>
      <c r="I587">
        <f t="shared" si="18"/>
        <v>50</v>
      </c>
      <c r="J587" t="str">
        <f t="shared" si="19"/>
        <v>Medium Risk</v>
      </c>
    </row>
    <row r="588" spans="1:10" x14ac:dyDescent="0.2">
      <c r="A588" t="str">
        <f>'Claims Data'!A588</f>
        <v>CLM00587</v>
      </c>
      <c r="B588" t="str">
        <f>'Claims Data'!B588</f>
        <v>PAT0256</v>
      </c>
      <c r="C588" t="str">
        <f>'Claims Data'!C588</f>
        <v>PRV0028</v>
      </c>
      <c r="D588" s="1">
        <f>'Claims Data'!D588</f>
        <v>45003</v>
      </c>
      <c r="E588">
        <f>'Claims Data'!H588</f>
        <v>3.9</v>
      </c>
      <c r="F588">
        <f>'Claims Data'!J588</f>
        <v>216.09</v>
      </c>
      <c r="G588">
        <f>'Claims Data'!M588</f>
        <v>0</v>
      </c>
      <c r="H588" t="b">
        <f>'Claims Data'!L588</f>
        <v>0</v>
      </c>
      <c r="I588">
        <f t="shared" si="18"/>
        <v>0</v>
      </c>
      <c r="J588" t="str">
        <f t="shared" si="19"/>
        <v>Low Risk</v>
      </c>
    </row>
    <row r="589" spans="1:10" x14ac:dyDescent="0.2">
      <c r="A589" t="str">
        <f>'Claims Data'!A589</f>
        <v>CLM00588</v>
      </c>
      <c r="B589" t="str">
        <f>'Claims Data'!B589</f>
        <v>PAT0160</v>
      </c>
      <c r="C589" t="str">
        <f>'Claims Data'!C589</f>
        <v>PRV0029</v>
      </c>
      <c r="D589" s="1">
        <f>'Claims Data'!D589</f>
        <v>45391</v>
      </c>
      <c r="E589">
        <f>'Claims Data'!H589</f>
        <v>21.6</v>
      </c>
      <c r="F589">
        <f>'Claims Data'!J589</f>
        <v>1674.22</v>
      </c>
      <c r="G589" t="str">
        <f>'Claims Data'!M589</f>
        <v>inflated_hours</v>
      </c>
      <c r="H589" t="b">
        <f>'Claims Data'!L589</f>
        <v>1</v>
      </c>
      <c r="I589">
        <f t="shared" si="18"/>
        <v>50</v>
      </c>
      <c r="J589" t="str">
        <f t="shared" si="19"/>
        <v>Medium Risk</v>
      </c>
    </row>
    <row r="590" spans="1:10" x14ac:dyDescent="0.2">
      <c r="A590" t="str">
        <f>'Claims Data'!A590</f>
        <v>CLM00589</v>
      </c>
      <c r="B590" t="str">
        <f>'Claims Data'!B590</f>
        <v>PAT0178</v>
      </c>
      <c r="C590" t="str">
        <f>'Claims Data'!C590</f>
        <v>PRV0013</v>
      </c>
      <c r="D590" s="1">
        <f>'Claims Data'!D590</f>
        <v>45335</v>
      </c>
      <c r="E590">
        <f>'Claims Data'!H590</f>
        <v>3.5</v>
      </c>
      <c r="F590">
        <f>'Claims Data'!J590</f>
        <v>183.35</v>
      </c>
      <c r="G590">
        <f>'Claims Data'!M590</f>
        <v>0</v>
      </c>
      <c r="H590" t="b">
        <f>'Claims Data'!L590</f>
        <v>0</v>
      </c>
      <c r="I590">
        <f t="shared" si="18"/>
        <v>0</v>
      </c>
      <c r="J590" t="str">
        <f t="shared" si="19"/>
        <v>Low Risk</v>
      </c>
    </row>
    <row r="591" spans="1:10" x14ac:dyDescent="0.2">
      <c r="A591" t="str">
        <f>'Claims Data'!A591</f>
        <v>CLM00590</v>
      </c>
      <c r="B591" t="str">
        <f>'Claims Data'!B591</f>
        <v>PAT0168</v>
      </c>
      <c r="C591" t="str">
        <f>'Claims Data'!C591</f>
        <v>PRV0010</v>
      </c>
      <c r="D591" s="1">
        <f>'Claims Data'!D591</f>
        <v>45344</v>
      </c>
      <c r="E591">
        <f>'Claims Data'!H591</f>
        <v>3.6</v>
      </c>
      <c r="F591">
        <f>'Claims Data'!J591</f>
        <v>267.88</v>
      </c>
      <c r="G591">
        <f>'Claims Data'!M591</f>
        <v>0</v>
      </c>
      <c r="H591" t="b">
        <f>'Claims Data'!L591</f>
        <v>0</v>
      </c>
      <c r="I591">
        <f t="shared" si="18"/>
        <v>0</v>
      </c>
      <c r="J591" t="str">
        <f t="shared" si="19"/>
        <v>Low Risk</v>
      </c>
    </row>
    <row r="592" spans="1:10" x14ac:dyDescent="0.2">
      <c r="A592" t="str">
        <f>'Claims Data'!A592</f>
        <v>CLM00591</v>
      </c>
      <c r="B592" t="str">
        <f>'Claims Data'!B592</f>
        <v>PAT0113</v>
      </c>
      <c r="C592" t="str">
        <f>'Claims Data'!C592</f>
        <v>PRV0044</v>
      </c>
      <c r="D592" s="1">
        <f>'Claims Data'!D592</f>
        <v>45643</v>
      </c>
      <c r="E592">
        <f>'Claims Data'!H592</f>
        <v>5.8</v>
      </c>
      <c r="F592">
        <f>'Claims Data'!J592</f>
        <v>188.11</v>
      </c>
      <c r="G592">
        <f>'Claims Data'!M592</f>
        <v>0</v>
      </c>
      <c r="H592" t="b">
        <f>'Claims Data'!L592</f>
        <v>0</v>
      </c>
      <c r="I592">
        <f t="shared" si="18"/>
        <v>0</v>
      </c>
      <c r="J592" t="str">
        <f t="shared" si="19"/>
        <v>Low Risk</v>
      </c>
    </row>
    <row r="593" spans="1:10" x14ac:dyDescent="0.2">
      <c r="A593" t="str">
        <f>'Claims Data'!A593</f>
        <v>CLM00592</v>
      </c>
      <c r="B593" t="str">
        <f>'Claims Data'!B593</f>
        <v>PAT0209</v>
      </c>
      <c r="C593" t="str">
        <f>'Claims Data'!C593</f>
        <v>PRV0006</v>
      </c>
      <c r="D593" s="1">
        <f>'Claims Data'!D593</f>
        <v>44953</v>
      </c>
      <c r="E593">
        <f>'Claims Data'!H593</f>
        <v>4.2</v>
      </c>
      <c r="F593">
        <f>'Claims Data'!J593</f>
        <v>254.7</v>
      </c>
      <c r="G593">
        <f>'Claims Data'!M593</f>
        <v>0</v>
      </c>
      <c r="H593" t="b">
        <f>'Claims Data'!L593</f>
        <v>0</v>
      </c>
      <c r="I593">
        <f t="shared" si="18"/>
        <v>0</v>
      </c>
      <c r="J593" t="str">
        <f t="shared" si="19"/>
        <v>Low Risk</v>
      </c>
    </row>
    <row r="594" spans="1:10" x14ac:dyDescent="0.2">
      <c r="A594" t="str">
        <f>'Claims Data'!A594</f>
        <v>CLM00593</v>
      </c>
      <c r="B594" t="str">
        <f>'Claims Data'!B594</f>
        <v>PAT0085</v>
      </c>
      <c r="C594" t="str">
        <f>'Claims Data'!C594</f>
        <v>PRV0041</v>
      </c>
      <c r="D594" s="1">
        <f>'Claims Data'!D594</f>
        <v>45571</v>
      </c>
      <c r="E594">
        <f>'Claims Data'!H594</f>
        <v>5.5</v>
      </c>
      <c r="F594">
        <f>'Claims Data'!J594</f>
        <v>252.92</v>
      </c>
      <c r="G594">
        <f>'Claims Data'!M594</f>
        <v>0</v>
      </c>
      <c r="H594" t="b">
        <f>'Claims Data'!L594</f>
        <v>0</v>
      </c>
      <c r="I594">
        <f t="shared" si="18"/>
        <v>0</v>
      </c>
      <c r="J594" t="str">
        <f t="shared" si="19"/>
        <v>Low Risk</v>
      </c>
    </row>
    <row r="595" spans="1:10" x14ac:dyDescent="0.2">
      <c r="A595" t="str">
        <f>'Claims Data'!A595</f>
        <v>CLM00594</v>
      </c>
      <c r="B595" t="str">
        <f>'Claims Data'!B595</f>
        <v>PAT0262</v>
      </c>
      <c r="C595" t="str">
        <f>'Claims Data'!C595</f>
        <v>PRV0005</v>
      </c>
      <c r="D595" s="1">
        <f>'Claims Data'!D595</f>
        <v>45595</v>
      </c>
      <c r="E595">
        <f>'Claims Data'!H595</f>
        <v>6.5</v>
      </c>
      <c r="F595">
        <f>'Claims Data'!J595</f>
        <v>431.15</v>
      </c>
      <c r="G595">
        <f>'Claims Data'!M595</f>
        <v>0</v>
      </c>
      <c r="H595" t="b">
        <f>'Claims Data'!L595</f>
        <v>0</v>
      </c>
      <c r="I595">
        <f t="shared" si="18"/>
        <v>0</v>
      </c>
      <c r="J595" t="str">
        <f t="shared" si="19"/>
        <v>Low Risk</v>
      </c>
    </row>
    <row r="596" spans="1:10" x14ac:dyDescent="0.2">
      <c r="A596" t="str">
        <f>'Claims Data'!A596</f>
        <v>CLM00595</v>
      </c>
      <c r="B596" t="str">
        <f>'Claims Data'!B596</f>
        <v>PAT0248</v>
      </c>
      <c r="C596" t="str">
        <f>'Claims Data'!C596</f>
        <v>PRV0038</v>
      </c>
      <c r="D596" s="1">
        <f>'Claims Data'!D596</f>
        <v>45118</v>
      </c>
      <c r="E596">
        <f>'Claims Data'!H596</f>
        <v>57.5</v>
      </c>
      <c r="F596">
        <f>'Claims Data'!J596</f>
        <v>2000</v>
      </c>
      <c r="G596" t="str">
        <f>'Claims Data'!M596</f>
        <v>phantom_round_amount</v>
      </c>
      <c r="H596" t="b">
        <f>'Claims Data'!L596</f>
        <v>1</v>
      </c>
      <c r="I596">
        <f t="shared" si="18"/>
        <v>80</v>
      </c>
      <c r="J596" t="str">
        <f t="shared" si="19"/>
        <v>High Risk</v>
      </c>
    </row>
    <row r="597" spans="1:10" x14ac:dyDescent="0.2">
      <c r="A597" t="str">
        <f>'Claims Data'!A597</f>
        <v>CLM00596</v>
      </c>
      <c r="B597" t="str">
        <f>'Claims Data'!B597</f>
        <v>PAT0107</v>
      </c>
      <c r="C597" t="str">
        <f>'Claims Data'!C597</f>
        <v>PRV0055</v>
      </c>
      <c r="D597" s="1">
        <f>'Claims Data'!D597</f>
        <v>45523</v>
      </c>
      <c r="E597">
        <f>'Claims Data'!H597</f>
        <v>7.1</v>
      </c>
      <c r="F597">
        <f>'Claims Data'!J597</f>
        <v>453.28</v>
      </c>
      <c r="G597">
        <f>'Claims Data'!M597</f>
        <v>0</v>
      </c>
      <c r="H597" t="b">
        <f>'Claims Data'!L597</f>
        <v>0</v>
      </c>
      <c r="I597">
        <f t="shared" si="18"/>
        <v>0</v>
      </c>
      <c r="J597" t="str">
        <f t="shared" si="19"/>
        <v>Low Risk</v>
      </c>
    </row>
    <row r="598" spans="1:10" x14ac:dyDescent="0.2">
      <c r="A598" t="str">
        <f>'Claims Data'!A598</f>
        <v>CLM00597</v>
      </c>
      <c r="B598" t="str">
        <f>'Claims Data'!B598</f>
        <v>PAT0202</v>
      </c>
      <c r="C598" t="str">
        <f>'Claims Data'!C598</f>
        <v>PRV0029</v>
      </c>
      <c r="D598" s="1">
        <f>'Claims Data'!D598</f>
        <v>45313</v>
      </c>
      <c r="E598">
        <f>'Claims Data'!H598</f>
        <v>3.6</v>
      </c>
      <c r="F598">
        <f>'Claims Data'!J598</f>
        <v>178.45</v>
      </c>
      <c r="G598">
        <f>'Claims Data'!M598</f>
        <v>0</v>
      </c>
      <c r="H598" t="b">
        <f>'Claims Data'!L598</f>
        <v>0</v>
      </c>
      <c r="I598">
        <f t="shared" si="18"/>
        <v>0</v>
      </c>
      <c r="J598" t="str">
        <f t="shared" si="19"/>
        <v>Low Risk</v>
      </c>
    </row>
    <row r="599" spans="1:10" x14ac:dyDescent="0.2">
      <c r="A599" t="str">
        <f>'Claims Data'!A599</f>
        <v>CLM00598</v>
      </c>
      <c r="B599" t="str">
        <f>'Claims Data'!B599</f>
        <v>PAT0188</v>
      </c>
      <c r="C599" t="str">
        <f>'Claims Data'!C599</f>
        <v>PRV0028</v>
      </c>
      <c r="D599" s="1">
        <f>'Claims Data'!D599</f>
        <v>45297</v>
      </c>
      <c r="E599">
        <f>'Claims Data'!H599</f>
        <v>4.8</v>
      </c>
      <c r="F599">
        <f>'Claims Data'!J599</f>
        <v>158.11000000000001</v>
      </c>
      <c r="G599">
        <f>'Claims Data'!M599</f>
        <v>0</v>
      </c>
      <c r="H599" t="b">
        <f>'Claims Data'!L599</f>
        <v>0</v>
      </c>
      <c r="I599">
        <f t="shared" si="18"/>
        <v>0</v>
      </c>
      <c r="J599" t="str">
        <f t="shared" si="19"/>
        <v>Low Risk</v>
      </c>
    </row>
    <row r="600" spans="1:10" x14ac:dyDescent="0.2">
      <c r="A600" t="str">
        <f>'Claims Data'!A600</f>
        <v>CLM00599</v>
      </c>
      <c r="B600" t="str">
        <f>'Claims Data'!B600</f>
        <v>PAT0134</v>
      </c>
      <c r="C600" t="str">
        <f>'Claims Data'!C600</f>
        <v>PRV0047</v>
      </c>
      <c r="D600" s="1">
        <f>'Claims Data'!D600</f>
        <v>45321</v>
      </c>
      <c r="E600">
        <f>'Claims Data'!H600</f>
        <v>3.3</v>
      </c>
      <c r="F600">
        <f>'Claims Data'!J600</f>
        <v>202.95</v>
      </c>
      <c r="G600">
        <f>'Claims Data'!M600</f>
        <v>0</v>
      </c>
      <c r="H600" t="b">
        <f>'Claims Data'!L600</f>
        <v>0</v>
      </c>
      <c r="I600">
        <f t="shared" si="18"/>
        <v>0</v>
      </c>
      <c r="J600" t="str">
        <f t="shared" si="19"/>
        <v>Low Risk</v>
      </c>
    </row>
    <row r="601" spans="1:10" x14ac:dyDescent="0.2">
      <c r="A601" t="str">
        <f>'Claims Data'!A601</f>
        <v>CLM00600</v>
      </c>
      <c r="B601" t="str">
        <f>'Claims Data'!B601</f>
        <v>PAT0252</v>
      </c>
      <c r="C601" t="str">
        <f>'Claims Data'!C601</f>
        <v>PRV0052</v>
      </c>
      <c r="D601" s="1">
        <f>'Claims Data'!D601</f>
        <v>45014</v>
      </c>
      <c r="E601">
        <f>'Claims Data'!H601</f>
        <v>4.5</v>
      </c>
      <c r="F601">
        <f>'Claims Data'!J601</f>
        <v>214.15</v>
      </c>
      <c r="G601">
        <f>'Claims Data'!M601</f>
        <v>0</v>
      </c>
      <c r="H601" t="b">
        <f>'Claims Data'!L601</f>
        <v>0</v>
      </c>
      <c r="I601">
        <f t="shared" si="18"/>
        <v>0</v>
      </c>
      <c r="J601" t="str">
        <f t="shared" si="19"/>
        <v>Low Risk</v>
      </c>
    </row>
    <row r="602" spans="1:10" x14ac:dyDescent="0.2">
      <c r="A602" t="str">
        <f>'Claims Data'!A602</f>
        <v>CLM00601</v>
      </c>
      <c r="B602" t="str">
        <f>'Claims Data'!B602</f>
        <v>PAT0234</v>
      </c>
      <c r="C602" t="str">
        <f>'Claims Data'!C602</f>
        <v>PRV0044</v>
      </c>
      <c r="D602" s="1">
        <f>'Claims Data'!D602</f>
        <v>45039</v>
      </c>
      <c r="E602">
        <f>'Claims Data'!H602</f>
        <v>3.5</v>
      </c>
      <c r="F602">
        <f>'Claims Data'!J602</f>
        <v>185.51</v>
      </c>
      <c r="G602">
        <f>'Claims Data'!M602</f>
        <v>0</v>
      </c>
      <c r="H602" t="b">
        <f>'Claims Data'!L602</f>
        <v>0</v>
      </c>
      <c r="I602">
        <f t="shared" si="18"/>
        <v>0</v>
      </c>
      <c r="J602" t="str">
        <f t="shared" si="19"/>
        <v>Low Risk</v>
      </c>
    </row>
    <row r="603" spans="1:10" x14ac:dyDescent="0.2">
      <c r="A603" t="str">
        <f>'Claims Data'!A603</f>
        <v>CLM00602</v>
      </c>
      <c r="B603" t="str">
        <f>'Claims Data'!B603</f>
        <v>PAT0296</v>
      </c>
      <c r="C603" t="str">
        <f>'Claims Data'!C603</f>
        <v>PRV0030</v>
      </c>
      <c r="D603" s="1">
        <f>'Claims Data'!D603</f>
        <v>45375</v>
      </c>
      <c r="E603">
        <f>'Claims Data'!H603</f>
        <v>98.3</v>
      </c>
      <c r="F603">
        <f>'Claims Data'!J603</f>
        <v>2500</v>
      </c>
      <c r="G603" t="str">
        <f>'Claims Data'!M603</f>
        <v>phantom_round_amount</v>
      </c>
      <c r="H603" t="b">
        <f>'Claims Data'!L603</f>
        <v>1</v>
      </c>
      <c r="I603">
        <f t="shared" si="18"/>
        <v>80</v>
      </c>
      <c r="J603" t="str">
        <f t="shared" si="19"/>
        <v>High Risk</v>
      </c>
    </row>
    <row r="604" spans="1:10" x14ac:dyDescent="0.2">
      <c r="A604" t="str">
        <f>'Claims Data'!A604</f>
        <v>CLM00603</v>
      </c>
      <c r="B604" t="str">
        <f>'Claims Data'!B604</f>
        <v>PAT0155</v>
      </c>
      <c r="C604" t="str">
        <f>'Claims Data'!C604</f>
        <v>PRV0018</v>
      </c>
      <c r="D604" s="1">
        <f>'Claims Data'!D604</f>
        <v>45611</v>
      </c>
      <c r="E604">
        <f>'Claims Data'!H604</f>
        <v>5.4</v>
      </c>
      <c r="F604">
        <f>'Claims Data'!J604</f>
        <v>327.38</v>
      </c>
      <c r="G604">
        <f>'Claims Data'!M604</f>
        <v>0</v>
      </c>
      <c r="H604" t="b">
        <f>'Claims Data'!L604</f>
        <v>0</v>
      </c>
      <c r="I604">
        <f t="shared" si="18"/>
        <v>0</v>
      </c>
      <c r="J604" t="str">
        <f t="shared" si="19"/>
        <v>Low Risk</v>
      </c>
    </row>
    <row r="605" spans="1:10" x14ac:dyDescent="0.2">
      <c r="A605" t="str">
        <f>'Claims Data'!A605</f>
        <v>CLM00604</v>
      </c>
      <c r="B605" t="str">
        <f>'Claims Data'!B605</f>
        <v>PAT0009</v>
      </c>
      <c r="C605" t="str">
        <f>'Claims Data'!C605</f>
        <v>PRV0005</v>
      </c>
      <c r="D605" s="1">
        <f>'Claims Data'!D605</f>
        <v>44997</v>
      </c>
      <c r="E605">
        <f>'Claims Data'!H605</f>
        <v>6.1</v>
      </c>
      <c r="F605">
        <f>'Claims Data'!J605</f>
        <v>328.82</v>
      </c>
      <c r="G605">
        <f>'Claims Data'!M605</f>
        <v>0</v>
      </c>
      <c r="H605" t="b">
        <f>'Claims Data'!L605</f>
        <v>0</v>
      </c>
      <c r="I605">
        <f t="shared" si="18"/>
        <v>0</v>
      </c>
      <c r="J605" t="str">
        <f t="shared" si="19"/>
        <v>Low Risk</v>
      </c>
    </row>
    <row r="606" spans="1:10" x14ac:dyDescent="0.2">
      <c r="A606" t="str">
        <f>'Claims Data'!A606</f>
        <v>CLM00605</v>
      </c>
      <c r="B606" t="str">
        <f>'Claims Data'!B606</f>
        <v>PAT0052</v>
      </c>
      <c r="C606" t="str">
        <f>'Claims Data'!C606</f>
        <v>PRV0003</v>
      </c>
      <c r="D606" s="1">
        <f>'Claims Data'!D606</f>
        <v>45321</v>
      </c>
      <c r="E606">
        <f>'Claims Data'!H606</f>
        <v>5.8</v>
      </c>
      <c r="F606">
        <f>'Claims Data'!J606</f>
        <v>444.8</v>
      </c>
      <c r="G606">
        <f>'Claims Data'!M606</f>
        <v>0</v>
      </c>
      <c r="H606" t="b">
        <f>'Claims Data'!L606</f>
        <v>0</v>
      </c>
      <c r="I606">
        <f t="shared" si="18"/>
        <v>0</v>
      </c>
      <c r="J606" t="str">
        <f t="shared" si="19"/>
        <v>Low Risk</v>
      </c>
    </row>
    <row r="607" spans="1:10" x14ac:dyDescent="0.2">
      <c r="A607" t="str">
        <f>'Claims Data'!A607</f>
        <v>CLM00606</v>
      </c>
      <c r="B607" t="str">
        <f>'Claims Data'!B607</f>
        <v>PAT0068</v>
      </c>
      <c r="C607" t="str">
        <f>'Claims Data'!C607</f>
        <v>PRV0048</v>
      </c>
      <c r="D607" s="1">
        <f>'Claims Data'!D607</f>
        <v>45432</v>
      </c>
      <c r="E607">
        <f>'Claims Data'!H607</f>
        <v>3.1</v>
      </c>
      <c r="F607">
        <f>'Claims Data'!J607</f>
        <v>173.72</v>
      </c>
      <c r="G607">
        <f>'Claims Data'!M607</f>
        <v>0</v>
      </c>
      <c r="H607" t="b">
        <f>'Claims Data'!L607</f>
        <v>0</v>
      </c>
      <c r="I607">
        <f t="shared" si="18"/>
        <v>0</v>
      </c>
      <c r="J607" t="str">
        <f t="shared" si="19"/>
        <v>Low Risk</v>
      </c>
    </row>
    <row r="608" spans="1:10" x14ac:dyDescent="0.2">
      <c r="A608" t="str">
        <f>'Claims Data'!A608</f>
        <v>CLM00607</v>
      </c>
      <c r="B608" t="str">
        <f>'Claims Data'!B608</f>
        <v>PAT0107</v>
      </c>
      <c r="C608" t="str">
        <f>'Claims Data'!C608</f>
        <v>PRV0038</v>
      </c>
      <c r="D608" s="1">
        <f>'Claims Data'!D608</f>
        <v>45310</v>
      </c>
      <c r="E608">
        <f>'Claims Data'!H608</f>
        <v>6.8</v>
      </c>
      <c r="F608">
        <f>'Claims Data'!J608</f>
        <v>497.36</v>
      </c>
      <c r="G608">
        <f>'Claims Data'!M608</f>
        <v>0</v>
      </c>
      <c r="H608" t="b">
        <f>'Claims Data'!L608</f>
        <v>0</v>
      </c>
      <c r="I608">
        <f t="shared" si="18"/>
        <v>0</v>
      </c>
      <c r="J608" t="str">
        <f t="shared" si="19"/>
        <v>Low Risk</v>
      </c>
    </row>
    <row r="609" spans="1:10" x14ac:dyDescent="0.2">
      <c r="A609" t="str">
        <f>'Claims Data'!A609</f>
        <v>CLM00608</v>
      </c>
      <c r="B609" t="str">
        <f>'Claims Data'!B609</f>
        <v>PAT0263</v>
      </c>
      <c r="C609" t="str">
        <f>'Claims Data'!C609</f>
        <v>PRV0053</v>
      </c>
      <c r="D609" s="1">
        <f>'Claims Data'!D609</f>
        <v>45042</v>
      </c>
      <c r="E609">
        <f>'Claims Data'!H609</f>
        <v>6</v>
      </c>
      <c r="F609">
        <f>'Claims Data'!J609</f>
        <v>395.07</v>
      </c>
      <c r="G609">
        <f>'Claims Data'!M609</f>
        <v>0</v>
      </c>
      <c r="H609" t="b">
        <f>'Claims Data'!L609</f>
        <v>0</v>
      </c>
      <c r="I609">
        <f t="shared" si="18"/>
        <v>0</v>
      </c>
      <c r="J609" t="str">
        <f t="shared" si="19"/>
        <v>Low Risk</v>
      </c>
    </row>
    <row r="610" spans="1:10" x14ac:dyDescent="0.2">
      <c r="A610" t="str">
        <f>'Claims Data'!A610</f>
        <v>CLM00609</v>
      </c>
      <c r="B610" t="str">
        <f>'Claims Data'!B610</f>
        <v>PAT0298</v>
      </c>
      <c r="C610" t="str">
        <f>'Claims Data'!C610</f>
        <v>PRV0016</v>
      </c>
      <c r="D610" s="1">
        <f>'Claims Data'!D610</f>
        <v>45181</v>
      </c>
      <c r="E610">
        <f>'Claims Data'!H610</f>
        <v>5.9</v>
      </c>
      <c r="F610">
        <f>'Claims Data'!J610</f>
        <v>500.6</v>
      </c>
      <c r="G610">
        <f>'Claims Data'!M610</f>
        <v>0</v>
      </c>
      <c r="H610" t="b">
        <f>'Claims Data'!L610</f>
        <v>0</v>
      </c>
      <c r="I610">
        <f t="shared" si="18"/>
        <v>0</v>
      </c>
      <c r="J610" t="str">
        <f t="shared" si="19"/>
        <v>Low Risk</v>
      </c>
    </row>
    <row r="611" spans="1:10" x14ac:dyDescent="0.2">
      <c r="A611" t="str">
        <f>'Claims Data'!A611</f>
        <v>CLM00610</v>
      </c>
      <c r="B611" t="str">
        <f>'Claims Data'!B611</f>
        <v>PAT0078</v>
      </c>
      <c r="C611" t="str">
        <f>'Claims Data'!C611</f>
        <v>PRV0058</v>
      </c>
      <c r="D611" s="1">
        <f>'Claims Data'!D611</f>
        <v>45522</v>
      </c>
      <c r="E611">
        <f>'Claims Data'!H611</f>
        <v>4.4000000000000004</v>
      </c>
      <c r="F611">
        <f>'Claims Data'!J611</f>
        <v>304.5</v>
      </c>
      <c r="G611">
        <f>'Claims Data'!M611</f>
        <v>0</v>
      </c>
      <c r="H611" t="b">
        <f>'Claims Data'!L611</f>
        <v>0</v>
      </c>
      <c r="I611">
        <f t="shared" si="18"/>
        <v>0</v>
      </c>
      <c r="J611" t="str">
        <f t="shared" si="19"/>
        <v>Low Risk</v>
      </c>
    </row>
    <row r="612" spans="1:10" x14ac:dyDescent="0.2">
      <c r="A612" t="str">
        <f>'Claims Data'!A612</f>
        <v>CLM00611</v>
      </c>
      <c r="B612" t="str">
        <f>'Claims Data'!B612</f>
        <v>PAT0070</v>
      </c>
      <c r="C612" t="str">
        <f>'Claims Data'!C612</f>
        <v>PRV0054</v>
      </c>
      <c r="D612" s="1">
        <f>'Claims Data'!D612</f>
        <v>45306</v>
      </c>
      <c r="E612">
        <f>'Claims Data'!H612</f>
        <v>4.0999999999999996</v>
      </c>
      <c r="F612">
        <f>'Claims Data'!J612</f>
        <v>277.99</v>
      </c>
      <c r="G612">
        <f>'Claims Data'!M612</f>
        <v>0</v>
      </c>
      <c r="H612" t="b">
        <f>'Claims Data'!L612</f>
        <v>0</v>
      </c>
      <c r="I612">
        <f t="shared" si="18"/>
        <v>0</v>
      </c>
      <c r="J612" t="str">
        <f t="shared" si="19"/>
        <v>Low Risk</v>
      </c>
    </row>
    <row r="613" spans="1:10" x14ac:dyDescent="0.2">
      <c r="A613" t="str">
        <f>'Claims Data'!A613</f>
        <v>CLM00612</v>
      </c>
      <c r="B613" t="str">
        <f>'Claims Data'!B613</f>
        <v>PAT0020</v>
      </c>
      <c r="C613" t="str">
        <f>'Claims Data'!C613</f>
        <v>PRV0032</v>
      </c>
      <c r="D613" s="1">
        <f>'Claims Data'!D613</f>
        <v>45023</v>
      </c>
      <c r="E613">
        <f>'Claims Data'!H613</f>
        <v>15.3</v>
      </c>
      <c r="F613">
        <f>'Claims Data'!J613</f>
        <v>1000</v>
      </c>
      <c r="G613" t="str">
        <f>'Claims Data'!M613</f>
        <v>phantom_round_amount</v>
      </c>
      <c r="H613" t="b">
        <f>'Claims Data'!L613</f>
        <v>1</v>
      </c>
      <c r="I613">
        <f t="shared" si="18"/>
        <v>40</v>
      </c>
      <c r="J613" t="str">
        <f t="shared" si="19"/>
        <v>Medium Risk</v>
      </c>
    </row>
    <row r="614" spans="1:10" x14ac:dyDescent="0.2">
      <c r="A614" t="str">
        <f>'Claims Data'!A614</f>
        <v>CLM00613</v>
      </c>
      <c r="B614" t="str">
        <f>'Claims Data'!B614</f>
        <v>PAT0245</v>
      </c>
      <c r="C614" t="str">
        <f>'Claims Data'!C614</f>
        <v>PRV0033</v>
      </c>
      <c r="D614" s="1">
        <f>'Claims Data'!D614</f>
        <v>45130</v>
      </c>
      <c r="E614">
        <f>'Claims Data'!H614</f>
        <v>33.1</v>
      </c>
      <c r="F614">
        <f>'Claims Data'!J614</f>
        <v>2500</v>
      </c>
      <c r="G614" t="str">
        <f>'Claims Data'!M614</f>
        <v>phantom_round_amount</v>
      </c>
      <c r="H614" t="b">
        <f>'Claims Data'!L614</f>
        <v>1</v>
      </c>
      <c r="I614">
        <f t="shared" si="18"/>
        <v>80</v>
      </c>
      <c r="J614" t="str">
        <f t="shared" si="19"/>
        <v>High Risk</v>
      </c>
    </row>
    <row r="615" spans="1:10" x14ac:dyDescent="0.2">
      <c r="A615" t="str">
        <f>'Claims Data'!A615</f>
        <v>CLM00614</v>
      </c>
      <c r="B615" t="str">
        <f>'Claims Data'!B615</f>
        <v>PAT0070</v>
      </c>
      <c r="C615" t="str">
        <f>'Claims Data'!C615</f>
        <v>PRV0058</v>
      </c>
      <c r="D615" s="1">
        <f>'Claims Data'!D615</f>
        <v>45042</v>
      </c>
      <c r="E615">
        <f>'Claims Data'!H615</f>
        <v>3.8</v>
      </c>
      <c r="F615">
        <f>'Claims Data'!J615</f>
        <v>202.34</v>
      </c>
      <c r="G615">
        <f>'Claims Data'!M615</f>
        <v>0</v>
      </c>
      <c r="H615" t="b">
        <f>'Claims Data'!L615</f>
        <v>0</v>
      </c>
      <c r="I615">
        <f t="shared" si="18"/>
        <v>0</v>
      </c>
      <c r="J615" t="str">
        <f t="shared" si="19"/>
        <v>Low Risk</v>
      </c>
    </row>
    <row r="616" spans="1:10" x14ac:dyDescent="0.2">
      <c r="A616" t="str">
        <f>'Claims Data'!A616</f>
        <v>CLM00615</v>
      </c>
      <c r="B616" t="str">
        <f>'Claims Data'!B616</f>
        <v>PAT0025</v>
      </c>
      <c r="C616" t="str">
        <f>'Claims Data'!C616</f>
        <v>PRV0006</v>
      </c>
      <c r="D616" s="1">
        <f>'Claims Data'!D616</f>
        <v>45005</v>
      </c>
      <c r="E616">
        <f>'Claims Data'!H616</f>
        <v>6.4</v>
      </c>
      <c r="F616">
        <f>'Claims Data'!J616</f>
        <v>374.67</v>
      </c>
      <c r="G616">
        <f>'Claims Data'!M616</f>
        <v>0</v>
      </c>
      <c r="H616" t="b">
        <f>'Claims Data'!L616</f>
        <v>0</v>
      </c>
      <c r="I616">
        <f t="shared" si="18"/>
        <v>0</v>
      </c>
      <c r="J616" t="str">
        <f t="shared" si="19"/>
        <v>Low Risk</v>
      </c>
    </row>
    <row r="617" spans="1:10" x14ac:dyDescent="0.2">
      <c r="A617" t="str">
        <f>'Claims Data'!A617</f>
        <v>CLM00616</v>
      </c>
      <c r="B617" t="str">
        <f>'Claims Data'!B617</f>
        <v>PAT0285</v>
      </c>
      <c r="C617" t="str">
        <f>'Claims Data'!C617</f>
        <v>PRV0029</v>
      </c>
      <c r="D617" s="1">
        <f>'Claims Data'!D617</f>
        <v>44994</v>
      </c>
      <c r="E617">
        <f>'Claims Data'!H617</f>
        <v>5.9</v>
      </c>
      <c r="F617">
        <f>'Claims Data'!J617</f>
        <v>226.18</v>
      </c>
      <c r="G617">
        <f>'Claims Data'!M617</f>
        <v>0</v>
      </c>
      <c r="H617" t="b">
        <f>'Claims Data'!L617</f>
        <v>0</v>
      </c>
      <c r="I617">
        <f t="shared" si="18"/>
        <v>0</v>
      </c>
      <c r="J617" t="str">
        <f t="shared" si="19"/>
        <v>Low Risk</v>
      </c>
    </row>
    <row r="618" spans="1:10" x14ac:dyDescent="0.2">
      <c r="A618" t="str">
        <f>'Claims Data'!A618</f>
        <v>CLM00617</v>
      </c>
      <c r="B618" t="str">
        <f>'Claims Data'!B618</f>
        <v>PAT0034</v>
      </c>
      <c r="C618" t="str">
        <f>'Claims Data'!C618</f>
        <v>PRV0059</v>
      </c>
      <c r="D618" s="1">
        <f>'Claims Data'!D618</f>
        <v>45626</v>
      </c>
      <c r="E618">
        <f>'Claims Data'!H618</f>
        <v>4.5</v>
      </c>
      <c r="F618">
        <f>'Claims Data'!J618</f>
        <v>351.95</v>
      </c>
      <c r="G618">
        <f>'Claims Data'!M618</f>
        <v>0</v>
      </c>
      <c r="H618" t="b">
        <f>'Claims Data'!L618</f>
        <v>0</v>
      </c>
      <c r="I618">
        <f t="shared" si="18"/>
        <v>0</v>
      </c>
      <c r="J618" t="str">
        <f t="shared" si="19"/>
        <v>Low Risk</v>
      </c>
    </row>
    <row r="619" spans="1:10" x14ac:dyDescent="0.2">
      <c r="A619" t="str">
        <f>'Claims Data'!A619</f>
        <v>CLM00618</v>
      </c>
      <c r="B619" t="str">
        <f>'Claims Data'!B619</f>
        <v>PAT0208</v>
      </c>
      <c r="C619" t="str">
        <f>'Claims Data'!C619</f>
        <v>PRV0051</v>
      </c>
      <c r="D619" s="1">
        <f>'Claims Data'!D619</f>
        <v>45527</v>
      </c>
      <c r="E619">
        <f>'Claims Data'!H619</f>
        <v>5.5</v>
      </c>
      <c r="F619">
        <f>'Claims Data'!J619</f>
        <v>290.54000000000002</v>
      </c>
      <c r="G619">
        <f>'Claims Data'!M619</f>
        <v>0</v>
      </c>
      <c r="H619" t="b">
        <f>'Claims Data'!L619</f>
        <v>0</v>
      </c>
      <c r="I619">
        <f t="shared" si="18"/>
        <v>0</v>
      </c>
      <c r="J619" t="str">
        <f t="shared" si="19"/>
        <v>Low Risk</v>
      </c>
    </row>
    <row r="620" spans="1:10" x14ac:dyDescent="0.2">
      <c r="A620" t="str">
        <f>'Claims Data'!A620</f>
        <v>CLM00619</v>
      </c>
      <c r="B620" t="str">
        <f>'Claims Data'!B620</f>
        <v>PAT0283</v>
      </c>
      <c r="C620" t="str">
        <f>'Claims Data'!C620</f>
        <v>PRV0040</v>
      </c>
      <c r="D620" s="1">
        <f>'Claims Data'!D620</f>
        <v>44939</v>
      </c>
      <c r="E620">
        <f>'Claims Data'!H620</f>
        <v>2.2999999999999998</v>
      </c>
      <c r="F620">
        <f>'Claims Data'!J620</f>
        <v>145.05000000000001</v>
      </c>
      <c r="G620">
        <f>'Claims Data'!M620</f>
        <v>0</v>
      </c>
      <c r="H620" t="b">
        <f>'Claims Data'!L620</f>
        <v>0</v>
      </c>
      <c r="I620">
        <f t="shared" si="18"/>
        <v>0</v>
      </c>
      <c r="J620" t="str">
        <f t="shared" si="19"/>
        <v>Low Risk</v>
      </c>
    </row>
    <row r="621" spans="1:10" x14ac:dyDescent="0.2">
      <c r="A621" t="str">
        <f>'Claims Data'!A621</f>
        <v>CLM00620</v>
      </c>
      <c r="B621" t="str">
        <f>'Claims Data'!B621</f>
        <v>PAT0066</v>
      </c>
      <c r="C621" t="str">
        <f>'Claims Data'!C621</f>
        <v>PRV0056</v>
      </c>
      <c r="D621" s="1">
        <f>'Claims Data'!D621</f>
        <v>45528</v>
      </c>
      <c r="E621">
        <f>'Claims Data'!H621</f>
        <v>4.8</v>
      </c>
      <c r="F621">
        <f>'Claims Data'!J621</f>
        <v>176.03</v>
      </c>
      <c r="G621">
        <f>'Claims Data'!M621</f>
        <v>0</v>
      </c>
      <c r="H621" t="b">
        <f>'Claims Data'!L621</f>
        <v>0</v>
      </c>
      <c r="I621">
        <f t="shared" si="18"/>
        <v>0</v>
      </c>
      <c r="J621" t="str">
        <f t="shared" si="19"/>
        <v>Low Risk</v>
      </c>
    </row>
    <row r="622" spans="1:10" x14ac:dyDescent="0.2">
      <c r="A622" t="str">
        <f>'Claims Data'!A622</f>
        <v>CLM00621</v>
      </c>
      <c r="B622" t="str">
        <f>'Claims Data'!B622</f>
        <v>PAT0269</v>
      </c>
      <c r="C622" t="str">
        <f>'Claims Data'!C622</f>
        <v>PRV0037</v>
      </c>
      <c r="D622" s="1">
        <f>'Claims Data'!D622</f>
        <v>45558</v>
      </c>
      <c r="E622">
        <f>'Claims Data'!H622</f>
        <v>5.2</v>
      </c>
      <c r="F622">
        <f>'Claims Data'!J622</f>
        <v>258.89</v>
      </c>
      <c r="G622">
        <f>'Claims Data'!M622</f>
        <v>0</v>
      </c>
      <c r="H622" t="b">
        <f>'Claims Data'!L622</f>
        <v>0</v>
      </c>
      <c r="I622">
        <f t="shared" si="18"/>
        <v>0</v>
      </c>
      <c r="J622" t="str">
        <f t="shared" si="19"/>
        <v>Low Risk</v>
      </c>
    </row>
    <row r="623" spans="1:10" x14ac:dyDescent="0.2">
      <c r="A623" t="str">
        <f>'Claims Data'!A623</f>
        <v>CLM00622</v>
      </c>
      <c r="B623" t="str">
        <f>'Claims Data'!B623</f>
        <v>PAT0014</v>
      </c>
      <c r="C623" t="str">
        <f>'Claims Data'!C623</f>
        <v>PRV0054</v>
      </c>
      <c r="D623" s="1">
        <f>'Claims Data'!D623</f>
        <v>45604</v>
      </c>
      <c r="E623">
        <f>'Claims Data'!H623</f>
        <v>8</v>
      </c>
      <c r="F623">
        <f>'Claims Data'!J623</f>
        <v>364.48</v>
      </c>
      <c r="G623">
        <f>'Claims Data'!M623</f>
        <v>0</v>
      </c>
      <c r="H623" t="b">
        <f>'Claims Data'!L623</f>
        <v>0</v>
      </c>
      <c r="I623">
        <f t="shared" si="18"/>
        <v>0</v>
      </c>
      <c r="J623" t="str">
        <f t="shared" si="19"/>
        <v>Low Risk</v>
      </c>
    </row>
    <row r="624" spans="1:10" x14ac:dyDescent="0.2">
      <c r="A624" t="str">
        <f>'Claims Data'!A624</f>
        <v>CLM00623</v>
      </c>
      <c r="B624" t="str">
        <f>'Claims Data'!B624</f>
        <v>PAT0007</v>
      </c>
      <c r="C624" t="str">
        <f>'Claims Data'!C624</f>
        <v>PRV0038</v>
      </c>
      <c r="D624" s="1">
        <f>'Claims Data'!D624</f>
        <v>45092</v>
      </c>
      <c r="E624">
        <f>'Claims Data'!H624</f>
        <v>2.9</v>
      </c>
      <c r="F624">
        <f>'Claims Data'!J624</f>
        <v>222.56</v>
      </c>
      <c r="G624">
        <f>'Claims Data'!M624</f>
        <v>0</v>
      </c>
      <c r="H624" t="b">
        <f>'Claims Data'!L624</f>
        <v>0</v>
      </c>
      <c r="I624">
        <f t="shared" si="18"/>
        <v>0</v>
      </c>
      <c r="J624" t="str">
        <f t="shared" si="19"/>
        <v>Low Risk</v>
      </c>
    </row>
    <row r="625" spans="1:10" x14ac:dyDescent="0.2">
      <c r="A625" t="str">
        <f>'Claims Data'!A625</f>
        <v>CLM00624</v>
      </c>
      <c r="B625" t="str">
        <f>'Claims Data'!B625</f>
        <v>PAT0085</v>
      </c>
      <c r="C625" t="str">
        <f>'Claims Data'!C625</f>
        <v>PRV0016</v>
      </c>
      <c r="D625" s="1">
        <f>'Claims Data'!D625</f>
        <v>45588</v>
      </c>
      <c r="E625">
        <f>'Claims Data'!H625</f>
        <v>4.9000000000000004</v>
      </c>
      <c r="F625">
        <f>'Claims Data'!J625</f>
        <v>308.02</v>
      </c>
      <c r="G625">
        <f>'Claims Data'!M625</f>
        <v>0</v>
      </c>
      <c r="H625" t="b">
        <f>'Claims Data'!L625</f>
        <v>0</v>
      </c>
      <c r="I625">
        <f t="shared" si="18"/>
        <v>0</v>
      </c>
      <c r="J625" t="str">
        <f t="shared" si="19"/>
        <v>Low Risk</v>
      </c>
    </row>
    <row r="626" spans="1:10" x14ac:dyDescent="0.2">
      <c r="A626" t="str">
        <f>'Claims Data'!A626</f>
        <v>CLM00625</v>
      </c>
      <c r="B626" t="str">
        <f>'Claims Data'!B626</f>
        <v>PAT0228</v>
      </c>
      <c r="C626" t="str">
        <f>'Claims Data'!C626</f>
        <v>PRV0027</v>
      </c>
      <c r="D626" s="1">
        <f>'Claims Data'!D626</f>
        <v>45180</v>
      </c>
      <c r="E626">
        <f>'Claims Data'!H626</f>
        <v>98.9</v>
      </c>
      <c r="F626">
        <f>'Claims Data'!J626</f>
        <v>2500</v>
      </c>
      <c r="G626" t="str">
        <f>'Claims Data'!M626</f>
        <v>phantom_round_amount</v>
      </c>
      <c r="H626" t="b">
        <f>'Claims Data'!L626</f>
        <v>1</v>
      </c>
      <c r="I626">
        <f t="shared" si="18"/>
        <v>80</v>
      </c>
      <c r="J626" t="str">
        <f t="shared" si="19"/>
        <v>High Risk</v>
      </c>
    </row>
    <row r="627" spans="1:10" x14ac:dyDescent="0.2">
      <c r="A627" t="str">
        <f>'Claims Data'!A627</f>
        <v>CLM00626</v>
      </c>
      <c r="B627" t="str">
        <f>'Claims Data'!B627</f>
        <v>PAT0068</v>
      </c>
      <c r="C627" t="str">
        <f>'Claims Data'!C627</f>
        <v>PRV0060</v>
      </c>
      <c r="D627" s="1">
        <f>'Claims Data'!D627</f>
        <v>45359</v>
      </c>
      <c r="E627">
        <f>'Claims Data'!H627</f>
        <v>21.9</v>
      </c>
      <c r="F627">
        <f>'Claims Data'!J627</f>
        <v>769.13</v>
      </c>
      <c r="G627" t="str">
        <f>'Claims Data'!M627</f>
        <v>inflated_hours</v>
      </c>
      <c r="H627" t="b">
        <f>'Claims Data'!L627</f>
        <v>1</v>
      </c>
      <c r="I627">
        <f t="shared" si="18"/>
        <v>50</v>
      </c>
      <c r="J627" t="str">
        <f t="shared" si="19"/>
        <v>Medium Risk</v>
      </c>
    </row>
    <row r="628" spans="1:10" x14ac:dyDescent="0.2">
      <c r="A628" t="str">
        <f>'Claims Data'!A628</f>
        <v>CLM00627</v>
      </c>
      <c r="B628" t="str">
        <f>'Claims Data'!B628</f>
        <v>PAT0298</v>
      </c>
      <c r="C628" t="str">
        <f>'Claims Data'!C628</f>
        <v>PRV0017</v>
      </c>
      <c r="D628" s="1">
        <f>'Claims Data'!D628</f>
        <v>45195</v>
      </c>
      <c r="E628">
        <f>'Claims Data'!H628</f>
        <v>6.7</v>
      </c>
      <c r="F628">
        <f>'Claims Data'!J628</f>
        <v>480.96</v>
      </c>
      <c r="G628">
        <f>'Claims Data'!M628</f>
        <v>0</v>
      </c>
      <c r="H628" t="b">
        <f>'Claims Data'!L628</f>
        <v>0</v>
      </c>
      <c r="I628">
        <f t="shared" si="18"/>
        <v>0</v>
      </c>
      <c r="J628" t="str">
        <f t="shared" si="19"/>
        <v>Low Risk</v>
      </c>
    </row>
    <row r="629" spans="1:10" x14ac:dyDescent="0.2">
      <c r="A629" t="str">
        <f>'Claims Data'!A629</f>
        <v>CLM00628</v>
      </c>
      <c r="B629" t="str">
        <f>'Claims Data'!B629</f>
        <v>PAT0069</v>
      </c>
      <c r="C629" t="str">
        <f>'Claims Data'!C629</f>
        <v>PRV0040</v>
      </c>
      <c r="D629" s="1">
        <f>'Claims Data'!D629</f>
        <v>45477</v>
      </c>
      <c r="E629">
        <f>'Claims Data'!H629</f>
        <v>5.8</v>
      </c>
      <c r="F629">
        <f>'Claims Data'!J629</f>
        <v>285.38</v>
      </c>
      <c r="G629" t="str">
        <f>'Claims Data'!M629</f>
        <v>duplicate_claim</v>
      </c>
      <c r="H629" t="b">
        <f>'Claims Data'!L629</f>
        <v>1</v>
      </c>
      <c r="I629">
        <f t="shared" si="18"/>
        <v>10</v>
      </c>
      <c r="J629" t="str">
        <f t="shared" si="19"/>
        <v>Low Risk</v>
      </c>
    </row>
    <row r="630" spans="1:10" x14ac:dyDescent="0.2">
      <c r="A630" t="str">
        <f>'Claims Data'!A630</f>
        <v>CLM00629</v>
      </c>
      <c r="B630" t="str">
        <f>'Claims Data'!B630</f>
        <v>PAT0135</v>
      </c>
      <c r="C630" t="str">
        <f>'Claims Data'!C630</f>
        <v>PRV0058</v>
      </c>
      <c r="D630" s="1">
        <f>'Claims Data'!D630</f>
        <v>45016</v>
      </c>
      <c r="E630">
        <f>'Claims Data'!H630</f>
        <v>2</v>
      </c>
      <c r="F630">
        <f>'Claims Data'!J630</f>
        <v>114.05</v>
      </c>
      <c r="G630">
        <f>'Claims Data'!M630</f>
        <v>0</v>
      </c>
      <c r="H630" t="b">
        <f>'Claims Data'!L630</f>
        <v>0</v>
      </c>
      <c r="I630">
        <f t="shared" si="18"/>
        <v>0</v>
      </c>
      <c r="J630" t="str">
        <f t="shared" si="19"/>
        <v>Low Risk</v>
      </c>
    </row>
    <row r="631" spans="1:10" x14ac:dyDescent="0.2">
      <c r="A631" t="str">
        <f>'Claims Data'!A631</f>
        <v>CLM00630</v>
      </c>
      <c r="B631" t="str">
        <f>'Claims Data'!B631</f>
        <v>PAT0240</v>
      </c>
      <c r="C631" t="str">
        <f>'Claims Data'!C631</f>
        <v>PRV0038</v>
      </c>
      <c r="D631" s="1">
        <f>'Claims Data'!D631</f>
        <v>45209</v>
      </c>
      <c r="E631">
        <f>'Claims Data'!H631</f>
        <v>7.7</v>
      </c>
      <c r="F631">
        <f>'Claims Data'!J631</f>
        <v>604.61</v>
      </c>
      <c r="G631">
        <f>'Claims Data'!M631</f>
        <v>0</v>
      </c>
      <c r="H631" t="b">
        <f>'Claims Data'!L631</f>
        <v>0</v>
      </c>
      <c r="I631">
        <f t="shared" si="18"/>
        <v>0</v>
      </c>
      <c r="J631" t="str">
        <f t="shared" si="19"/>
        <v>Low Risk</v>
      </c>
    </row>
    <row r="632" spans="1:10" x14ac:dyDescent="0.2">
      <c r="A632" t="str">
        <f>'Claims Data'!A632</f>
        <v>CLM00631</v>
      </c>
      <c r="B632" t="str">
        <f>'Claims Data'!B632</f>
        <v>PAT0266</v>
      </c>
      <c r="C632" t="str">
        <f>'Claims Data'!C632</f>
        <v>PRV0043</v>
      </c>
      <c r="D632" s="1">
        <f>'Claims Data'!D632</f>
        <v>45606</v>
      </c>
      <c r="E632">
        <f>'Claims Data'!H632</f>
        <v>2.1</v>
      </c>
      <c r="F632">
        <f>'Claims Data'!J632</f>
        <v>53.02</v>
      </c>
      <c r="G632">
        <f>'Claims Data'!M632</f>
        <v>0</v>
      </c>
      <c r="H632" t="b">
        <f>'Claims Data'!L632</f>
        <v>0</v>
      </c>
      <c r="I632">
        <f t="shared" si="18"/>
        <v>0</v>
      </c>
      <c r="J632" t="str">
        <f t="shared" si="19"/>
        <v>Low Risk</v>
      </c>
    </row>
    <row r="633" spans="1:10" x14ac:dyDescent="0.2">
      <c r="A633" t="str">
        <f>'Claims Data'!A633</f>
        <v>CLM00632</v>
      </c>
      <c r="B633" t="str">
        <f>'Claims Data'!B633</f>
        <v>PAT0021</v>
      </c>
      <c r="C633" t="str">
        <f>'Claims Data'!C633</f>
        <v>PRV0043</v>
      </c>
      <c r="D633" s="1">
        <f>'Claims Data'!D633</f>
        <v>45548</v>
      </c>
      <c r="E633">
        <f>'Claims Data'!H633</f>
        <v>3.4</v>
      </c>
      <c r="F633">
        <f>'Claims Data'!J633</f>
        <v>263.89999999999998</v>
      </c>
      <c r="G633">
        <f>'Claims Data'!M633</f>
        <v>0</v>
      </c>
      <c r="H633" t="b">
        <f>'Claims Data'!L633</f>
        <v>0</v>
      </c>
      <c r="I633">
        <f t="shared" si="18"/>
        <v>0</v>
      </c>
      <c r="J633" t="str">
        <f t="shared" si="19"/>
        <v>Low Risk</v>
      </c>
    </row>
    <row r="634" spans="1:10" x14ac:dyDescent="0.2">
      <c r="A634" t="str">
        <f>'Claims Data'!A634</f>
        <v>CLM00633</v>
      </c>
      <c r="B634" t="str">
        <f>'Claims Data'!B634</f>
        <v>PAT0162</v>
      </c>
      <c r="C634" t="str">
        <f>'Claims Data'!C634</f>
        <v>PRV0016</v>
      </c>
      <c r="D634" s="1">
        <f>'Claims Data'!D634</f>
        <v>45128</v>
      </c>
      <c r="E634">
        <f>'Claims Data'!H634</f>
        <v>2.6</v>
      </c>
      <c r="F634">
        <f>'Claims Data'!J634</f>
        <v>143.52000000000001</v>
      </c>
      <c r="G634">
        <f>'Claims Data'!M634</f>
        <v>0</v>
      </c>
      <c r="H634" t="b">
        <f>'Claims Data'!L634</f>
        <v>0</v>
      </c>
      <c r="I634">
        <f t="shared" si="18"/>
        <v>0</v>
      </c>
      <c r="J634" t="str">
        <f t="shared" si="19"/>
        <v>Low Risk</v>
      </c>
    </row>
    <row r="635" spans="1:10" x14ac:dyDescent="0.2">
      <c r="A635" t="str">
        <f>'Claims Data'!A635</f>
        <v>CLM00634</v>
      </c>
      <c r="B635" t="str">
        <f>'Claims Data'!B635</f>
        <v>PAT0139</v>
      </c>
      <c r="C635" t="str">
        <f>'Claims Data'!C635</f>
        <v>PRV0008</v>
      </c>
      <c r="D635" s="1">
        <f>'Claims Data'!D635</f>
        <v>45239</v>
      </c>
      <c r="E635">
        <f>'Claims Data'!H635</f>
        <v>2.4</v>
      </c>
      <c r="F635">
        <f>'Claims Data'!J635</f>
        <v>66.58</v>
      </c>
      <c r="G635">
        <f>'Claims Data'!M635</f>
        <v>0</v>
      </c>
      <c r="H635" t="b">
        <f>'Claims Data'!L635</f>
        <v>0</v>
      </c>
      <c r="I635">
        <f t="shared" si="18"/>
        <v>0</v>
      </c>
      <c r="J635" t="str">
        <f t="shared" si="19"/>
        <v>Low Risk</v>
      </c>
    </row>
    <row r="636" spans="1:10" x14ac:dyDescent="0.2">
      <c r="A636" t="str">
        <f>'Claims Data'!A636</f>
        <v>CLM00635</v>
      </c>
      <c r="B636" t="str">
        <f>'Claims Data'!B636</f>
        <v>PAT0084</v>
      </c>
      <c r="C636" t="str">
        <f>'Claims Data'!C636</f>
        <v>PRV0010</v>
      </c>
      <c r="D636" s="1">
        <f>'Claims Data'!D636</f>
        <v>45175</v>
      </c>
      <c r="E636">
        <f>'Claims Data'!H636</f>
        <v>6.4</v>
      </c>
      <c r="F636">
        <f>'Claims Data'!J636</f>
        <v>389.01</v>
      </c>
      <c r="G636">
        <f>'Claims Data'!M636</f>
        <v>0</v>
      </c>
      <c r="H636" t="b">
        <f>'Claims Data'!L636</f>
        <v>0</v>
      </c>
      <c r="I636">
        <f t="shared" si="18"/>
        <v>0</v>
      </c>
      <c r="J636" t="str">
        <f t="shared" si="19"/>
        <v>Low Risk</v>
      </c>
    </row>
    <row r="637" spans="1:10" x14ac:dyDescent="0.2">
      <c r="A637" t="str">
        <f>'Claims Data'!A637</f>
        <v>CLM00636</v>
      </c>
      <c r="B637" t="str">
        <f>'Claims Data'!B637</f>
        <v>PAT0057</v>
      </c>
      <c r="C637" t="str">
        <f>'Claims Data'!C637</f>
        <v>PRV0013</v>
      </c>
      <c r="D637" s="1">
        <f>'Claims Data'!D637</f>
        <v>45527</v>
      </c>
      <c r="E637">
        <f>'Claims Data'!H637</f>
        <v>7.3</v>
      </c>
      <c r="F637">
        <f>'Claims Data'!J637</f>
        <v>618.52</v>
      </c>
      <c r="G637">
        <f>'Claims Data'!M637</f>
        <v>0</v>
      </c>
      <c r="H637" t="b">
        <f>'Claims Data'!L637</f>
        <v>0</v>
      </c>
      <c r="I637">
        <f t="shared" si="18"/>
        <v>0</v>
      </c>
      <c r="J637" t="str">
        <f t="shared" si="19"/>
        <v>Low Risk</v>
      </c>
    </row>
    <row r="638" spans="1:10" x14ac:dyDescent="0.2">
      <c r="A638" t="str">
        <f>'Claims Data'!A638</f>
        <v>CLM00637</v>
      </c>
      <c r="B638" t="str">
        <f>'Claims Data'!B638</f>
        <v>PAT0001</v>
      </c>
      <c r="C638" t="str">
        <f>'Claims Data'!C638</f>
        <v>PRV0038</v>
      </c>
      <c r="D638" s="1">
        <f>'Claims Data'!D638</f>
        <v>45302</v>
      </c>
      <c r="E638">
        <f>'Claims Data'!H638</f>
        <v>4.2</v>
      </c>
      <c r="F638">
        <f>'Claims Data'!J638</f>
        <v>152.47999999999999</v>
      </c>
      <c r="G638">
        <f>'Claims Data'!M638</f>
        <v>0</v>
      </c>
      <c r="H638" t="b">
        <f>'Claims Data'!L638</f>
        <v>0</v>
      </c>
      <c r="I638">
        <f t="shared" si="18"/>
        <v>0</v>
      </c>
      <c r="J638" t="str">
        <f t="shared" si="19"/>
        <v>Low Risk</v>
      </c>
    </row>
    <row r="639" spans="1:10" x14ac:dyDescent="0.2">
      <c r="A639" t="str">
        <f>'Claims Data'!A639</f>
        <v>CLM00638</v>
      </c>
      <c r="B639" t="str">
        <f>'Claims Data'!B639</f>
        <v>PAT0245</v>
      </c>
      <c r="C639" t="str">
        <f>'Claims Data'!C639</f>
        <v>PRV0034</v>
      </c>
      <c r="D639" s="1">
        <f>'Claims Data'!D639</f>
        <v>45491</v>
      </c>
      <c r="E639">
        <f>'Claims Data'!H639</f>
        <v>3.4</v>
      </c>
      <c r="F639">
        <f>'Claims Data'!J639</f>
        <v>233.34</v>
      </c>
      <c r="G639">
        <f>'Claims Data'!M639</f>
        <v>0</v>
      </c>
      <c r="H639" t="b">
        <f>'Claims Data'!L639</f>
        <v>0</v>
      </c>
      <c r="I639">
        <f t="shared" si="18"/>
        <v>0</v>
      </c>
      <c r="J639" t="str">
        <f t="shared" si="19"/>
        <v>Low Risk</v>
      </c>
    </row>
    <row r="640" spans="1:10" x14ac:dyDescent="0.2">
      <c r="A640" t="str">
        <f>'Claims Data'!A640</f>
        <v>CLM00639</v>
      </c>
      <c r="B640" t="str">
        <f>'Claims Data'!B640</f>
        <v>PAT0295</v>
      </c>
      <c r="C640" t="str">
        <f>'Claims Data'!C640</f>
        <v>PRV0018</v>
      </c>
      <c r="D640" s="1">
        <f>'Claims Data'!D640</f>
        <v>45625</v>
      </c>
      <c r="E640">
        <f>'Claims Data'!H640</f>
        <v>6.4</v>
      </c>
      <c r="F640">
        <f>'Claims Data'!J640</f>
        <v>386.44</v>
      </c>
      <c r="G640">
        <f>'Claims Data'!M640</f>
        <v>0</v>
      </c>
      <c r="H640" t="b">
        <f>'Claims Data'!L640</f>
        <v>0</v>
      </c>
      <c r="I640">
        <f t="shared" si="18"/>
        <v>0</v>
      </c>
      <c r="J640" t="str">
        <f t="shared" si="19"/>
        <v>Low Risk</v>
      </c>
    </row>
    <row r="641" spans="1:10" x14ac:dyDescent="0.2">
      <c r="A641" t="str">
        <f>'Claims Data'!A641</f>
        <v>CLM00640</v>
      </c>
      <c r="B641" t="str">
        <f>'Claims Data'!B641</f>
        <v>PAT0004</v>
      </c>
      <c r="C641" t="str">
        <f>'Claims Data'!C641</f>
        <v>PRV0021</v>
      </c>
      <c r="D641" s="1">
        <f>'Claims Data'!D641</f>
        <v>45043</v>
      </c>
      <c r="E641">
        <f>'Claims Data'!H641</f>
        <v>4.2</v>
      </c>
      <c r="F641">
        <f>'Claims Data'!J641</f>
        <v>268.94</v>
      </c>
      <c r="G641">
        <f>'Claims Data'!M641</f>
        <v>0</v>
      </c>
      <c r="H641" t="b">
        <f>'Claims Data'!L641</f>
        <v>0</v>
      </c>
      <c r="I641">
        <f t="shared" si="18"/>
        <v>0</v>
      </c>
      <c r="J641" t="str">
        <f t="shared" si="19"/>
        <v>Low Risk</v>
      </c>
    </row>
    <row r="642" spans="1:10" x14ac:dyDescent="0.2">
      <c r="A642" t="str">
        <f>'Claims Data'!A642</f>
        <v>CLM00641</v>
      </c>
      <c r="B642" t="str">
        <f>'Claims Data'!B642</f>
        <v>PAT0163</v>
      </c>
      <c r="C642" t="str">
        <f>'Claims Data'!C642</f>
        <v>PRV0056</v>
      </c>
      <c r="D642" s="1">
        <f>'Claims Data'!D642</f>
        <v>45044</v>
      </c>
      <c r="E642">
        <f>'Claims Data'!H642</f>
        <v>18.399999999999999</v>
      </c>
      <c r="F642">
        <f>'Claims Data'!J642</f>
        <v>742.44</v>
      </c>
      <c r="G642" t="str">
        <f>'Claims Data'!M642</f>
        <v>inflated_hours</v>
      </c>
      <c r="H642" t="b">
        <f>'Claims Data'!L642</f>
        <v>1</v>
      </c>
      <c r="I642">
        <f t="shared" si="18"/>
        <v>50</v>
      </c>
      <c r="J642" t="str">
        <f t="shared" si="19"/>
        <v>Medium Risk</v>
      </c>
    </row>
    <row r="643" spans="1:10" x14ac:dyDescent="0.2">
      <c r="A643" t="str">
        <f>'Claims Data'!A643</f>
        <v>CLM00642</v>
      </c>
      <c r="B643" t="str">
        <f>'Claims Data'!B643</f>
        <v>PAT0235</v>
      </c>
      <c r="C643" t="str">
        <f>'Claims Data'!C643</f>
        <v>PRV0015</v>
      </c>
      <c r="D643" s="1">
        <f>'Claims Data'!D643</f>
        <v>45017</v>
      </c>
      <c r="E643">
        <f>'Claims Data'!H643</f>
        <v>5.6</v>
      </c>
      <c r="F643">
        <f>'Claims Data'!J643</f>
        <v>156.11000000000001</v>
      </c>
      <c r="G643">
        <f>'Claims Data'!M643</f>
        <v>0</v>
      </c>
      <c r="H643" t="b">
        <f>'Claims Data'!L643</f>
        <v>0</v>
      </c>
      <c r="I643">
        <f t="shared" ref="I643:I706" si="20">IF(E643&gt;16,40,0)+IF(MOD(F643,250)=0,30,0)+IF(H643=TRUE,10,0)</f>
        <v>0</v>
      </c>
      <c r="J643" t="str">
        <f t="shared" ref="J643:J706" si="21">IF(I643&gt;=70,"High Risk",IF(I643&gt;=30,"Medium Risk","Low Risk"))</f>
        <v>Low Risk</v>
      </c>
    </row>
    <row r="644" spans="1:10" x14ac:dyDescent="0.2">
      <c r="A644" t="str">
        <f>'Claims Data'!A644</f>
        <v>CLM00643</v>
      </c>
      <c r="B644" t="str">
        <f>'Claims Data'!B644</f>
        <v>PAT0268</v>
      </c>
      <c r="C644" t="str">
        <f>'Claims Data'!C644</f>
        <v>PRV0012</v>
      </c>
      <c r="D644" s="1">
        <f>'Claims Data'!D644</f>
        <v>45271</v>
      </c>
      <c r="E644">
        <f>'Claims Data'!H644</f>
        <v>2.2999999999999998</v>
      </c>
      <c r="F644">
        <f>'Claims Data'!J644</f>
        <v>73.48</v>
      </c>
      <c r="G644">
        <f>'Claims Data'!M644</f>
        <v>0</v>
      </c>
      <c r="H644" t="b">
        <f>'Claims Data'!L644</f>
        <v>0</v>
      </c>
      <c r="I644">
        <f t="shared" si="20"/>
        <v>0</v>
      </c>
      <c r="J644" t="str">
        <f t="shared" si="21"/>
        <v>Low Risk</v>
      </c>
    </row>
    <row r="645" spans="1:10" x14ac:dyDescent="0.2">
      <c r="A645" t="str">
        <f>'Claims Data'!A645</f>
        <v>CLM00644</v>
      </c>
      <c r="B645" t="str">
        <f>'Claims Data'!B645</f>
        <v>PAT0177</v>
      </c>
      <c r="C645" t="str">
        <f>'Claims Data'!C645</f>
        <v>PRV0005</v>
      </c>
      <c r="D645" s="1">
        <f>'Claims Data'!D645</f>
        <v>44962</v>
      </c>
      <c r="E645">
        <f>'Claims Data'!H645</f>
        <v>2.7</v>
      </c>
      <c r="F645">
        <f>'Claims Data'!J645</f>
        <v>108.44</v>
      </c>
      <c r="G645">
        <f>'Claims Data'!M645</f>
        <v>0</v>
      </c>
      <c r="H645" t="b">
        <f>'Claims Data'!L645</f>
        <v>0</v>
      </c>
      <c r="I645">
        <f t="shared" si="20"/>
        <v>0</v>
      </c>
      <c r="J645" t="str">
        <f t="shared" si="21"/>
        <v>Low Risk</v>
      </c>
    </row>
    <row r="646" spans="1:10" x14ac:dyDescent="0.2">
      <c r="A646" t="str">
        <f>'Claims Data'!A646</f>
        <v>CLM00645</v>
      </c>
      <c r="B646" t="str">
        <f>'Claims Data'!B646</f>
        <v>PAT0163</v>
      </c>
      <c r="C646" t="str">
        <f>'Claims Data'!C646</f>
        <v>PRV0055</v>
      </c>
      <c r="D646" s="1">
        <f>'Claims Data'!D646</f>
        <v>45609</v>
      </c>
      <c r="E646">
        <f>'Claims Data'!H646</f>
        <v>3.2</v>
      </c>
      <c r="F646">
        <f>'Claims Data'!J646</f>
        <v>211.66</v>
      </c>
      <c r="G646">
        <f>'Claims Data'!M646</f>
        <v>0</v>
      </c>
      <c r="H646" t="b">
        <f>'Claims Data'!L646</f>
        <v>0</v>
      </c>
      <c r="I646">
        <f t="shared" si="20"/>
        <v>0</v>
      </c>
      <c r="J646" t="str">
        <f t="shared" si="21"/>
        <v>Low Risk</v>
      </c>
    </row>
    <row r="647" spans="1:10" x14ac:dyDescent="0.2">
      <c r="A647" t="str">
        <f>'Claims Data'!A647</f>
        <v>CLM00646</v>
      </c>
      <c r="B647" t="str">
        <f>'Claims Data'!B647</f>
        <v>PAT0199</v>
      </c>
      <c r="C647" t="str">
        <f>'Claims Data'!C647</f>
        <v>PRV0013</v>
      </c>
      <c r="D647" s="1">
        <f>'Claims Data'!D647</f>
        <v>45136</v>
      </c>
      <c r="E647">
        <f>'Claims Data'!H647</f>
        <v>4.5</v>
      </c>
      <c r="F647">
        <f>'Claims Data'!J647</f>
        <v>139.76</v>
      </c>
      <c r="G647">
        <f>'Claims Data'!M647</f>
        <v>0</v>
      </c>
      <c r="H647" t="b">
        <f>'Claims Data'!L647</f>
        <v>0</v>
      </c>
      <c r="I647">
        <f t="shared" si="20"/>
        <v>0</v>
      </c>
      <c r="J647" t="str">
        <f t="shared" si="21"/>
        <v>Low Risk</v>
      </c>
    </row>
    <row r="648" spans="1:10" x14ac:dyDescent="0.2">
      <c r="A648" t="str">
        <f>'Claims Data'!A648</f>
        <v>CLM00647</v>
      </c>
      <c r="B648" t="str">
        <f>'Claims Data'!B648</f>
        <v>PAT0187</v>
      </c>
      <c r="C648" t="str">
        <f>'Claims Data'!C648</f>
        <v>PRV0040</v>
      </c>
      <c r="D648" s="1">
        <f>'Claims Data'!D648</f>
        <v>45269</v>
      </c>
      <c r="E648">
        <f>'Claims Data'!H648</f>
        <v>5.7</v>
      </c>
      <c r="F648">
        <f>'Claims Data'!J648</f>
        <v>382.15</v>
      </c>
      <c r="G648">
        <f>'Claims Data'!M648</f>
        <v>0</v>
      </c>
      <c r="H648" t="b">
        <f>'Claims Data'!L648</f>
        <v>0</v>
      </c>
      <c r="I648">
        <f t="shared" si="20"/>
        <v>0</v>
      </c>
      <c r="J648" t="str">
        <f t="shared" si="21"/>
        <v>Low Risk</v>
      </c>
    </row>
    <row r="649" spans="1:10" x14ac:dyDescent="0.2">
      <c r="A649" t="str">
        <f>'Claims Data'!A649</f>
        <v>CLM00648</v>
      </c>
      <c r="B649" t="str">
        <f>'Claims Data'!B649</f>
        <v>PAT0178</v>
      </c>
      <c r="C649" t="str">
        <f>'Claims Data'!C649</f>
        <v>PRV0017</v>
      </c>
      <c r="D649" s="1">
        <f>'Claims Data'!D649</f>
        <v>45191</v>
      </c>
      <c r="E649">
        <f>'Claims Data'!H649</f>
        <v>5.0999999999999996</v>
      </c>
      <c r="F649">
        <f>'Claims Data'!J649</f>
        <v>316.52</v>
      </c>
      <c r="G649" t="str">
        <f>'Claims Data'!M649</f>
        <v>duplicate_claim</v>
      </c>
      <c r="H649" t="b">
        <f>'Claims Data'!L649</f>
        <v>1</v>
      </c>
      <c r="I649">
        <f t="shared" si="20"/>
        <v>10</v>
      </c>
      <c r="J649" t="str">
        <f t="shared" si="21"/>
        <v>Low Risk</v>
      </c>
    </row>
    <row r="650" spans="1:10" x14ac:dyDescent="0.2">
      <c r="A650" t="str">
        <f>'Claims Data'!A650</f>
        <v>CLM00649</v>
      </c>
      <c r="B650" t="str">
        <f>'Claims Data'!B650</f>
        <v>PAT0032</v>
      </c>
      <c r="C650" t="str">
        <f>'Claims Data'!C650</f>
        <v>PRV0057</v>
      </c>
      <c r="D650" s="1">
        <f>'Claims Data'!D650</f>
        <v>45413</v>
      </c>
      <c r="E650">
        <f>'Claims Data'!H650</f>
        <v>6.7</v>
      </c>
      <c r="F650">
        <f>'Claims Data'!J650</f>
        <v>367.59</v>
      </c>
      <c r="G650">
        <f>'Claims Data'!M650</f>
        <v>0</v>
      </c>
      <c r="H650" t="b">
        <f>'Claims Data'!L650</f>
        <v>0</v>
      </c>
      <c r="I650">
        <f t="shared" si="20"/>
        <v>0</v>
      </c>
      <c r="J650" t="str">
        <f t="shared" si="21"/>
        <v>Low Risk</v>
      </c>
    </row>
    <row r="651" spans="1:10" x14ac:dyDescent="0.2">
      <c r="A651" t="str">
        <f>'Claims Data'!A651</f>
        <v>CLM00650</v>
      </c>
      <c r="B651" t="str">
        <f>'Claims Data'!B651</f>
        <v>PAT0143</v>
      </c>
      <c r="C651" t="str">
        <f>'Claims Data'!C651</f>
        <v>PRV0021</v>
      </c>
      <c r="D651" s="1">
        <f>'Claims Data'!D651</f>
        <v>45181</v>
      </c>
      <c r="E651">
        <f>'Claims Data'!H651</f>
        <v>6.7</v>
      </c>
      <c r="F651">
        <f>'Claims Data'!J651</f>
        <v>501.76</v>
      </c>
      <c r="G651">
        <f>'Claims Data'!M651</f>
        <v>0</v>
      </c>
      <c r="H651" t="b">
        <f>'Claims Data'!L651</f>
        <v>0</v>
      </c>
      <c r="I651">
        <f t="shared" si="20"/>
        <v>0</v>
      </c>
      <c r="J651" t="str">
        <f t="shared" si="21"/>
        <v>Low Risk</v>
      </c>
    </row>
    <row r="652" spans="1:10" x14ac:dyDescent="0.2">
      <c r="A652" t="str">
        <f>'Claims Data'!A652</f>
        <v>CLM00651</v>
      </c>
      <c r="B652" t="str">
        <f>'Claims Data'!B652</f>
        <v>PAT0196</v>
      </c>
      <c r="C652" t="str">
        <f>'Claims Data'!C652</f>
        <v>PRV0054</v>
      </c>
      <c r="D652" s="1">
        <f>'Claims Data'!D652</f>
        <v>45035</v>
      </c>
      <c r="E652">
        <f>'Claims Data'!H652</f>
        <v>6.2</v>
      </c>
      <c r="F652">
        <f>'Claims Data'!J652</f>
        <v>264.87</v>
      </c>
      <c r="G652">
        <f>'Claims Data'!M652</f>
        <v>0</v>
      </c>
      <c r="H652" t="b">
        <f>'Claims Data'!L652</f>
        <v>0</v>
      </c>
      <c r="I652">
        <f t="shared" si="20"/>
        <v>0</v>
      </c>
      <c r="J652" t="str">
        <f t="shared" si="21"/>
        <v>Low Risk</v>
      </c>
    </row>
    <row r="653" spans="1:10" x14ac:dyDescent="0.2">
      <c r="A653" t="str">
        <f>'Claims Data'!A653</f>
        <v>CLM00652</v>
      </c>
      <c r="B653" t="str">
        <f>'Claims Data'!B653</f>
        <v>PAT0214</v>
      </c>
      <c r="C653" t="str">
        <f>'Claims Data'!C653</f>
        <v>PRV0032</v>
      </c>
      <c r="D653" s="1">
        <f>'Claims Data'!D653</f>
        <v>42708</v>
      </c>
      <c r="E653">
        <f>'Claims Data'!H653</f>
        <v>7.5</v>
      </c>
      <c r="F653">
        <f>'Claims Data'!J653</f>
        <v>497.19</v>
      </c>
      <c r="G653" t="str">
        <f>'Claims Data'!M653</f>
        <v>deceased_patient_billing</v>
      </c>
      <c r="H653" t="b">
        <f>'Claims Data'!L653</f>
        <v>1</v>
      </c>
      <c r="I653">
        <f t="shared" si="20"/>
        <v>10</v>
      </c>
      <c r="J653" t="str">
        <f t="shared" si="21"/>
        <v>Low Risk</v>
      </c>
    </row>
    <row r="654" spans="1:10" x14ac:dyDescent="0.2">
      <c r="A654" t="str">
        <f>'Claims Data'!A654</f>
        <v>CLM00653</v>
      </c>
      <c r="B654" t="str">
        <f>'Claims Data'!B654</f>
        <v>PAT0028</v>
      </c>
      <c r="C654" t="str">
        <f>'Claims Data'!C654</f>
        <v>PRV0006</v>
      </c>
      <c r="D654" s="1">
        <f>'Claims Data'!D654</f>
        <v>45606</v>
      </c>
      <c r="E654">
        <f>'Claims Data'!H654</f>
        <v>3.4</v>
      </c>
      <c r="F654">
        <f>'Claims Data'!J654</f>
        <v>87.6</v>
      </c>
      <c r="G654">
        <f>'Claims Data'!M654</f>
        <v>0</v>
      </c>
      <c r="H654" t="b">
        <f>'Claims Data'!L654</f>
        <v>0</v>
      </c>
      <c r="I654">
        <f t="shared" si="20"/>
        <v>0</v>
      </c>
      <c r="J654" t="str">
        <f t="shared" si="21"/>
        <v>Low Risk</v>
      </c>
    </row>
    <row r="655" spans="1:10" x14ac:dyDescent="0.2">
      <c r="A655" t="str">
        <f>'Claims Data'!A655</f>
        <v>CLM00654</v>
      </c>
      <c r="B655" t="str">
        <f>'Claims Data'!B655</f>
        <v>PAT0272</v>
      </c>
      <c r="C655" t="str">
        <f>'Claims Data'!C655</f>
        <v>PRV0021</v>
      </c>
      <c r="D655" s="1">
        <f>'Claims Data'!D655</f>
        <v>45225</v>
      </c>
      <c r="E655">
        <f>'Claims Data'!H655</f>
        <v>7</v>
      </c>
      <c r="F655">
        <f>'Claims Data'!J655</f>
        <v>455.99</v>
      </c>
      <c r="G655">
        <f>'Claims Data'!M655</f>
        <v>0</v>
      </c>
      <c r="H655" t="b">
        <f>'Claims Data'!L655</f>
        <v>0</v>
      </c>
      <c r="I655">
        <f t="shared" si="20"/>
        <v>0</v>
      </c>
      <c r="J655" t="str">
        <f t="shared" si="21"/>
        <v>Low Risk</v>
      </c>
    </row>
    <row r="656" spans="1:10" x14ac:dyDescent="0.2">
      <c r="A656" t="str">
        <f>'Claims Data'!A656</f>
        <v>CLM00655</v>
      </c>
      <c r="B656" t="str">
        <f>'Claims Data'!B656</f>
        <v>PAT0215</v>
      </c>
      <c r="C656" t="str">
        <f>'Claims Data'!C656</f>
        <v>PRV0060</v>
      </c>
      <c r="D656" s="1">
        <f>'Claims Data'!D656</f>
        <v>45359</v>
      </c>
      <c r="E656">
        <f>'Claims Data'!H656</f>
        <v>6.7</v>
      </c>
      <c r="F656">
        <f>'Claims Data'!J656</f>
        <v>197.67</v>
      </c>
      <c r="G656">
        <f>'Claims Data'!M656</f>
        <v>0</v>
      </c>
      <c r="H656" t="b">
        <f>'Claims Data'!L656</f>
        <v>0</v>
      </c>
      <c r="I656">
        <f t="shared" si="20"/>
        <v>0</v>
      </c>
      <c r="J656" t="str">
        <f t="shared" si="21"/>
        <v>Low Risk</v>
      </c>
    </row>
    <row r="657" spans="1:10" x14ac:dyDescent="0.2">
      <c r="A657" t="str">
        <f>'Claims Data'!A657</f>
        <v>CLM00656</v>
      </c>
      <c r="B657" t="str">
        <f>'Claims Data'!B657</f>
        <v>PAT0084</v>
      </c>
      <c r="C657" t="str">
        <f>'Claims Data'!C657</f>
        <v>PRV0029</v>
      </c>
      <c r="D657" s="1">
        <f>'Claims Data'!D657</f>
        <v>45354</v>
      </c>
      <c r="E657">
        <f>'Claims Data'!H657</f>
        <v>7.4</v>
      </c>
      <c r="F657">
        <f>'Claims Data'!J657</f>
        <v>471.09</v>
      </c>
      <c r="G657">
        <f>'Claims Data'!M657</f>
        <v>0</v>
      </c>
      <c r="H657" t="b">
        <f>'Claims Data'!L657</f>
        <v>0</v>
      </c>
      <c r="I657">
        <f t="shared" si="20"/>
        <v>0</v>
      </c>
      <c r="J657" t="str">
        <f t="shared" si="21"/>
        <v>Low Risk</v>
      </c>
    </row>
    <row r="658" spans="1:10" x14ac:dyDescent="0.2">
      <c r="A658" t="str">
        <f>'Claims Data'!A658</f>
        <v>CLM00657</v>
      </c>
      <c r="B658" t="str">
        <f>'Claims Data'!B658</f>
        <v>PAT0202</v>
      </c>
      <c r="C658" t="str">
        <f>'Claims Data'!C658</f>
        <v>PRV0044</v>
      </c>
      <c r="D658" s="1">
        <f>'Claims Data'!D658</f>
        <v>45583</v>
      </c>
      <c r="E658">
        <f>'Claims Data'!H658</f>
        <v>3.6</v>
      </c>
      <c r="F658">
        <f>'Claims Data'!J658</f>
        <v>100.82</v>
      </c>
      <c r="G658">
        <f>'Claims Data'!M658</f>
        <v>0</v>
      </c>
      <c r="H658" t="b">
        <f>'Claims Data'!L658</f>
        <v>0</v>
      </c>
      <c r="I658">
        <f t="shared" si="20"/>
        <v>0</v>
      </c>
      <c r="J658" t="str">
        <f t="shared" si="21"/>
        <v>Low Risk</v>
      </c>
    </row>
    <row r="659" spans="1:10" x14ac:dyDescent="0.2">
      <c r="A659" t="str">
        <f>'Claims Data'!A659</f>
        <v>CLM00658</v>
      </c>
      <c r="B659" t="str">
        <f>'Claims Data'!B659</f>
        <v>PAT0194</v>
      </c>
      <c r="C659" t="str">
        <f>'Claims Data'!C659</f>
        <v>PRV0031</v>
      </c>
      <c r="D659" s="1">
        <f>'Claims Data'!D659</f>
        <v>45331</v>
      </c>
      <c r="E659">
        <f>'Claims Data'!H659</f>
        <v>7.1</v>
      </c>
      <c r="F659">
        <f>'Claims Data'!J659</f>
        <v>330.95</v>
      </c>
      <c r="G659">
        <f>'Claims Data'!M659</f>
        <v>0</v>
      </c>
      <c r="H659" t="b">
        <f>'Claims Data'!L659</f>
        <v>0</v>
      </c>
      <c r="I659">
        <f t="shared" si="20"/>
        <v>0</v>
      </c>
      <c r="J659" t="str">
        <f t="shared" si="21"/>
        <v>Low Risk</v>
      </c>
    </row>
    <row r="660" spans="1:10" x14ac:dyDescent="0.2">
      <c r="A660" t="str">
        <f>'Claims Data'!A660</f>
        <v>CLM00659</v>
      </c>
      <c r="B660" t="str">
        <f>'Claims Data'!B660</f>
        <v>PAT0189</v>
      </c>
      <c r="C660" t="str">
        <f>'Claims Data'!C660</f>
        <v>PRV0009</v>
      </c>
      <c r="D660" s="1">
        <f>'Claims Data'!D660</f>
        <v>45481</v>
      </c>
      <c r="E660">
        <f>'Claims Data'!H660</f>
        <v>4.5999999999999996</v>
      </c>
      <c r="F660">
        <f>'Claims Data'!J660</f>
        <v>146.99</v>
      </c>
      <c r="G660">
        <f>'Claims Data'!M660</f>
        <v>0</v>
      </c>
      <c r="H660" t="b">
        <f>'Claims Data'!L660</f>
        <v>0</v>
      </c>
      <c r="I660">
        <f t="shared" si="20"/>
        <v>0</v>
      </c>
      <c r="J660" t="str">
        <f t="shared" si="21"/>
        <v>Low Risk</v>
      </c>
    </row>
    <row r="661" spans="1:10" x14ac:dyDescent="0.2">
      <c r="A661" t="str">
        <f>'Claims Data'!A661</f>
        <v>CLM00660</v>
      </c>
      <c r="B661" t="str">
        <f>'Claims Data'!B661</f>
        <v>PAT0068</v>
      </c>
      <c r="C661" t="str">
        <f>'Claims Data'!C661</f>
        <v>PRV0007</v>
      </c>
      <c r="D661" s="1">
        <f>'Claims Data'!D661</f>
        <v>45076</v>
      </c>
      <c r="E661">
        <f>'Claims Data'!H661</f>
        <v>7.1</v>
      </c>
      <c r="F661">
        <f>'Claims Data'!J661</f>
        <v>460.09</v>
      </c>
      <c r="G661">
        <f>'Claims Data'!M661</f>
        <v>0</v>
      </c>
      <c r="H661" t="b">
        <f>'Claims Data'!L661</f>
        <v>0</v>
      </c>
      <c r="I661">
        <f t="shared" si="20"/>
        <v>0</v>
      </c>
      <c r="J661" t="str">
        <f t="shared" si="21"/>
        <v>Low Risk</v>
      </c>
    </row>
    <row r="662" spans="1:10" x14ac:dyDescent="0.2">
      <c r="A662" t="str">
        <f>'Claims Data'!A662</f>
        <v>CLM00661</v>
      </c>
      <c r="B662" t="str">
        <f>'Claims Data'!B662</f>
        <v>PAT0284</v>
      </c>
      <c r="C662" t="str">
        <f>'Claims Data'!C662</f>
        <v>PRV0050</v>
      </c>
      <c r="D662" s="1">
        <f>'Claims Data'!D662</f>
        <v>45140</v>
      </c>
      <c r="E662">
        <f>'Claims Data'!H662</f>
        <v>4.0999999999999996</v>
      </c>
      <c r="F662">
        <f>'Claims Data'!J662</f>
        <v>210.18</v>
      </c>
      <c r="G662">
        <f>'Claims Data'!M662</f>
        <v>0</v>
      </c>
      <c r="H662" t="b">
        <f>'Claims Data'!L662</f>
        <v>0</v>
      </c>
      <c r="I662">
        <f t="shared" si="20"/>
        <v>0</v>
      </c>
      <c r="J662" t="str">
        <f t="shared" si="21"/>
        <v>Low Risk</v>
      </c>
    </row>
    <row r="663" spans="1:10" x14ac:dyDescent="0.2">
      <c r="A663" t="str">
        <f>'Claims Data'!A663</f>
        <v>CLM00662</v>
      </c>
      <c r="B663" t="str">
        <f>'Claims Data'!B663</f>
        <v>PAT0013</v>
      </c>
      <c r="C663" t="str">
        <f>'Claims Data'!C663</f>
        <v>PRV0002</v>
      </c>
      <c r="D663" s="1">
        <f>'Claims Data'!D663</f>
        <v>44956</v>
      </c>
      <c r="E663">
        <f>'Claims Data'!H663</f>
        <v>7.3</v>
      </c>
      <c r="F663">
        <f>'Claims Data'!J663</f>
        <v>223.21</v>
      </c>
      <c r="G663">
        <f>'Claims Data'!M663</f>
        <v>0</v>
      </c>
      <c r="H663" t="b">
        <f>'Claims Data'!L663</f>
        <v>0</v>
      </c>
      <c r="I663">
        <f t="shared" si="20"/>
        <v>0</v>
      </c>
      <c r="J663" t="str">
        <f t="shared" si="21"/>
        <v>Low Risk</v>
      </c>
    </row>
    <row r="664" spans="1:10" x14ac:dyDescent="0.2">
      <c r="A664" t="str">
        <f>'Claims Data'!A664</f>
        <v>CLM00663</v>
      </c>
      <c r="B664" t="str">
        <f>'Claims Data'!B664</f>
        <v>PAT0048</v>
      </c>
      <c r="C664" t="str">
        <f>'Claims Data'!C664</f>
        <v>PRV0003</v>
      </c>
      <c r="D664" s="1">
        <f>'Claims Data'!D664</f>
        <v>45487</v>
      </c>
      <c r="E664">
        <f>'Claims Data'!H664</f>
        <v>2.7</v>
      </c>
      <c r="F664">
        <f>'Claims Data'!J664</f>
        <v>132.34</v>
      </c>
      <c r="G664">
        <f>'Claims Data'!M664</f>
        <v>0</v>
      </c>
      <c r="H664" t="b">
        <f>'Claims Data'!L664</f>
        <v>0</v>
      </c>
      <c r="I664">
        <f t="shared" si="20"/>
        <v>0</v>
      </c>
      <c r="J664" t="str">
        <f t="shared" si="21"/>
        <v>Low Risk</v>
      </c>
    </row>
    <row r="665" spans="1:10" x14ac:dyDescent="0.2">
      <c r="A665" t="str">
        <f>'Claims Data'!A665</f>
        <v>CLM00664</v>
      </c>
      <c r="B665" t="str">
        <f>'Claims Data'!B665</f>
        <v>PAT0133</v>
      </c>
      <c r="C665" t="str">
        <f>'Claims Data'!C665</f>
        <v>PRV0035</v>
      </c>
      <c r="D665" s="1">
        <f>'Claims Data'!D665</f>
        <v>45313</v>
      </c>
      <c r="E665">
        <f>'Claims Data'!H665</f>
        <v>7</v>
      </c>
      <c r="F665">
        <f>'Claims Data'!J665</f>
        <v>464.76</v>
      </c>
      <c r="G665">
        <f>'Claims Data'!M665</f>
        <v>0</v>
      </c>
      <c r="H665" t="b">
        <f>'Claims Data'!L665</f>
        <v>0</v>
      </c>
      <c r="I665">
        <f t="shared" si="20"/>
        <v>0</v>
      </c>
      <c r="J665" t="str">
        <f t="shared" si="21"/>
        <v>Low Risk</v>
      </c>
    </row>
    <row r="666" spans="1:10" x14ac:dyDescent="0.2">
      <c r="A666" t="str">
        <f>'Claims Data'!A666</f>
        <v>CLM00665</v>
      </c>
      <c r="B666" t="str">
        <f>'Claims Data'!B666</f>
        <v>PAT0019</v>
      </c>
      <c r="C666" t="str">
        <f>'Claims Data'!C666</f>
        <v>PRV0053</v>
      </c>
      <c r="D666" s="1">
        <f>'Claims Data'!D666</f>
        <v>45255</v>
      </c>
      <c r="E666">
        <f>'Claims Data'!H666</f>
        <v>5.9</v>
      </c>
      <c r="F666">
        <f>'Claims Data'!J666</f>
        <v>429.61</v>
      </c>
      <c r="G666">
        <f>'Claims Data'!M666</f>
        <v>0</v>
      </c>
      <c r="H666" t="b">
        <f>'Claims Data'!L666</f>
        <v>0</v>
      </c>
      <c r="I666">
        <f t="shared" si="20"/>
        <v>0</v>
      </c>
      <c r="J666" t="str">
        <f t="shared" si="21"/>
        <v>Low Risk</v>
      </c>
    </row>
    <row r="667" spans="1:10" x14ac:dyDescent="0.2">
      <c r="A667" t="str">
        <f>'Claims Data'!A667</f>
        <v>CLM00666</v>
      </c>
      <c r="B667" t="str">
        <f>'Claims Data'!B667</f>
        <v>PAT0055</v>
      </c>
      <c r="C667" t="str">
        <f>'Claims Data'!C667</f>
        <v>PRV0003</v>
      </c>
      <c r="D667" s="1">
        <f>'Claims Data'!D667</f>
        <v>45192</v>
      </c>
      <c r="E667">
        <f>'Claims Data'!H667</f>
        <v>6.2</v>
      </c>
      <c r="F667">
        <f>'Claims Data'!J667</f>
        <v>176.82</v>
      </c>
      <c r="G667">
        <f>'Claims Data'!M667</f>
        <v>0</v>
      </c>
      <c r="H667" t="b">
        <f>'Claims Data'!L667</f>
        <v>0</v>
      </c>
      <c r="I667">
        <f t="shared" si="20"/>
        <v>0</v>
      </c>
      <c r="J667" t="str">
        <f t="shared" si="21"/>
        <v>Low Risk</v>
      </c>
    </row>
    <row r="668" spans="1:10" x14ac:dyDescent="0.2">
      <c r="A668" t="str">
        <f>'Claims Data'!A668</f>
        <v>CLM00667</v>
      </c>
      <c r="B668" t="str">
        <f>'Claims Data'!B668</f>
        <v>PAT0160</v>
      </c>
      <c r="C668" t="str">
        <f>'Claims Data'!C668</f>
        <v>PRV0057</v>
      </c>
      <c r="D668" s="1">
        <f>'Claims Data'!D668</f>
        <v>45350</v>
      </c>
      <c r="E668">
        <f>'Claims Data'!H668</f>
        <v>4.5</v>
      </c>
      <c r="F668">
        <f>'Claims Data'!J668</f>
        <v>272</v>
      </c>
      <c r="G668">
        <f>'Claims Data'!M668</f>
        <v>0</v>
      </c>
      <c r="H668" t="b">
        <f>'Claims Data'!L668</f>
        <v>0</v>
      </c>
      <c r="I668">
        <f t="shared" si="20"/>
        <v>0</v>
      </c>
      <c r="J668" t="str">
        <f t="shared" si="21"/>
        <v>Low Risk</v>
      </c>
    </row>
    <row r="669" spans="1:10" x14ac:dyDescent="0.2">
      <c r="A669" t="str">
        <f>'Claims Data'!A669</f>
        <v>CLM00668</v>
      </c>
      <c r="B669" t="str">
        <f>'Claims Data'!B669</f>
        <v>PAT0221</v>
      </c>
      <c r="C669" t="str">
        <f>'Claims Data'!C669</f>
        <v>PRV0016</v>
      </c>
      <c r="D669" s="1">
        <f>'Claims Data'!D669</f>
        <v>45440</v>
      </c>
      <c r="E669">
        <f>'Claims Data'!H669</f>
        <v>3.1</v>
      </c>
      <c r="F669">
        <f>'Claims Data'!J669</f>
        <v>148.13</v>
      </c>
      <c r="G669">
        <f>'Claims Data'!M669</f>
        <v>0</v>
      </c>
      <c r="H669" t="b">
        <f>'Claims Data'!L669</f>
        <v>0</v>
      </c>
      <c r="I669">
        <f t="shared" si="20"/>
        <v>0</v>
      </c>
      <c r="J669" t="str">
        <f t="shared" si="21"/>
        <v>Low Risk</v>
      </c>
    </row>
    <row r="670" spans="1:10" x14ac:dyDescent="0.2">
      <c r="A670" t="str">
        <f>'Claims Data'!A670</f>
        <v>CLM00669</v>
      </c>
      <c r="B670" t="str">
        <f>'Claims Data'!B670</f>
        <v>PAT0226</v>
      </c>
      <c r="C670" t="str">
        <f>'Claims Data'!C670</f>
        <v>PRV0001</v>
      </c>
      <c r="D670" s="1">
        <f>'Claims Data'!D670</f>
        <v>45141</v>
      </c>
      <c r="E670">
        <f>'Claims Data'!H670</f>
        <v>7.2</v>
      </c>
      <c r="F670">
        <f>'Claims Data'!J670</f>
        <v>560.14</v>
      </c>
      <c r="G670">
        <f>'Claims Data'!M670</f>
        <v>0</v>
      </c>
      <c r="H670" t="b">
        <f>'Claims Data'!L670</f>
        <v>0</v>
      </c>
      <c r="I670">
        <f t="shared" si="20"/>
        <v>0</v>
      </c>
      <c r="J670" t="str">
        <f t="shared" si="21"/>
        <v>Low Risk</v>
      </c>
    </row>
    <row r="671" spans="1:10" x14ac:dyDescent="0.2">
      <c r="A671" t="str">
        <f>'Claims Data'!A671</f>
        <v>CLM00670</v>
      </c>
      <c r="B671" t="str">
        <f>'Claims Data'!B671</f>
        <v>PAT0168</v>
      </c>
      <c r="C671" t="str">
        <f>'Claims Data'!C671</f>
        <v>PRV0023</v>
      </c>
      <c r="D671" s="1">
        <f>'Claims Data'!D671</f>
        <v>45093</v>
      </c>
      <c r="E671">
        <f>'Claims Data'!H671</f>
        <v>4.9000000000000004</v>
      </c>
      <c r="F671">
        <f>'Claims Data'!J671</f>
        <v>266.01</v>
      </c>
      <c r="G671">
        <f>'Claims Data'!M671</f>
        <v>0</v>
      </c>
      <c r="H671" t="b">
        <f>'Claims Data'!L671</f>
        <v>0</v>
      </c>
      <c r="I671">
        <f t="shared" si="20"/>
        <v>0</v>
      </c>
      <c r="J671" t="str">
        <f t="shared" si="21"/>
        <v>Low Risk</v>
      </c>
    </row>
    <row r="672" spans="1:10" x14ac:dyDescent="0.2">
      <c r="A672" t="str">
        <f>'Claims Data'!A672</f>
        <v>CLM00671</v>
      </c>
      <c r="B672" t="str">
        <f>'Claims Data'!B672</f>
        <v>PAT0032</v>
      </c>
      <c r="C672" t="str">
        <f>'Claims Data'!C672</f>
        <v>PRV0013</v>
      </c>
      <c r="D672" s="1">
        <f>'Claims Data'!D672</f>
        <v>45616</v>
      </c>
      <c r="E672">
        <f>'Claims Data'!H672</f>
        <v>2.2999999999999998</v>
      </c>
      <c r="F672">
        <f>'Claims Data'!J672</f>
        <v>93.6</v>
      </c>
      <c r="G672">
        <f>'Claims Data'!M672</f>
        <v>0</v>
      </c>
      <c r="H672" t="b">
        <f>'Claims Data'!L672</f>
        <v>0</v>
      </c>
      <c r="I672">
        <f t="shared" si="20"/>
        <v>0</v>
      </c>
      <c r="J672" t="str">
        <f t="shared" si="21"/>
        <v>Low Risk</v>
      </c>
    </row>
    <row r="673" spans="1:10" x14ac:dyDescent="0.2">
      <c r="A673" t="str">
        <f>'Claims Data'!A673</f>
        <v>CLM00672</v>
      </c>
      <c r="B673" t="str">
        <f>'Claims Data'!B673</f>
        <v>PAT0214</v>
      </c>
      <c r="C673" t="str">
        <f>'Claims Data'!C673</f>
        <v>PRV0013</v>
      </c>
      <c r="D673" s="1">
        <f>'Claims Data'!D673</f>
        <v>45445</v>
      </c>
      <c r="E673">
        <f>'Claims Data'!H673</f>
        <v>6.2</v>
      </c>
      <c r="F673">
        <f>'Claims Data'!J673</f>
        <v>407.19</v>
      </c>
      <c r="G673">
        <f>'Claims Data'!M673</f>
        <v>0</v>
      </c>
      <c r="H673" t="b">
        <f>'Claims Data'!L673</f>
        <v>0</v>
      </c>
      <c r="I673">
        <f t="shared" si="20"/>
        <v>0</v>
      </c>
      <c r="J673" t="str">
        <f t="shared" si="21"/>
        <v>Low Risk</v>
      </c>
    </row>
    <row r="674" spans="1:10" x14ac:dyDescent="0.2">
      <c r="A674" t="str">
        <f>'Claims Data'!A674</f>
        <v>CLM00673</v>
      </c>
      <c r="B674" t="str">
        <f>'Claims Data'!B674</f>
        <v>PAT0016</v>
      </c>
      <c r="C674" t="str">
        <f>'Claims Data'!C674</f>
        <v>PRV0042</v>
      </c>
      <c r="D674" s="1">
        <f>'Claims Data'!D674</f>
        <v>45113</v>
      </c>
      <c r="E674">
        <f>'Claims Data'!H674</f>
        <v>11.5</v>
      </c>
      <c r="F674">
        <f>'Claims Data'!J674</f>
        <v>750</v>
      </c>
      <c r="G674" t="str">
        <f>'Claims Data'!M674</f>
        <v>phantom_round_amount</v>
      </c>
      <c r="H674" t="b">
        <f>'Claims Data'!L674</f>
        <v>1</v>
      </c>
      <c r="I674">
        <f t="shared" si="20"/>
        <v>40</v>
      </c>
      <c r="J674" t="str">
        <f t="shared" si="21"/>
        <v>Medium Risk</v>
      </c>
    </row>
    <row r="675" spans="1:10" x14ac:dyDescent="0.2">
      <c r="A675" t="str">
        <f>'Claims Data'!A675</f>
        <v>CLM00674</v>
      </c>
      <c r="B675" t="str">
        <f>'Claims Data'!B675</f>
        <v>PAT0207</v>
      </c>
      <c r="C675" t="str">
        <f>'Claims Data'!C675</f>
        <v>PRV0006</v>
      </c>
      <c r="D675" s="1">
        <f>'Claims Data'!D675</f>
        <v>45546</v>
      </c>
      <c r="E675">
        <f>'Claims Data'!H675</f>
        <v>4.5999999999999996</v>
      </c>
      <c r="F675">
        <f>'Claims Data'!J675</f>
        <v>315.56</v>
      </c>
      <c r="G675">
        <f>'Claims Data'!M675</f>
        <v>0</v>
      </c>
      <c r="H675" t="b">
        <f>'Claims Data'!L675</f>
        <v>0</v>
      </c>
      <c r="I675">
        <f t="shared" si="20"/>
        <v>0</v>
      </c>
      <c r="J675" t="str">
        <f t="shared" si="21"/>
        <v>Low Risk</v>
      </c>
    </row>
    <row r="676" spans="1:10" x14ac:dyDescent="0.2">
      <c r="A676" t="str">
        <f>'Claims Data'!A676</f>
        <v>CLM00675</v>
      </c>
      <c r="B676" t="str">
        <f>'Claims Data'!B676</f>
        <v>PAT0035</v>
      </c>
      <c r="C676" t="str">
        <f>'Claims Data'!C676</f>
        <v>PRV0018</v>
      </c>
      <c r="D676" s="1">
        <f>'Claims Data'!D676</f>
        <v>44941</v>
      </c>
      <c r="E676">
        <f>'Claims Data'!H676</f>
        <v>6</v>
      </c>
      <c r="F676">
        <f>'Claims Data'!J676</f>
        <v>380.91</v>
      </c>
      <c r="G676" t="str">
        <f>'Claims Data'!M676</f>
        <v>duplicate_claim</v>
      </c>
      <c r="H676" t="b">
        <f>'Claims Data'!L676</f>
        <v>1</v>
      </c>
      <c r="I676">
        <f t="shared" si="20"/>
        <v>10</v>
      </c>
      <c r="J676" t="str">
        <f t="shared" si="21"/>
        <v>Low Risk</v>
      </c>
    </row>
    <row r="677" spans="1:10" x14ac:dyDescent="0.2">
      <c r="A677" t="str">
        <f>'Claims Data'!A677</f>
        <v>CLM00676</v>
      </c>
      <c r="B677" t="str">
        <f>'Claims Data'!B677</f>
        <v>PAT0051</v>
      </c>
      <c r="C677" t="str">
        <f>'Claims Data'!C677</f>
        <v>PRV0054</v>
      </c>
      <c r="D677" s="1">
        <f>'Claims Data'!D677</f>
        <v>45096</v>
      </c>
      <c r="E677">
        <f>'Claims Data'!H677</f>
        <v>2.1</v>
      </c>
      <c r="F677">
        <f>'Claims Data'!J677</f>
        <v>170.23</v>
      </c>
      <c r="G677">
        <f>'Claims Data'!M677</f>
        <v>0</v>
      </c>
      <c r="H677" t="b">
        <f>'Claims Data'!L677</f>
        <v>0</v>
      </c>
      <c r="I677">
        <f t="shared" si="20"/>
        <v>0</v>
      </c>
      <c r="J677" t="str">
        <f t="shared" si="21"/>
        <v>Low Risk</v>
      </c>
    </row>
    <row r="678" spans="1:10" x14ac:dyDescent="0.2">
      <c r="A678" t="str">
        <f>'Claims Data'!A678</f>
        <v>CLM00677</v>
      </c>
      <c r="B678" t="str">
        <f>'Claims Data'!B678</f>
        <v>PAT0098</v>
      </c>
      <c r="C678" t="str">
        <f>'Claims Data'!C678</f>
        <v>PRV0052</v>
      </c>
      <c r="D678" s="1">
        <f>'Claims Data'!D678</f>
        <v>45061</v>
      </c>
      <c r="E678">
        <f>'Claims Data'!H678</f>
        <v>7.1</v>
      </c>
      <c r="F678">
        <f>'Claims Data'!J678</f>
        <v>547.87</v>
      </c>
      <c r="G678">
        <f>'Claims Data'!M678</f>
        <v>0</v>
      </c>
      <c r="H678" t="b">
        <f>'Claims Data'!L678</f>
        <v>0</v>
      </c>
      <c r="I678">
        <f t="shared" si="20"/>
        <v>0</v>
      </c>
      <c r="J678" t="str">
        <f t="shared" si="21"/>
        <v>Low Risk</v>
      </c>
    </row>
    <row r="679" spans="1:10" x14ac:dyDescent="0.2">
      <c r="A679" t="str">
        <f>'Claims Data'!A679</f>
        <v>CLM00678</v>
      </c>
      <c r="B679" t="str">
        <f>'Claims Data'!B679</f>
        <v>PAT0122</v>
      </c>
      <c r="C679" t="str">
        <f>'Claims Data'!C679</f>
        <v>PRV0030</v>
      </c>
      <c r="D679" s="1">
        <f>'Claims Data'!D679</f>
        <v>45425</v>
      </c>
      <c r="E679">
        <f>'Claims Data'!H679</f>
        <v>3.9</v>
      </c>
      <c r="F679">
        <f>'Claims Data'!J679</f>
        <v>174.93</v>
      </c>
      <c r="G679">
        <f>'Claims Data'!M679</f>
        <v>0</v>
      </c>
      <c r="H679" t="b">
        <f>'Claims Data'!L679</f>
        <v>0</v>
      </c>
      <c r="I679">
        <f t="shared" si="20"/>
        <v>0</v>
      </c>
      <c r="J679" t="str">
        <f t="shared" si="21"/>
        <v>Low Risk</v>
      </c>
    </row>
    <row r="680" spans="1:10" x14ac:dyDescent="0.2">
      <c r="A680" t="str">
        <f>'Claims Data'!A680</f>
        <v>CLM00679</v>
      </c>
      <c r="B680" t="str">
        <f>'Claims Data'!B680</f>
        <v>PAT0206</v>
      </c>
      <c r="C680" t="str">
        <f>'Claims Data'!C680</f>
        <v>PRV0022</v>
      </c>
      <c r="D680" s="1">
        <f>'Claims Data'!D680</f>
        <v>45386</v>
      </c>
      <c r="E680">
        <f>'Claims Data'!H680</f>
        <v>5</v>
      </c>
      <c r="F680">
        <f>'Claims Data'!J680</f>
        <v>290.14999999999998</v>
      </c>
      <c r="G680">
        <f>'Claims Data'!M680</f>
        <v>0</v>
      </c>
      <c r="H680" t="b">
        <f>'Claims Data'!L680</f>
        <v>0</v>
      </c>
      <c r="I680">
        <f t="shared" si="20"/>
        <v>0</v>
      </c>
      <c r="J680" t="str">
        <f t="shared" si="21"/>
        <v>Low Risk</v>
      </c>
    </row>
    <row r="681" spans="1:10" x14ac:dyDescent="0.2">
      <c r="A681" t="str">
        <f>'Claims Data'!A681</f>
        <v>CLM00680</v>
      </c>
      <c r="B681" t="str">
        <f>'Claims Data'!B681</f>
        <v>PAT0210</v>
      </c>
      <c r="C681" t="str">
        <f>'Claims Data'!C681</f>
        <v>PRV0048</v>
      </c>
      <c r="D681" s="1">
        <f>'Claims Data'!D681</f>
        <v>45250</v>
      </c>
      <c r="E681">
        <f>'Claims Data'!H681</f>
        <v>6.9</v>
      </c>
      <c r="F681">
        <f>'Claims Data'!J681</f>
        <v>205.14</v>
      </c>
      <c r="G681">
        <f>'Claims Data'!M681</f>
        <v>0</v>
      </c>
      <c r="H681" t="b">
        <f>'Claims Data'!L681</f>
        <v>0</v>
      </c>
      <c r="I681">
        <f t="shared" si="20"/>
        <v>0</v>
      </c>
      <c r="J681" t="str">
        <f t="shared" si="21"/>
        <v>Low Risk</v>
      </c>
    </row>
    <row r="682" spans="1:10" x14ac:dyDescent="0.2">
      <c r="A682" t="str">
        <f>'Claims Data'!A682</f>
        <v>CLM00681</v>
      </c>
      <c r="B682" t="str">
        <f>'Claims Data'!B682</f>
        <v>PAT0141</v>
      </c>
      <c r="C682" t="str">
        <f>'Claims Data'!C682</f>
        <v>PRV0033</v>
      </c>
      <c r="D682" s="1">
        <f>'Claims Data'!D682</f>
        <v>45210</v>
      </c>
      <c r="E682">
        <f>'Claims Data'!H682</f>
        <v>2.5</v>
      </c>
      <c r="F682">
        <f>'Claims Data'!J682</f>
        <v>137.27000000000001</v>
      </c>
      <c r="G682">
        <f>'Claims Data'!M682</f>
        <v>0</v>
      </c>
      <c r="H682" t="b">
        <f>'Claims Data'!L682</f>
        <v>0</v>
      </c>
      <c r="I682">
        <f t="shared" si="20"/>
        <v>0</v>
      </c>
      <c r="J682" t="str">
        <f t="shared" si="21"/>
        <v>Low Risk</v>
      </c>
    </row>
    <row r="683" spans="1:10" x14ac:dyDescent="0.2">
      <c r="A683" t="str">
        <f>'Claims Data'!A683</f>
        <v>CLM00682</v>
      </c>
      <c r="B683" t="str">
        <f>'Claims Data'!B683</f>
        <v>PAT0176</v>
      </c>
      <c r="C683" t="str">
        <f>'Claims Data'!C683</f>
        <v>PRV0033</v>
      </c>
      <c r="D683" s="1">
        <f>'Claims Data'!D683</f>
        <v>45030</v>
      </c>
      <c r="E683">
        <f>'Claims Data'!H683</f>
        <v>7.9</v>
      </c>
      <c r="F683">
        <f>'Claims Data'!J683</f>
        <v>550.74</v>
      </c>
      <c r="G683">
        <f>'Claims Data'!M683</f>
        <v>0</v>
      </c>
      <c r="H683" t="b">
        <f>'Claims Data'!L683</f>
        <v>0</v>
      </c>
      <c r="I683">
        <f t="shared" si="20"/>
        <v>0</v>
      </c>
      <c r="J683" t="str">
        <f t="shared" si="21"/>
        <v>Low Risk</v>
      </c>
    </row>
    <row r="684" spans="1:10" x14ac:dyDescent="0.2">
      <c r="A684" t="str">
        <f>'Claims Data'!A684</f>
        <v>CLM00683</v>
      </c>
      <c r="B684" t="str">
        <f>'Claims Data'!B684</f>
        <v>PAT0065</v>
      </c>
      <c r="C684" t="str">
        <f>'Claims Data'!C684</f>
        <v>PRV0039</v>
      </c>
      <c r="D684" s="1">
        <f>'Claims Data'!D684</f>
        <v>45140</v>
      </c>
      <c r="E684">
        <f>'Claims Data'!H684</f>
        <v>4.4000000000000004</v>
      </c>
      <c r="F684">
        <f>'Claims Data'!J684</f>
        <v>119.46</v>
      </c>
      <c r="G684">
        <f>'Claims Data'!M684</f>
        <v>0</v>
      </c>
      <c r="H684" t="b">
        <f>'Claims Data'!L684</f>
        <v>0</v>
      </c>
      <c r="I684">
        <f t="shared" si="20"/>
        <v>0</v>
      </c>
      <c r="J684" t="str">
        <f t="shared" si="21"/>
        <v>Low Risk</v>
      </c>
    </row>
    <row r="685" spans="1:10" x14ac:dyDescent="0.2">
      <c r="A685" t="str">
        <f>'Claims Data'!A685</f>
        <v>CLM00684</v>
      </c>
      <c r="B685" t="str">
        <f>'Claims Data'!B685</f>
        <v>PAT0164</v>
      </c>
      <c r="C685" t="str">
        <f>'Claims Data'!C685</f>
        <v>PRV0047</v>
      </c>
      <c r="D685" s="1">
        <f>'Claims Data'!D685</f>
        <v>45530</v>
      </c>
      <c r="E685">
        <f>'Claims Data'!H685</f>
        <v>7</v>
      </c>
      <c r="F685">
        <f>'Claims Data'!J685</f>
        <v>507.55</v>
      </c>
      <c r="G685" t="str">
        <f>'Claims Data'!M685</f>
        <v>duplicate_claim</v>
      </c>
      <c r="H685" t="b">
        <f>'Claims Data'!L685</f>
        <v>1</v>
      </c>
      <c r="I685">
        <f t="shared" si="20"/>
        <v>10</v>
      </c>
      <c r="J685" t="str">
        <f t="shared" si="21"/>
        <v>Low Risk</v>
      </c>
    </row>
    <row r="686" spans="1:10" x14ac:dyDescent="0.2">
      <c r="A686" t="str">
        <f>'Claims Data'!A686</f>
        <v>CLM00685</v>
      </c>
      <c r="B686" t="str">
        <f>'Claims Data'!B686</f>
        <v>PAT0020</v>
      </c>
      <c r="C686" t="str">
        <f>'Claims Data'!C686</f>
        <v>PRV0058</v>
      </c>
      <c r="D686" s="1">
        <f>'Claims Data'!D686</f>
        <v>45086</v>
      </c>
      <c r="E686">
        <f>'Claims Data'!H686</f>
        <v>7.3</v>
      </c>
      <c r="F686">
        <f>'Claims Data'!J686</f>
        <v>428.8</v>
      </c>
      <c r="G686">
        <f>'Claims Data'!M686</f>
        <v>0</v>
      </c>
      <c r="H686" t="b">
        <f>'Claims Data'!L686</f>
        <v>0</v>
      </c>
      <c r="I686">
        <f t="shared" si="20"/>
        <v>0</v>
      </c>
      <c r="J686" t="str">
        <f t="shared" si="21"/>
        <v>Low Risk</v>
      </c>
    </row>
    <row r="687" spans="1:10" x14ac:dyDescent="0.2">
      <c r="A687" t="str">
        <f>'Claims Data'!A687</f>
        <v>CLM00686</v>
      </c>
      <c r="B687" t="str">
        <f>'Claims Data'!B687</f>
        <v>PAT0226</v>
      </c>
      <c r="C687" t="str">
        <f>'Claims Data'!C687</f>
        <v>PRV0009</v>
      </c>
      <c r="D687" s="1">
        <f>'Claims Data'!D687</f>
        <v>45214</v>
      </c>
      <c r="E687">
        <f>'Claims Data'!H687</f>
        <v>7.7</v>
      </c>
      <c r="F687">
        <f>'Claims Data'!J687</f>
        <v>360.36</v>
      </c>
      <c r="G687">
        <f>'Claims Data'!M687</f>
        <v>0</v>
      </c>
      <c r="H687" t="b">
        <f>'Claims Data'!L687</f>
        <v>0</v>
      </c>
      <c r="I687">
        <f t="shared" si="20"/>
        <v>0</v>
      </c>
      <c r="J687" t="str">
        <f t="shared" si="21"/>
        <v>Low Risk</v>
      </c>
    </row>
    <row r="688" spans="1:10" x14ac:dyDescent="0.2">
      <c r="A688" t="str">
        <f>'Claims Data'!A688</f>
        <v>CLM00687</v>
      </c>
      <c r="B688" t="str">
        <f>'Claims Data'!B688</f>
        <v>PAT0233</v>
      </c>
      <c r="C688" t="str">
        <f>'Claims Data'!C688</f>
        <v>PRV0057</v>
      </c>
      <c r="D688" s="1">
        <f>'Claims Data'!D688</f>
        <v>45077</v>
      </c>
      <c r="E688">
        <f>'Claims Data'!H688</f>
        <v>7.1</v>
      </c>
      <c r="F688">
        <f>'Claims Data'!J688</f>
        <v>318.92</v>
      </c>
      <c r="G688">
        <f>'Claims Data'!M688</f>
        <v>0</v>
      </c>
      <c r="H688" t="b">
        <f>'Claims Data'!L688</f>
        <v>0</v>
      </c>
      <c r="I688">
        <f t="shared" si="20"/>
        <v>0</v>
      </c>
      <c r="J688" t="str">
        <f t="shared" si="21"/>
        <v>Low Risk</v>
      </c>
    </row>
    <row r="689" spans="1:10" x14ac:dyDescent="0.2">
      <c r="A689" t="str">
        <f>'Claims Data'!A689</f>
        <v>CLM00688</v>
      </c>
      <c r="B689" t="str">
        <f>'Claims Data'!B689</f>
        <v>PAT0060</v>
      </c>
      <c r="C689" t="str">
        <f>'Claims Data'!C689</f>
        <v>PRV0003</v>
      </c>
      <c r="D689" s="1">
        <f>'Claims Data'!D689</f>
        <v>45114</v>
      </c>
      <c r="E689">
        <f>'Claims Data'!H689</f>
        <v>6.3</v>
      </c>
      <c r="F689">
        <f>'Claims Data'!J689</f>
        <v>294.83</v>
      </c>
      <c r="G689">
        <f>'Claims Data'!M689</f>
        <v>0</v>
      </c>
      <c r="H689" t="b">
        <f>'Claims Data'!L689</f>
        <v>0</v>
      </c>
      <c r="I689">
        <f t="shared" si="20"/>
        <v>0</v>
      </c>
      <c r="J689" t="str">
        <f t="shared" si="21"/>
        <v>Low Risk</v>
      </c>
    </row>
    <row r="690" spans="1:10" x14ac:dyDescent="0.2">
      <c r="A690" t="str">
        <f>'Claims Data'!A690</f>
        <v>CLM00689</v>
      </c>
      <c r="B690" t="str">
        <f>'Claims Data'!B690</f>
        <v>PAT0059</v>
      </c>
      <c r="C690" t="str">
        <f>'Claims Data'!C690</f>
        <v>PRV0036</v>
      </c>
      <c r="D690" s="1">
        <f>'Claims Data'!D690</f>
        <v>45083</v>
      </c>
      <c r="E690">
        <f>'Claims Data'!H690</f>
        <v>2.6</v>
      </c>
      <c r="F690">
        <f>'Claims Data'!J690</f>
        <v>167.79</v>
      </c>
      <c r="G690">
        <f>'Claims Data'!M690</f>
        <v>0</v>
      </c>
      <c r="H690" t="b">
        <f>'Claims Data'!L690</f>
        <v>0</v>
      </c>
      <c r="I690">
        <f t="shared" si="20"/>
        <v>0</v>
      </c>
      <c r="J690" t="str">
        <f t="shared" si="21"/>
        <v>Low Risk</v>
      </c>
    </row>
    <row r="691" spans="1:10" x14ac:dyDescent="0.2">
      <c r="A691" t="str">
        <f>'Claims Data'!A691</f>
        <v>CLM00690</v>
      </c>
      <c r="B691" t="str">
        <f>'Claims Data'!B691</f>
        <v>PAT0156</v>
      </c>
      <c r="C691" t="str">
        <f>'Claims Data'!C691</f>
        <v>PRV0015</v>
      </c>
      <c r="D691" s="1">
        <f>'Claims Data'!D691</f>
        <v>45451</v>
      </c>
      <c r="E691">
        <f>'Claims Data'!H691</f>
        <v>4.0999999999999996</v>
      </c>
      <c r="F691">
        <f>'Claims Data'!J691</f>
        <v>258.38</v>
      </c>
      <c r="G691">
        <f>'Claims Data'!M691</f>
        <v>0</v>
      </c>
      <c r="H691" t="b">
        <f>'Claims Data'!L691</f>
        <v>0</v>
      </c>
      <c r="I691">
        <f t="shared" si="20"/>
        <v>0</v>
      </c>
      <c r="J691" t="str">
        <f t="shared" si="21"/>
        <v>Low Risk</v>
      </c>
    </row>
    <row r="692" spans="1:10" x14ac:dyDescent="0.2">
      <c r="A692" t="str">
        <f>'Claims Data'!A692</f>
        <v>CLM00691</v>
      </c>
      <c r="B692" t="str">
        <f>'Claims Data'!B692</f>
        <v>PAT0111</v>
      </c>
      <c r="C692" t="str">
        <f>'Claims Data'!C692</f>
        <v>PRV0023</v>
      </c>
      <c r="D692" s="1">
        <f>'Claims Data'!D692</f>
        <v>44942</v>
      </c>
      <c r="E692">
        <f>'Claims Data'!H692</f>
        <v>6.2</v>
      </c>
      <c r="F692">
        <f>'Claims Data'!J692</f>
        <v>172.03</v>
      </c>
      <c r="G692">
        <f>'Claims Data'!M692</f>
        <v>0</v>
      </c>
      <c r="H692" t="b">
        <f>'Claims Data'!L692</f>
        <v>0</v>
      </c>
      <c r="I692">
        <f t="shared" si="20"/>
        <v>0</v>
      </c>
      <c r="J692" t="str">
        <f t="shared" si="21"/>
        <v>Low Risk</v>
      </c>
    </row>
    <row r="693" spans="1:10" x14ac:dyDescent="0.2">
      <c r="A693" t="str">
        <f>'Claims Data'!A693</f>
        <v>CLM00692</v>
      </c>
      <c r="B693" t="str">
        <f>'Claims Data'!B693</f>
        <v>PAT0148</v>
      </c>
      <c r="C693" t="str">
        <f>'Claims Data'!C693</f>
        <v>PRV0034</v>
      </c>
      <c r="D693" s="1">
        <f>'Claims Data'!D693</f>
        <v>45139</v>
      </c>
      <c r="E693">
        <f>'Claims Data'!H693</f>
        <v>2.8</v>
      </c>
      <c r="F693">
        <f>'Claims Data'!J693</f>
        <v>190.43</v>
      </c>
      <c r="G693">
        <f>'Claims Data'!M693</f>
        <v>0</v>
      </c>
      <c r="H693" t="b">
        <f>'Claims Data'!L693</f>
        <v>0</v>
      </c>
      <c r="I693">
        <f t="shared" si="20"/>
        <v>0</v>
      </c>
      <c r="J693" t="str">
        <f t="shared" si="21"/>
        <v>Low Risk</v>
      </c>
    </row>
    <row r="694" spans="1:10" x14ac:dyDescent="0.2">
      <c r="A694" t="str">
        <f>'Claims Data'!A694</f>
        <v>CLM00693</v>
      </c>
      <c r="B694" t="str">
        <f>'Claims Data'!B694</f>
        <v>PAT0259</v>
      </c>
      <c r="C694" t="str">
        <f>'Claims Data'!C694</f>
        <v>PRV0023</v>
      </c>
      <c r="D694" s="1">
        <f>'Claims Data'!D694</f>
        <v>45538</v>
      </c>
      <c r="E694">
        <f>'Claims Data'!H694</f>
        <v>32.4</v>
      </c>
      <c r="F694">
        <f>'Claims Data'!J694</f>
        <v>2000</v>
      </c>
      <c r="G694" t="str">
        <f>'Claims Data'!M694</f>
        <v>phantom_round_amount</v>
      </c>
      <c r="H694" t="b">
        <f>'Claims Data'!L694</f>
        <v>1</v>
      </c>
      <c r="I694">
        <f t="shared" si="20"/>
        <v>80</v>
      </c>
      <c r="J694" t="str">
        <f t="shared" si="21"/>
        <v>High Risk</v>
      </c>
    </row>
    <row r="695" spans="1:10" x14ac:dyDescent="0.2">
      <c r="A695" t="str">
        <f>'Claims Data'!A695</f>
        <v>CLM00694</v>
      </c>
      <c r="B695" t="str">
        <f>'Claims Data'!B695</f>
        <v>PAT0173</v>
      </c>
      <c r="C695" t="str">
        <f>'Claims Data'!C695</f>
        <v>PRV0060</v>
      </c>
      <c r="D695" s="1">
        <f>'Claims Data'!D695</f>
        <v>45506</v>
      </c>
      <c r="E695">
        <f>'Claims Data'!H695</f>
        <v>7.6</v>
      </c>
      <c r="F695">
        <f>'Claims Data'!J695</f>
        <v>369.16</v>
      </c>
      <c r="G695">
        <f>'Claims Data'!M695</f>
        <v>0</v>
      </c>
      <c r="H695" t="b">
        <f>'Claims Data'!L695</f>
        <v>0</v>
      </c>
      <c r="I695">
        <f t="shared" si="20"/>
        <v>0</v>
      </c>
      <c r="J695" t="str">
        <f t="shared" si="21"/>
        <v>Low Risk</v>
      </c>
    </row>
    <row r="696" spans="1:10" x14ac:dyDescent="0.2">
      <c r="A696" t="str">
        <f>'Claims Data'!A696</f>
        <v>CLM00695</v>
      </c>
      <c r="B696" t="str">
        <f>'Claims Data'!B696</f>
        <v>PAT0018</v>
      </c>
      <c r="C696" t="str">
        <f>'Claims Data'!C696</f>
        <v>PRV0008</v>
      </c>
      <c r="D696" s="1">
        <f>'Claims Data'!D696</f>
        <v>45314</v>
      </c>
      <c r="E696">
        <f>'Claims Data'!H696</f>
        <v>6.3</v>
      </c>
      <c r="F696">
        <f>'Claims Data'!J696</f>
        <v>198.24</v>
      </c>
      <c r="G696">
        <f>'Claims Data'!M696</f>
        <v>0</v>
      </c>
      <c r="H696" t="b">
        <f>'Claims Data'!L696</f>
        <v>0</v>
      </c>
      <c r="I696">
        <f t="shared" si="20"/>
        <v>0</v>
      </c>
      <c r="J696" t="str">
        <f t="shared" si="21"/>
        <v>Low Risk</v>
      </c>
    </row>
    <row r="697" spans="1:10" x14ac:dyDescent="0.2">
      <c r="A697" t="str">
        <f>'Claims Data'!A697</f>
        <v>CLM00696</v>
      </c>
      <c r="B697" t="str">
        <f>'Claims Data'!B697</f>
        <v>PAT0238</v>
      </c>
      <c r="C697" t="str">
        <f>'Claims Data'!C697</f>
        <v>PRV0032</v>
      </c>
      <c r="D697" s="1">
        <f>'Claims Data'!D697</f>
        <v>45451</v>
      </c>
      <c r="E697">
        <f>'Claims Data'!H697</f>
        <v>7.6</v>
      </c>
      <c r="F697">
        <f>'Claims Data'!J697</f>
        <v>571.88</v>
      </c>
      <c r="G697">
        <f>'Claims Data'!M697</f>
        <v>0</v>
      </c>
      <c r="H697" t="b">
        <f>'Claims Data'!L697</f>
        <v>0</v>
      </c>
      <c r="I697">
        <f t="shared" si="20"/>
        <v>0</v>
      </c>
      <c r="J697" t="str">
        <f t="shared" si="21"/>
        <v>Low Risk</v>
      </c>
    </row>
    <row r="698" spans="1:10" x14ac:dyDescent="0.2">
      <c r="A698" t="str">
        <f>'Claims Data'!A698</f>
        <v>CLM00697</v>
      </c>
      <c r="B698" t="str">
        <f>'Claims Data'!B698</f>
        <v>PAT0027</v>
      </c>
      <c r="C698" t="str">
        <f>'Claims Data'!C698</f>
        <v>PRV0043</v>
      </c>
      <c r="D698" s="1">
        <f>'Claims Data'!D698</f>
        <v>45012</v>
      </c>
      <c r="E698">
        <f>'Claims Data'!H698</f>
        <v>6.6</v>
      </c>
      <c r="F698">
        <f>'Claims Data'!J698</f>
        <v>343.4</v>
      </c>
      <c r="G698">
        <f>'Claims Data'!M698</f>
        <v>0</v>
      </c>
      <c r="H698" t="b">
        <f>'Claims Data'!L698</f>
        <v>0</v>
      </c>
      <c r="I698">
        <f t="shared" si="20"/>
        <v>0</v>
      </c>
      <c r="J698" t="str">
        <f t="shared" si="21"/>
        <v>Low Risk</v>
      </c>
    </row>
    <row r="699" spans="1:10" x14ac:dyDescent="0.2">
      <c r="A699" t="str">
        <f>'Claims Data'!A699</f>
        <v>CLM00698</v>
      </c>
      <c r="B699" t="str">
        <f>'Claims Data'!B699</f>
        <v>PAT0064</v>
      </c>
      <c r="C699" t="str">
        <f>'Claims Data'!C699</f>
        <v>PRV0028</v>
      </c>
      <c r="D699" s="1">
        <f>'Claims Data'!D699</f>
        <v>45633</v>
      </c>
      <c r="E699">
        <f>'Claims Data'!H699</f>
        <v>7.8</v>
      </c>
      <c r="F699">
        <f>'Claims Data'!J699</f>
        <v>197.03</v>
      </c>
      <c r="G699">
        <f>'Claims Data'!M699</f>
        <v>0</v>
      </c>
      <c r="H699" t="b">
        <f>'Claims Data'!L699</f>
        <v>0</v>
      </c>
      <c r="I699">
        <f t="shared" si="20"/>
        <v>0</v>
      </c>
      <c r="J699" t="str">
        <f t="shared" si="21"/>
        <v>Low Risk</v>
      </c>
    </row>
    <row r="700" spans="1:10" x14ac:dyDescent="0.2">
      <c r="A700" t="str">
        <f>'Claims Data'!A700</f>
        <v>CLM00699</v>
      </c>
      <c r="B700" t="str">
        <f>'Claims Data'!B700</f>
        <v>PAT0024</v>
      </c>
      <c r="C700" t="str">
        <f>'Claims Data'!C700</f>
        <v>PRV0031</v>
      </c>
      <c r="D700" s="1">
        <f>'Claims Data'!D700</f>
        <v>44949</v>
      </c>
      <c r="E700">
        <f>'Claims Data'!H700</f>
        <v>5.3</v>
      </c>
      <c r="F700">
        <f>'Claims Data'!J700</f>
        <v>270.13</v>
      </c>
      <c r="G700">
        <f>'Claims Data'!M700</f>
        <v>0</v>
      </c>
      <c r="H700" t="b">
        <f>'Claims Data'!L700</f>
        <v>0</v>
      </c>
      <c r="I700">
        <f t="shared" si="20"/>
        <v>0</v>
      </c>
      <c r="J700" t="str">
        <f t="shared" si="21"/>
        <v>Low Risk</v>
      </c>
    </row>
    <row r="701" spans="1:10" x14ac:dyDescent="0.2">
      <c r="A701" t="str">
        <f>'Claims Data'!A701</f>
        <v>CLM00700</v>
      </c>
      <c r="B701" t="str">
        <f>'Claims Data'!B701</f>
        <v>PAT0239</v>
      </c>
      <c r="C701" t="str">
        <f>'Claims Data'!C701</f>
        <v>PRV0010</v>
      </c>
      <c r="D701" s="1">
        <f>'Claims Data'!D701</f>
        <v>45552</v>
      </c>
      <c r="E701">
        <f>'Claims Data'!H701</f>
        <v>7.5</v>
      </c>
      <c r="F701">
        <f>'Claims Data'!J701</f>
        <v>538.99</v>
      </c>
      <c r="G701">
        <f>'Claims Data'!M701</f>
        <v>0</v>
      </c>
      <c r="H701" t="b">
        <f>'Claims Data'!L701</f>
        <v>0</v>
      </c>
      <c r="I701">
        <f t="shared" si="20"/>
        <v>0</v>
      </c>
      <c r="J701" t="str">
        <f t="shared" si="21"/>
        <v>Low Risk</v>
      </c>
    </row>
    <row r="702" spans="1:10" x14ac:dyDescent="0.2">
      <c r="A702" t="str">
        <f>'Claims Data'!A702</f>
        <v>CLM00701</v>
      </c>
      <c r="B702" t="str">
        <f>'Claims Data'!B702</f>
        <v>PAT0062</v>
      </c>
      <c r="C702" t="str">
        <f>'Claims Data'!C702</f>
        <v>PRV0030</v>
      </c>
      <c r="D702" s="1">
        <f>'Claims Data'!D702</f>
        <v>45015</v>
      </c>
      <c r="E702">
        <f>'Claims Data'!H702</f>
        <v>6.4</v>
      </c>
      <c r="F702">
        <f>'Claims Data'!J702</f>
        <v>209.3</v>
      </c>
      <c r="G702">
        <f>'Claims Data'!M702</f>
        <v>0</v>
      </c>
      <c r="H702" t="b">
        <f>'Claims Data'!L702</f>
        <v>0</v>
      </c>
      <c r="I702">
        <f t="shared" si="20"/>
        <v>0</v>
      </c>
      <c r="J702" t="str">
        <f t="shared" si="21"/>
        <v>Low Risk</v>
      </c>
    </row>
    <row r="703" spans="1:10" x14ac:dyDescent="0.2">
      <c r="A703" t="str">
        <f>'Claims Data'!A703</f>
        <v>CLM00702</v>
      </c>
      <c r="B703" t="str">
        <f>'Claims Data'!B703</f>
        <v>PAT0300</v>
      </c>
      <c r="C703" t="str">
        <f>'Claims Data'!C703</f>
        <v>PRV0034</v>
      </c>
      <c r="D703" s="1">
        <f>'Claims Data'!D703</f>
        <v>45409</v>
      </c>
      <c r="E703">
        <f>'Claims Data'!H703</f>
        <v>5</v>
      </c>
      <c r="F703">
        <f>'Claims Data'!J703</f>
        <v>240.4</v>
      </c>
      <c r="G703">
        <f>'Claims Data'!M703</f>
        <v>0</v>
      </c>
      <c r="H703" t="b">
        <f>'Claims Data'!L703</f>
        <v>0</v>
      </c>
      <c r="I703">
        <f t="shared" si="20"/>
        <v>0</v>
      </c>
      <c r="J703" t="str">
        <f t="shared" si="21"/>
        <v>Low Risk</v>
      </c>
    </row>
    <row r="704" spans="1:10" x14ac:dyDescent="0.2">
      <c r="A704" t="str">
        <f>'Claims Data'!A704</f>
        <v>CLM00703</v>
      </c>
      <c r="B704" t="str">
        <f>'Claims Data'!B704</f>
        <v>PAT0101</v>
      </c>
      <c r="C704" t="str">
        <f>'Claims Data'!C704</f>
        <v>PRV0059</v>
      </c>
      <c r="D704" s="1">
        <f>'Claims Data'!D704</f>
        <v>45309</v>
      </c>
      <c r="E704">
        <f>'Claims Data'!H704</f>
        <v>3.6</v>
      </c>
      <c r="F704">
        <f>'Claims Data'!J704</f>
        <v>298.14</v>
      </c>
      <c r="G704">
        <f>'Claims Data'!M704</f>
        <v>0</v>
      </c>
      <c r="H704" t="b">
        <f>'Claims Data'!L704</f>
        <v>0</v>
      </c>
      <c r="I704">
        <f t="shared" si="20"/>
        <v>0</v>
      </c>
      <c r="J704" t="str">
        <f t="shared" si="21"/>
        <v>Low Risk</v>
      </c>
    </row>
    <row r="705" spans="1:10" x14ac:dyDescent="0.2">
      <c r="A705" t="str">
        <f>'Claims Data'!A705</f>
        <v>CLM00704</v>
      </c>
      <c r="B705" t="str">
        <f>'Claims Data'!B705</f>
        <v>PAT0017</v>
      </c>
      <c r="C705" t="str">
        <f>'Claims Data'!C705</f>
        <v>PRV0060</v>
      </c>
      <c r="D705" s="1">
        <f>'Claims Data'!D705</f>
        <v>45305</v>
      </c>
      <c r="E705">
        <f>'Claims Data'!H705</f>
        <v>6.8</v>
      </c>
      <c r="F705">
        <f>'Claims Data'!J705</f>
        <v>226.38</v>
      </c>
      <c r="G705">
        <f>'Claims Data'!M705</f>
        <v>0</v>
      </c>
      <c r="H705" t="b">
        <f>'Claims Data'!L705</f>
        <v>0</v>
      </c>
      <c r="I705">
        <f t="shared" si="20"/>
        <v>0</v>
      </c>
      <c r="J705" t="str">
        <f t="shared" si="21"/>
        <v>Low Risk</v>
      </c>
    </row>
    <row r="706" spans="1:10" x14ac:dyDescent="0.2">
      <c r="A706" t="str">
        <f>'Claims Data'!A706</f>
        <v>CLM00705</v>
      </c>
      <c r="B706" t="str">
        <f>'Claims Data'!B706</f>
        <v>PAT0008</v>
      </c>
      <c r="C706" t="str">
        <f>'Claims Data'!C706</f>
        <v>PRV0049</v>
      </c>
      <c r="D706" s="1">
        <f>'Claims Data'!D706</f>
        <v>45174</v>
      </c>
      <c r="E706">
        <f>'Claims Data'!H706</f>
        <v>7.1</v>
      </c>
      <c r="F706">
        <f>'Claims Data'!J706</f>
        <v>410.87</v>
      </c>
      <c r="G706">
        <f>'Claims Data'!M706</f>
        <v>0</v>
      </c>
      <c r="H706" t="b">
        <f>'Claims Data'!L706</f>
        <v>0</v>
      </c>
      <c r="I706">
        <f t="shared" si="20"/>
        <v>0</v>
      </c>
      <c r="J706" t="str">
        <f t="shared" si="21"/>
        <v>Low Risk</v>
      </c>
    </row>
    <row r="707" spans="1:10" x14ac:dyDescent="0.2">
      <c r="A707" t="str">
        <f>'Claims Data'!A707</f>
        <v>CLM00706</v>
      </c>
      <c r="B707" t="str">
        <f>'Claims Data'!B707</f>
        <v>PAT0038</v>
      </c>
      <c r="C707" t="str">
        <f>'Claims Data'!C707</f>
        <v>PRV0014</v>
      </c>
      <c r="D707" s="1">
        <f>'Claims Data'!D707</f>
        <v>45619</v>
      </c>
      <c r="E707">
        <f>'Claims Data'!H707</f>
        <v>3.2</v>
      </c>
      <c r="F707">
        <f>'Claims Data'!J707</f>
        <v>199.84</v>
      </c>
      <c r="G707">
        <f>'Claims Data'!M707</f>
        <v>0</v>
      </c>
      <c r="H707" t="b">
        <f>'Claims Data'!L707</f>
        <v>0</v>
      </c>
      <c r="I707">
        <f t="shared" ref="I707:I770" si="22">IF(E707&gt;16,40,0)+IF(MOD(F707,250)=0,30,0)+IF(H707=TRUE,10,0)</f>
        <v>0</v>
      </c>
      <c r="J707" t="str">
        <f t="shared" ref="J707:J770" si="23">IF(I707&gt;=70,"High Risk",IF(I707&gt;=30,"Medium Risk","Low Risk"))</f>
        <v>Low Risk</v>
      </c>
    </row>
    <row r="708" spans="1:10" x14ac:dyDescent="0.2">
      <c r="A708" t="str">
        <f>'Claims Data'!A708</f>
        <v>CLM00707</v>
      </c>
      <c r="B708" t="str">
        <f>'Claims Data'!B708</f>
        <v>PAT0120</v>
      </c>
      <c r="C708" t="str">
        <f>'Claims Data'!C708</f>
        <v>PRV0045</v>
      </c>
      <c r="D708" s="1">
        <f>'Claims Data'!D708</f>
        <v>42497</v>
      </c>
      <c r="E708">
        <f>'Claims Data'!H708</f>
        <v>7.5</v>
      </c>
      <c r="F708">
        <f>'Claims Data'!J708</f>
        <v>247.2</v>
      </c>
      <c r="G708" t="str">
        <f>'Claims Data'!M708</f>
        <v>deceased_patient_billing</v>
      </c>
      <c r="H708" t="b">
        <f>'Claims Data'!L708</f>
        <v>1</v>
      </c>
      <c r="I708">
        <f t="shared" si="22"/>
        <v>10</v>
      </c>
      <c r="J708" t="str">
        <f t="shared" si="23"/>
        <v>Low Risk</v>
      </c>
    </row>
    <row r="709" spans="1:10" x14ac:dyDescent="0.2">
      <c r="A709" t="str">
        <f>'Claims Data'!A709</f>
        <v>CLM00708</v>
      </c>
      <c r="B709" t="str">
        <f>'Claims Data'!B709</f>
        <v>PAT0298</v>
      </c>
      <c r="C709" t="str">
        <f>'Claims Data'!C709</f>
        <v>PRV0030</v>
      </c>
      <c r="D709" s="1">
        <f>'Claims Data'!D709</f>
        <v>45464</v>
      </c>
      <c r="E709">
        <f>'Claims Data'!H709</f>
        <v>5</v>
      </c>
      <c r="F709">
        <f>'Claims Data'!J709</f>
        <v>333.29</v>
      </c>
      <c r="G709">
        <f>'Claims Data'!M709</f>
        <v>0</v>
      </c>
      <c r="H709" t="b">
        <f>'Claims Data'!L709</f>
        <v>0</v>
      </c>
      <c r="I709">
        <f t="shared" si="22"/>
        <v>0</v>
      </c>
      <c r="J709" t="str">
        <f t="shared" si="23"/>
        <v>Low Risk</v>
      </c>
    </row>
    <row r="710" spans="1:10" x14ac:dyDescent="0.2">
      <c r="A710" t="str">
        <f>'Claims Data'!A710</f>
        <v>CLM00709</v>
      </c>
      <c r="B710" t="str">
        <f>'Claims Data'!B710</f>
        <v>PAT0276</v>
      </c>
      <c r="C710" t="str">
        <f>'Claims Data'!C710</f>
        <v>PRV0034</v>
      </c>
      <c r="D710" s="1">
        <f>'Claims Data'!D710</f>
        <v>45182</v>
      </c>
      <c r="E710">
        <f>'Claims Data'!H710</f>
        <v>6.6</v>
      </c>
      <c r="F710">
        <f>'Claims Data'!J710</f>
        <v>387.66</v>
      </c>
      <c r="G710">
        <f>'Claims Data'!M710</f>
        <v>0</v>
      </c>
      <c r="H710" t="b">
        <f>'Claims Data'!L710</f>
        <v>0</v>
      </c>
      <c r="I710">
        <f t="shared" si="22"/>
        <v>0</v>
      </c>
      <c r="J710" t="str">
        <f t="shared" si="23"/>
        <v>Low Risk</v>
      </c>
    </row>
    <row r="711" spans="1:10" x14ac:dyDescent="0.2">
      <c r="A711" t="str">
        <f>'Claims Data'!A711</f>
        <v>CLM00710</v>
      </c>
      <c r="B711" t="str">
        <f>'Claims Data'!B711</f>
        <v>PAT0033</v>
      </c>
      <c r="C711" t="str">
        <f>'Claims Data'!C711</f>
        <v>PRV0017</v>
      </c>
      <c r="D711" s="1">
        <f>'Claims Data'!D711</f>
        <v>45534</v>
      </c>
      <c r="E711">
        <f>'Claims Data'!H711</f>
        <v>6</v>
      </c>
      <c r="F711">
        <f>'Claims Data'!J711</f>
        <v>471.79</v>
      </c>
      <c r="G711">
        <f>'Claims Data'!M711</f>
        <v>0</v>
      </c>
      <c r="H711" t="b">
        <f>'Claims Data'!L711</f>
        <v>0</v>
      </c>
      <c r="I711">
        <f t="shared" si="22"/>
        <v>0</v>
      </c>
      <c r="J711" t="str">
        <f t="shared" si="23"/>
        <v>Low Risk</v>
      </c>
    </row>
    <row r="712" spans="1:10" x14ac:dyDescent="0.2">
      <c r="A712" t="str">
        <f>'Claims Data'!A712</f>
        <v>CLM00711</v>
      </c>
      <c r="B712" t="str">
        <f>'Claims Data'!B712</f>
        <v>PAT0019</v>
      </c>
      <c r="C712" t="str">
        <f>'Claims Data'!C712</f>
        <v>PRV0013</v>
      </c>
      <c r="D712" s="1">
        <f>'Claims Data'!D712</f>
        <v>45495</v>
      </c>
      <c r="E712">
        <f>'Claims Data'!H712</f>
        <v>7.3</v>
      </c>
      <c r="F712">
        <f>'Claims Data'!J712</f>
        <v>367.51</v>
      </c>
      <c r="G712">
        <f>'Claims Data'!M712</f>
        <v>0</v>
      </c>
      <c r="H712" t="b">
        <f>'Claims Data'!L712</f>
        <v>0</v>
      </c>
      <c r="I712">
        <f t="shared" si="22"/>
        <v>0</v>
      </c>
      <c r="J712" t="str">
        <f t="shared" si="23"/>
        <v>Low Risk</v>
      </c>
    </row>
    <row r="713" spans="1:10" x14ac:dyDescent="0.2">
      <c r="A713" t="str">
        <f>'Claims Data'!A713</f>
        <v>CLM00712</v>
      </c>
      <c r="B713" t="str">
        <f>'Claims Data'!B713</f>
        <v>PAT0088</v>
      </c>
      <c r="C713" t="str">
        <f>'Claims Data'!C713</f>
        <v>PRV0019</v>
      </c>
      <c r="D713" s="1">
        <f>'Claims Data'!D713</f>
        <v>45014</v>
      </c>
      <c r="E713">
        <f>'Claims Data'!H713</f>
        <v>2.2000000000000002</v>
      </c>
      <c r="F713">
        <f>'Claims Data'!J713</f>
        <v>74.180000000000007</v>
      </c>
      <c r="G713">
        <f>'Claims Data'!M713</f>
        <v>0</v>
      </c>
      <c r="H713" t="b">
        <f>'Claims Data'!L713</f>
        <v>0</v>
      </c>
      <c r="I713">
        <f t="shared" si="22"/>
        <v>0</v>
      </c>
      <c r="J713" t="str">
        <f t="shared" si="23"/>
        <v>Low Risk</v>
      </c>
    </row>
    <row r="714" spans="1:10" x14ac:dyDescent="0.2">
      <c r="A714" t="str">
        <f>'Claims Data'!A714</f>
        <v>CLM00713</v>
      </c>
      <c r="B714" t="str">
        <f>'Claims Data'!B714</f>
        <v>PAT0023</v>
      </c>
      <c r="C714" t="str">
        <f>'Claims Data'!C714</f>
        <v>PRV0035</v>
      </c>
      <c r="D714" s="1">
        <f>'Claims Data'!D714</f>
        <v>44988</v>
      </c>
      <c r="E714">
        <f>'Claims Data'!H714</f>
        <v>3.2</v>
      </c>
      <c r="F714">
        <f>'Claims Data'!J714</f>
        <v>224.04</v>
      </c>
      <c r="G714">
        <f>'Claims Data'!M714</f>
        <v>0</v>
      </c>
      <c r="H714" t="b">
        <f>'Claims Data'!L714</f>
        <v>0</v>
      </c>
      <c r="I714">
        <f t="shared" si="22"/>
        <v>0</v>
      </c>
      <c r="J714" t="str">
        <f t="shared" si="23"/>
        <v>Low Risk</v>
      </c>
    </row>
    <row r="715" spans="1:10" x14ac:dyDescent="0.2">
      <c r="A715" t="str">
        <f>'Claims Data'!A715</f>
        <v>CLM00714</v>
      </c>
      <c r="B715" t="str">
        <f>'Claims Data'!B715</f>
        <v>PAT0031</v>
      </c>
      <c r="C715" t="str">
        <f>'Claims Data'!C715</f>
        <v>PRV0008</v>
      </c>
      <c r="D715" s="1">
        <f>'Claims Data'!D715</f>
        <v>45095</v>
      </c>
      <c r="E715">
        <f>'Claims Data'!H715</f>
        <v>6.1</v>
      </c>
      <c r="F715">
        <f>'Claims Data'!J715</f>
        <v>206.09</v>
      </c>
      <c r="G715">
        <f>'Claims Data'!M715</f>
        <v>0</v>
      </c>
      <c r="H715" t="b">
        <f>'Claims Data'!L715</f>
        <v>0</v>
      </c>
      <c r="I715">
        <f t="shared" si="22"/>
        <v>0</v>
      </c>
      <c r="J715" t="str">
        <f t="shared" si="23"/>
        <v>Low Risk</v>
      </c>
    </row>
    <row r="716" spans="1:10" x14ac:dyDescent="0.2">
      <c r="A716" t="str">
        <f>'Claims Data'!A716</f>
        <v>CLM00715</v>
      </c>
      <c r="B716" t="str">
        <f>'Claims Data'!B716</f>
        <v>PAT0044</v>
      </c>
      <c r="C716" t="str">
        <f>'Claims Data'!C716</f>
        <v>PRV0011</v>
      </c>
      <c r="D716" s="1">
        <f>'Claims Data'!D716</f>
        <v>45115</v>
      </c>
      <c r="E716">
        <f>'Claims Data'!H716</f>
        <v>3.2</v>
      </c>
      <c r="F716">
        <f>'Claims Data'!J716</f>
        <v>183.91</v>
      </c>
      <c r="G716" t="str">
        <f>'Claims Data'!M716</f>
        <v>duplicate_claim</v>
      </c>
      <c r="H716" t="b">
        <f>'Claims Data'!L716</f>
        <v>1</v>
      </c>
      <c r="I716">
        <f t="shared" si="22"/>
        <v>10</v>
      </c>
      <c r="J716" t="str">
        <f t="shared" si="23"/>
        <v>Low Risk</v>
      </c>
    </row>
    <row r="717" spans="1:10" x14ac:dyDescent="0.2">
      <c r="A717" t="str">
        <f>'Claims Data'!A717</f>
        <v>CLM00716</v>
      </c>
      <c r="B717" t="str">
        <f>'Claims Data'!B717</f>
        <v>PAT0229</v>
      </c>
      <c r="C717" t="str">
        <f>'Claims Data'!C717</f>
        <v>PRV0024</v>
      </c>
      <c r="D717" s="1">
        <f>'Claims Data'!D717</f>
        <v>44957</v>
      </c>
      <c r="E717">
        <f>'Claims Data'!H717</f>
        <v>2.6</v>
      </c>
      <c r="F717">
        <f>'Claims Data'!J717</f>
        <v>200.41</v>
      </c>
      <c r="G717">
        <f>'Claims Data'!M717</f>
        <v>0</v>
      </c>
      <c r="H717" t="b">
        <f>'Claims Data'!L717</f>
        <v>0</v>
      </c>
      <c r="I717">
        <f t="shared" si="22"/>
        <v>0</v>
      </c>
      <c r="J717" t="str">
        <f t="shared" si="23"/>
        <v>Low Risk</v>
      </c>
    </row>
    <row r="718" spans="1:10" x14ac:dyDescent="0.2">
      <c r="A718" t="str">
        <f>'Claims Data'!A718</f>
        <v>CLM00717</v>
      </c>
      <c r="B718" t="str">
        <f>'Claims Data'!B718</f>
        <v>PAT0100</v>
      </c>
      <c r="C718" t="str">
        <f>'Claims Data'!C718</f>
        <v>PRV0020</v>
      </c>
      <c r="D718" s="1">
        <f>'Claims Data'!D718</f>
        <v>45009</v>
      </c>
      <c r="E718">
        <f>'Claims Data'!H718</f>
        <v>25.6</v>
      </c>
      <c r="F718">
        <f>'Claims Data'!J718</f>
        <v>1500</v>
      </c>
      <c r="G718" t="str">
        <f>'Claims Data'!M718</f>
        <v>phantom_round_amount</v>
      </c>
      <c r="H718" t="b">
        <f>'Claims Data'!L718</f>
        <v>1</v>
      </c>
      <c r="I718">
        <f t="shared" si="22"/>
        <v>80</v>
      </c>
      <c r="J718" t="str">
        <f t="shared" si="23"/>
        <v>High Risk</v>
      </c>
    </row>
    <row r="719" spans="1:10" x14ac:dyDescent="0.2">
      <c r="A719" t="str">
        <f>'Claims Data'!A719</f>
        <v>CLM00718</v>
      </c>
      <c r="B719" t="str">
        <f>'Claims Data'!B719</f>
        <v>PAT0165</v>
      </c>
      <c r="C719" t="str">
        <f>'Claims Data'!C719</f>
        <v>PRV0002</v>
      </c>
      <c r="D719" s="1">
        <f>'Claims Data'!D719</f>
        <v>45529</v>
      </c>
      <c r="E719">
        <f>'Claims Data'!H719</f>
        <v>6.2</v>
      </c>
      <c r="F719">
        <f>'Claims Data'!J719</f>
        <v>172.48</v>
      </c>
      <c r="G719">
        <f>'Claims Data'!M719</f>
        <v>0</v>
      </c>
      <c r="H719" t="b">
        <f>'Claims Data'!L719</f>
        <v>0</v>
      </c>
      <c r="I719">
        <f t="shared" si="22"/>
        <v>0</v>
      </c>
      <c r="J719" t="str">
        <f t="shared" si="23"/>
        <v>Low Risk</v>
      </c>
    </row>
    <row r="720" spans="1:10" x14ac:dyDescent="0.2">
      <c r="A720" t="str">
        <f>'Claims Data'!A720</f>
        <v>CLM00719</v>
      </c>
      <c r="B720" t="str">
        <f>'Claims Data'!B720</f>
        <v>PAT0027</v>
      </c>
      <c r="C720" t="str">
        <f>'Claims Data'!C720</f>
        <v>PRV0003</v>
      </c>
      <c r="D720" s="1">
        <f>'Claims Data'!D720</f>
        <v>45460</v>
      </c>
      <c r="E720">
        <f>'Claims Data'!H720</f>
        <v>4.5</v>
      </c>
      <c r="F720">
        <f>'Claims Data'!J720</f>
        <v>325.29000000000002</v>
      </c>
      <c r="G720">
        <f>'Claims Data'!M720</f>
        <v>0</v>
      </c>
      <c r="H720" t="b">
        <f>'Claims Data'!L720</f>
        <v>0</v>
      </c>
      <c r="I720">
        <f t="shared" si="22"/>
        <v>0</v>
      </c>
      <c r="J720" t="str">
        <f t="shared" si="23"/>
        <v>Low Risk</v>
      </c>
    </row>
    <row r="721" spans="1:10" x14ac:dyDescent="0.2">
      <c r="A721" t="str">
        <f>'Claims Data'!A721</f>
        <v>CLM00720</v>
      </c>
      <c r="B721" t="str">
        <f>'Claims Data'!B721</f>
        <v>PAT0046</v>
      </c>
      <c r="C721" t="str">
        <f>'Claims Data'!C721</f>
        <v>PRV0006</v>
      </c>
      <c r="D721" s="1">
        <f>'Claims Data'!D721</f>
        <v>45329</v>
      </c>
      <c r="E721">
        <f>'Claims Data'!H721</f>
        <v>7.8</v>
      </c>
      <c r="F721">
        <f>'Claims Data'!J721</f>
        <v>220.18</v>
      </c>
      <c r="G721">
        <f>'Claims Data'!M721</f>
        <v>0</v>
      </c>
      <c r="H721" t="b">
        <f>'Claims Data'!L721</f>
        <v>0</v>
      </c>
      <c r="I721">
        <f t="shared" si="22"/>
        <v>0</v>
      </c>
      <c r="J721" t="str">
        <f t="shared" si="23"/>
        <v>Low Risk</v>
      </c>
    </row>
    <row r="722" spans="1:10" x14ac:dyDescent="0.2">
      <c r="A722" t="str">
        <f>'Claims Data'!A722</f>
        <v>CLM00721</v>
      </c>
      <c r="B722" t="str">
        <f>'Claims Data'!B722</f>
        <v>PAT0011</v>
      </c>
      <c r="C722" t="str">
        <f>'Claims Data'!C722</f>
        <v>PRV0021</v>
      </c>
      <c r="D722" s="1">
        <f>'Claims Data'!D722</f>
        <v>45173</v>
      </c>
      <c r="E722">
        <f>'Claims Data'!H722</f>
        <v>3.2</v>
      </c>
      <c r="F722">
        <f>'Claims Data'!J722</f>
        <v>246.82</v>
      </c>
      <c r="G722">
        <f>'Claims Data'!M722</f>
        <v>0</v>
      </c>
      <c r="H722" t="b">
        <f>'Claims Data'!L722</f>
        <v>0</v>
      </c>
      <c r="I722">
        <f t="shared" si="22"/>
        <v>0</v>
      </c>
      <c r="J722" t="str">
        <f t="shared" si="23"/>
        <v>Low Risk</v>
      </c>
    </row>
    <row r="723" spans="1:10" x14ac:dyDescent="0.2">
      <c r="A723" t="str">
        <f>'Claims Data'!A723</f>
        <v>CLM00722</v>
      </c>
      <c r="B723" t="str">
        <f>'Claims Data'!B723</f>
        <v>PAT0078</v>
      </c>
      <c r="C723" t="str">
        <f>'Claims Data'!C723</f>
        <v>PRV0038</v>
      </c>
      <c r="D723" s="1">
        <f>'Claims Data'!D723</f>
        <v>45560</v>
      </c>
      <c r="E723">
        <f>'Claims Data'!H723</f>
        <v>7.5</v>
      </c>
      <c r="F723">
        <f>'Claims Data'!J723</f>
        <v>504.58</v>
      </c>
      <c r="G723">
        <f>'Claims Data'!M723</f>
        <v>0</v>
      </c>
      <c r="H723" t="b">
        <f>'Claims Data'!L723</f>
        <v>0</v>
      </c>
      <c r="I723">
        <f t="shared" si="22"/>
        <v>0</v>
      </c>
      <c r="J723" t="str">
        <f t="shared" si="23"/>
        <v>Low Risk</v>
      </c>
    </row>
    <row r="724" spans="1:10" x14ac:dyDescent="0.2">
      <c r="A724" t="str">
        <f>'Claims Data'!A724</f>
        <v>CLM00723</v>
      </c>
      <c r="B724" t="str">
        <f>'Claims Data'!B724</f>
        <v>PAT0054</v>
      </c>
      <c r="C724" t="str">
        <f>'Claims Data'!C724</f>
        <v>PRV0009</v>
      </c>
      <c r="D724" s="1">
        <f>'Claims Data'!D724</f>
        <v>45264</v>
      </c>
      <c r="E724">
        <f>'Claims Data'!H724</f>
        <v>6.5</v>
      </c>
      <c r="F724">
        <f>'Claims Data'!J724</f>
        <v>375.68</v>
      </c>
      <c r="G724">
        <f>'Claims Data'!M724</f>
        <v>0</v>
      </c>
      <c r="H724" t="b">
        <f>'Claims Data'!L724</f>
        <v>0</v>
      </c>
      <c r="I724">
        <f t="shared" si="22"/>
        <v>0</v>
      </c>
      <c r="J724" t="str">
        <f t="shared" si="23"/>
        <v>Low Risk</v>
      </c>
    </row>
    <row r="725" spans="1:10" x14ac:dyDescent="0.2">
      <c r="A725" t="str">
        <f>'Claims Data'!A725</f>
        <v>CLM00724</v>
      </c>
      <c r="B725" t="str">
        <f>'Claims Data'!B725</f>
        <v>PAT0251</v>
      </c>
      <c r="C725" t="str">
        <f>'Claims Data'!C725</f>
        <v>PRV0029</v>
      </c>
      <c r="D725" s="1">
        <f>'Claims Data'!D725</f>
        <v>44945</v>
      </c>
      <c r="E725">
        <f>'Claims Data'!H725</f>
        <v>24.1</v>
      </c>
      <c r="F725">
        <f>'Claims Data'!J725</f>
        <v>2000</v>
      </c>
      <c r="G725" t="str">
        <f>'Claims Data'!M725</f>
        <v>phantom_round_amount</v>
      </c>
      <c r="H725" t="b">
        <f>'Claims Data'!L725</f>
        <v>1</v>
      </c>
      <c r="I725">
        <f t="shared" si="22"/>
        <v>80</v>
      </c>
      <c r="J725" t="str">
        <f t="shared" si="23"/>
        <v>High Risk</v>
      </c>
    </row>
    <row r="726" spans="1:10" x14ac:dyDescent="0.2">
      <c r="A726" t="str">
        <f>'Claims Data'!A726</f>
        <v>CLM00725</v>
      </c>
      <c r="B726" t="str">
        <f>'Claims Data'!B726</f>
        <v>PAT0158</v>
      </c>
      <c r="C726" t="str">
        <f>'Claims Data'!C726</f>
        <v>PRV0055</v>
      </c>
      <c r="D726" s="1">
        <f>'Claims Data'!D726</f>
        <v>45499</v>
      </c>
      <c r="E726">
        <f>'Claims Data'!H726</f>
        <v>19.5</v>
      </c>
      <c r="F726">
        <f>'Claims Data'!J726</f>
        <v>1286.22</v>
      </c>
      <c r="G726" t="str">
        <f>'Claims Data'!M726</f>
        <v>inflated_hours</v>
      </c>
      <c r="H726" t="b">
        <f>'Claims Data'!L726</f>
        <v>1</v>
      </c>
      <c r="I726">
        <f t="shared" si="22"/>
        <v>50</v>
      </c>
      <c r="J726" t="str">
        <f t="shared" si="23"/>
        <v>Medium Risk</v>
      </c>
    </row>
    <row r="727" spans="1:10" x14ac:dyDescent="0.2">
      <c r="A727" t="str">
        <f>'Claims Data'!A727</f>
        <v>CLM00726</v>
      </c>
      <c r="B727" t="str">
        <f>'Claims Data'!B727</f>
        <v>PAT0041</v>
      </c>
      <c r="C727" t="str">
        <f>'Claims Data'!C727</f>
        <v>PRV0033</v>
      </c>
      <c r="D727" s="1">
        <f>'Claims Data'!D727</f>
        <v>45243</v>
      </c>
      <c r="E727">
        <f>'Claims Data'!H727</f>
        <v>6.4</v>
      </c>
      <c r="F727">
        <f>'Claims Data'!J727</f>
        <v>205.83</v>
      </c>
      <c r="G727">
        <f>'Claims Data'!M727</f>
        <v>0</v>
      </c>
      <c r="H727" t="b">
        <f>'Claims Data'!L727</f>
        <v>0</v>
      </c>
      <c r="I727">
        <f t="shared" si="22"/>
        <v>0</v>
      </c>
      <c r="J727" t="str">
        <f t="shared" si="23"/>
        <v>Low Risk</v>
      </c>
    </row>
    <row r="728" spans="1:10" x14ac:dyDescent="0.2">
      <c r="A728" t="str">
        <f>'Claims Data'!A728</f>
        <v>CLM00727</v>
      </c>
      <c r="B728" t="str">
        <f>'Claims Data'!B728</f>
        <v>PAT0119</v>
      </c>
      <c r="C728" t="str">
        <f>'Claims Data'!C728</f>
        <v>PRV0054</v>
      </c>
      <c r="D728" s="1">
        <f>'Claims Data'!D728</f>
        <v>45273</v>
      </c>
      <c r="E728">
        <f>'Claims Data'!H728</f>
        <v>30.6</v>
      </c>
      <c r="F728">
        <f>'Claims Data'!J728</f>
        <v>1250</v>
      </c>
      <c r="G728" t="str">
        <f>'Claims Data'!M728</f>
        <v>phantom_round_amount</v>
      </c>
      <c r="H728" t="b">
        <f>'Claims Data'!L728</f>
        <v>1</v>
      </c>
      <c r="I728">
        <f t="shared" si="22"/>
        <v>80</v>
      </c>
      <c r="J728" t="str">
        <f t="shared" si="23"/>
        <v>High Risk</v>
      </c>
    </row>
    <row r="729" spans="1:10" x14ac:dyDescent="0.2">
      <c r="A729" t="str">
        <f>'Claims Data'!A729</f>
        <v>CLM00728</v>
      </c>
      <c r="B729" t="str">
        <f>'Claims Data'!B729</f>
        <v>PAT0120</v>
      </c>
      <c r="C729" t="str">
        <f>'Claims Data'!C729</f>
        <v>PRV0016</v>
      </c>
      <c r="D729" s="1">
        <f>'Claims Data'!D729</f>
        <v>45370</v>
      </c>
      <c r="E729">
        <f>'Claims Data'!H729</f>
        <v>2</v>
      </c>
      <c r="F729">
        <f>'Claims Data'!J729</f>
        <v>105.96</v>
      </c>
      <c r="G729">
        <f>'Claims Data'!M729</f>
        <v>0</v>
      </c>
      <c r="H729" t="b">
        <f>'Claims Data'!L729</f>
        <v>0</v>
      </c>
      <c r="I729">
        <f t="shared" si="22"/>
        <v>0</v>
      </c>
      <c r="J729" t="str">
        <f t="shared" si="23"/>
        <v>Low Risk</v>
      </c>
    </row>
    <row r="730" spans="1:10" x14ac:dyDescent="0.2">
      <c r="A730" t="str">
        <f>'Claims Data'!A730</f>
        <v>CLM00729</v>
      </c>
      <c r="B730" t="str">
        <f>'Claims Data'!B730</f>
        <v>PAT0280</v>
      </c>
      <c r="C730" t="str">
        <f>'Claims Data'!C730</f>
        <v>PRV0004</v>
      </c>
      <c r="D730" s="1">
        <f>'Claims Data'!D730</f>
        <v>45316</v>
      </c>
      <c r="E730">
        <f>'Claims Data'!H730</f>
        <v>33.799999999999997</v>
      </c>
      <c r="F730">
        <f>'Claims Data'!J730</f>
        <v>1500</v>
      </c>
      <c r="G730" t="str">
        <f>'Claims Data'!M730</f>
        <v>phantom_round_amount</v>
      </c>
      <c r="H730" t="b">
        <f>'Claims Data'!L730</f>
        <v>1</v>
      </c>
      <c r="I730">
        <f t="shared" si="22"/>
        <v>80</v>
      </c>
      <c r="J730" t="str">
        <f t="shared" si="23"/>
        <v>High Risk</v>
      </c>
    </row>
    <row r="731" spans="1:10" x14ac:dyDescent="0.2">
      <c r="A731" t="str">
        <f>'Claims Data'!A731</f>
        <v>CLM00730</v>
      </c>
      <c r="B731" t="str">
        <f>'Claims Data'!B731</f>
        <v>PAT0125</v>
      </c>
      <c r="C731" t="str">
        <f>'Claims Data'!C731</f>
        <v>PRV0010</v>
      </c>
      <c r="D731" s="1">
        <f>'Claims Data'!D731</f>
        <v>44932</v>
      </c>
      <c r="E731">
        <f>'Claims Data'!H731</f>
        <v>4.9000000000000004</v>
      </c>
      <c r="F731">
        <f>'Claims Data'!J731</f>
        <v>290.87</v>
      </c>
      <c r="G731">
        <f>'Claims Data'!M731</f>
        <v>0</v>
      </c>
      <c r="H731" t="b">
        <f>'Claims Data'!L731</f>
        <v>0</v>
      </c>
      <c r="I731">
        <f t="shared" si="22"/>
        <v>0</v>
      </c>
      <c r="J731" t="str">
        <f t="shared" si="23"/>
        <v>Low Risk</v>
      </c>
    </row>
    <row r="732" spans="1:10" x14ac:dyDescent="0.2">
      <c r="A732" t="str">
        <f>'Claims Data'!A732</f>
        <v>CLM00731</v>
      </c>
      <c r="B732" t="str">
        <f>'Claims Data'!B732</f>
        <v>PAT0114</v>
      </c>
      <c r="C732" t="str">
        <f>'Claims Data'!C732</f>
        <v>PRV0028</v>
      </c>
      <c r="D732" s="1">
        <f>'Claims Data'!D732</f>
        <v>44964</v>
      </c>
      <c r="E732">
        <f>'Claims Data'!H732</f>
        <v>6.7</v>
      </c>
      <c r="F732">
        <f>'Claims Data'!J732</f>
        <v>295.27999999999997</v>
      </c>
      <c r="G732">
        <f>'Claims Data'!M732</f>
        <v>0</v>
      </c>
      <c r="H732" t="b">
        <f>'Claims Data'!L732</f>
        <v>0</v>
      </c>
      <c r="I732">
        <f t="shared" si="22"/>
        <v>0</v>
      </c>
      <c r="J732" t="str">
        <f t="shared" si="23"/>
        <v>Low Risk</v>
      </c>
    </row>
    <row r="733" spans="1:10" x14ac:dyDescent="0.2">
      <c r="A733" t="str">
        <f>'Claims Data'!A733</f>
        <v>CLM00732</v>
      </c>
      <c r="B733" t="str">
        <f>'Claims Data'!B733</f>
        <v>PAT0088</v>
      </c>
      <c r="C733" t="str">
        <f>'Claims Data'!C733</f>
        <v>PRV0056</v>
      </c>
      <c r="D733" s="1">
        <f>'Claims Data'!D733</f>
        <v>45653</v>
      </c>
      <c r="E733">
        <f>'Claims Data'!H733</f>
        <v>5.0999999999999996</v>
      </c>
      <c r="F733">
        <f>'Claims Data'!J733</f>
        <v>368.1</v>
      </c>
      <c r="G733">
        <f>'Claims Data'!M733</f>
        <v>0</v>
      </c>
      <c r="H733" t="b">
        <f>'Claims Data'!L733</f>
        <v>0</v>
      </c>
      <c r="I733">
        <f t="shared" si="22"/>
        <v>0</v>
      </c>
      <c r="J733" t="str">
        <f t="shared" si="23"/>
        <v>Low Risk</v>
      </c>
    </row>
    <row r="734" spans="1:10" x14ac:dyDescent="0.2">
      <c r="A734" t="str">
        <f>'Claims Data'!A734</f>
        <v>CLM00733</v>
      </c>
      <c r="B734" t="str">
        <f>'Claims Data'!B734</f>
        <v>PAT0096</v>
      </c>
      <c r="C734" t="str">
        <f>'Claims Data'!C734</f>
        <v>PRV0011</v>
      </c>
      <c r="D734" s="1">
        <f>'Claims Data'!D734</f>
        <v>45507</v>
      </c>
      <c r="E734">
        <f>'Claims Data'!H734</f>
        <v>5.3</v>
      </c>
      <c r="F734">
        <f>'Claims Data'!J734</f>
        <v>260.79000000000002</v>
      </c>
      <c r="G734">
        <f>'Claims Data'!M734</f>
        <v>0</v>
      </c>
      <c r="H734" t="b">
        <f>'Claims Data'!L734</f>
        <v>0</v>
      </c>
      <c r="I734">
        <f t="shared" si="22"/>
        <v>0</v>
      </c>
      <c r="J734" t="str">
        <f t="shared" si="23"/>
        <v>Low Risk</v>
      </c>
    </row>
    <row r="735" spans="1:10" x14ac:dyDescent="0.2">
      <c r="A735" t="str">
        <f>'Claims Data'!A735</f>
        <v>CLM00734</v>
      </c>
      <c r="B735" t="str">
        <f>'Claims Data'!B735</f>
        <v>PAT0135</v>
      </c>
      <c r="C735" t="str">
        <f>'Claims Data'!C735</f>
        <v>PRV0027</v>
      </c>
      <c r="D735" s="1">
        <f>'Claims Data'!D735</f>
        <v>45445</v>
      </c>
      <c r="E735">
        <f>'Claims Data'!H735</f>
        <v>7.3</v>
      </c>
      <c r="F735">
        <f>'Claims Data'!J735</f>
        <v>473.04</v>
      </c>
      <c r="G735">
        <f>'Claims Data'!M735</f>
        <v>0</v>
      </c>
      <c r="H735" t="b">
        <f>'Claims Data'!L735</f>
        <v>0</v>
      </c>
      <c r="I735">
        <f t="shared" si="22"/>
        <v>0</v>
      </c>
      <c r="J735" t="str">
        <f t="shared" si="23"/>
        <v>Low Risk</v>
      </c>
    </row>
    <row r="736" spans="1:10" x14ac:dyDescent="0.2">
      <c r="A736" t="str">
        <f>'Claims Data'!A736</f>
        <v>CLM00735</v>
      </c>
      <c r="B736" t="str">
        <f>'Claims Data'!B736</f>
        <v>PAT0265</v>
      </c>
      <c r="C736" t="str">
        <f>'Claims Data'!C736</f>
        <v>PRV0005</v>
      </c>
      <c r="D736" s="1">
        <f>'Claims Data'!D736</f>
        <v>45281</v>
      </c>
      <c r="E736">
        <f>'Claims Data'!H736</f>
        <v>3.8</v>
      </c>
      <c r="F736">
        <f>'Claims Data'!J736</f>
        <v>311.67</v>
      </c>
      <c r="G736">
        <f>'Claims Data'!M736</f>
        <v>0</v>
      </c>
      <c r="H736" t="b">
        <f>'Claims Data'!L736</f>
        <v>0</v>
      </c>
      <c r="I736">
        <f t="shared" si="22"/>
        <v>0</v>
      </c>
      <c r="J736" t="str">
        <f t="shared" si="23"/>
        <v>Low Risk</v>
      </c>
    </row>
    <row r="737" spans="1:10" x14ac:dyDescent="0.2">
      <c r="A737" t="str">
        <f>'Claims Data'!A737</f>
        <v>CLM00736</v>
      </c>
      <c r="B737" t="str">
        <f>'Claims Data'!B737</f>
        <v>PAT0239</v>
      </c>
      <c r="C737" t="str">
        <f>'Claims Data'!C737</f>
        <v>PRV0028</v>
      </c>
      <c r="D737" s="1">
        <f>'Claims Data'!D737</f>
        <v>45408</v>
      </c>
      <c r="E737">
        <f>'Claims Data'!H737</f>
        <v>8</v>
      </c>
      <c r="F737">
        <f>'Claims Data'!J737</f>
        <v>595.37</v>
      </c>
      <c r="G737">
        <f>'Claims Data'!M737</f>
        <v>0</v>
      </c>
      <c r="H737" t="b">
        <f>'Claims Data'!L737</f>
        <v>0</v>
      </c>
      <c r="I737">
        <f t="shared" si="22"/>
        <v>0</v>
      </c>
      <c r="J737" t="str">
        <f t="shared" si="23"/>
        <v>Low Risk</v>
      </c>
    </row>
    <row r="738" spans="1:10" x14ac:dyDescent="0.2">
      <c r="A738" t="str">
        <f>'Claims Data'!A738</f>
        <v>CLM00737</v>
      </c>
      <c r="B738" t="str">
        <f>'Claims Data'!B738</f>
        <v>PAT0090</v>
      </c>
      <c r="C738" t="str">
        <f>'Claims Data'!C738</f>
        <v>PRV0046</v>
      </c>
      <c r="D738" s="1">
        <f>'Claims Data'!D738</f>
        <v>45075</v>
      </c>
      <c r="E738">
        <f>'Claims Data'!H738</f>
        <v>2.7</v>
      </c>
      <c r="F738">
        <f>'Claims Data'!J738</f>
        <v>123.55</v>
      </c>
      <c r="G738">
        <f>'Claims Data'!M738</f>
        <v>0</v>
      </c>
      <c r="H738" t="b">
        <f>'Claims Data'!L738</f>
        <v>0</v>
      </c>
      <c r="I738">
        <f t="shared" si="22"/>
        <v>0</v>
      </c>
      <c r="J738" t="str">
        <f t="shared" si="23"/>
        <v>Low Risk</v>
      </c>
    </row>
    <row r="739" spans="1:10" x14ac:dyDescent="0.2">
      <c r="A739" t="str">
        <f>'Claims Data'!A739</f>
        <v>CLM00738</v>
      </c>
      <c r="B739" t="str">
        <f>'Claims Data'!B739</f>
        <v>PAT0089</v>
      </c>
      <c r="C739" t="str">
        <f>'Claims Data'!C739</f>
        <v>PRV0004</v>
      </c>
      <c r="D739" s="1">
        <f>'Claims Data'!D739</f>
        <v>45317</v>
      </c>
      <c r="E739">
        <f>'Claims Data'!H739</f>
        <v>7.8</v>
      </c>
      <c r="F739">
        <f>'Claims Data'!J739</f>
        <v>514.42999999999995</v>
      </c>
      <c r="G739">
        <f>'Claims Data'!M739</f>
        <v>0</v>
      </c>
      <c r="H739" t="b">
        <f>'Claims Data'!L739</f>
        <v>0</v>
      </c>
      <c r="I739">
        <f t="shared" si="22"/>
        <v>0</v>
      </c>
      <c r="J739" t="str">
        <f t="shared" si="23"/>
        <v>Low Risk</v>
      </c>
    </row>
    <row r="740" spans="1:10" x14ac:dyDescent="0.2">
      <c r="A740" t="str">
        <f>'Claims Data'!A740</f>
        <v>CLM00739</v>
      </c>
      <c r="B740" t="str">
        <f>'Claims Data'!B740</f>
        <v>PAT0242</v>
      </c>
      <c r="C740" t="str">
        <f>'Claims Data'!C740</f>
        <v>PRV0037</v>
      </c>
      <c r="D740" s="1">
        <f>'Claims Data'!D740</f>
        <v>44986</v>
      </c>
      <c r="E740">
        <f>'Claims Data'!H740</f>
        <v>7.5</v>
      </c>
      <c r="F740">
        <f>'Claims Data'!J740</f>
        <v>612.74</v>
      </c>
      <c r="G740">
        <f>'Claims Data'!M740</f>
        <v>0</v>
      </c>
      <c r="H740" t="b">
        <f>'Claims Data'!L740</f>
        <v>0</v>
      </c>
      <c r="I740">
        <f t="shared" si="22"/>
        <v>0</v>
      </c>
      <c r="J740" t="str">
        <f t="shared" si="23"/>
        <v>Low Risk</v>
      </c>
    </row>
    <row r="741" spans="1:10" x14ac:dyDescent="0.2">
      <c r="A741" t="str">
        <f>'Claims Data'!A741</f>
        <v>CLM00740</v>
      </c>
      <c r="B741" t="str">
        <f>'Claims Data'!B741</f>
        <v>PAT0185</v>
      </c>
      <c r="C741" t="str">
        <f>'Claims Data'!C741</f>
        <v>PRV0052</v>
      </c>
      <c r="D741" s="1">
        <f>'Claims Data'!D741</f>
        <v>45133</v>
      </c>
      <c r="E741">
        <f>'Claims Data'!H741</f>
        <v>5.2</v>
      </c>
      <c r="F741">
        <f>'Claims Data'!J741</f>
        <v>218.24</v>
      </c>
      <c r="G741">
        <f>'Claims Data'!M741</f>
        <v>0</v>
      </c>
      <c r="H741" t="b">
        <f>'Claims Data'!L741</f>
        <v>0</v>
      </c>
      <c r="I741">
        <f t="shared" si="22"/>
        <v>0</v>
      </c>
      <c r="J741" t="str">
        <f t="shared" si="23"/>
        <v>Low Risk</v>
      </c>
    </row>
    <row r="742" spans="1:10" x14ac:dyDescent="0.2">
      <c r="A742" t="str">
        <f>'Claims Data'!A742</f>
        <v>CLM00741</v>
      </c>
      <c r="B742" t="str">
        <f>'Claims Data'!B742</f>
        <v>PAT0274</v>
      </c>
      <c r="C742" t="str">
        <f>'Claims Data'!C742</f>
        <v>PRV0057</v>
      </c>
      <c r="D742" s="1">
        <f>'Claims Data'!D742</f>
        <v>44950</v>
      </c>
      <c r="E742">
        <f>'Claims Data'!H742</f>
        <v>5.0999999999999996</v>
      </c>
      <c r="F742">
        <f>'Claims Data'!J742</f>
        <v>283.17</v>
      </c>
      <c r="G742">
        <f>'Claims Data'!M742</f>
        <v>0</v>
      </c>
      <c r="H742" t="b">
        <f>'Claims Data'!L742</f>
        <v>0</v>
      </c>
      <c r="I742">
        <f t="shared" si="22"/>
        <v>0</v>
      </c>
      <c r="J742" t="str">
        <f t="shared" si="23"/>
        <v>Low Risk</v>
      </c>
    </row>
    <row r="743" spans="1:10" x14ac:dyDescent="0.2">
      <c r="A743" t="str">
        <f>'Claims Data'!A743</f>
        <v>CLM00742</v>
      </c>
      <c r="B743" t="str">
        <f>'Claims Data'!B743</f>
        <v>PAT0161</v>
      </c>
      <c r="C743" t="str">
        <f>'Claims Data'!C743</f>
        <v>PRV0018</v>
      </c>
      <c r="D743" s="1">
        <f>'Claims Data'!D743</f>
        <v>45293</v>
      </c>
      <c r="E743">
        <f>'Claims Data'!H743</f>
        <v>3.8</v>
      </c>
      <c r="F743">
        <f>'Claims Data'!J743</f>
        <v>243.55</v>
      </c>
      <c r="G743">
        <f>'Claims Data'!M743</f>
        <v>0</v>
      </c>
      <c r="H743" t="b">
        <f>'Claims Data'!L743</f>
        <v>0</v>
      </c>
      <c r="I743">
        <f t="shared" si="22"/>
        <v>0</v>
      </c>
      <c r="J743" t="str">
        <f t="shared" si="23"/>
        <v>Low Risk</v>
      </c>
    </row>
    <row r="744" spans="1:10" x14ac:dyDescent="0.2">
      <c r="A744" t="str">
        <f>'Claims Data'!A744</f>
        <v>CLM00743</v>
      </c>
      <c r="B744" t="str">
        <f>'Claims Data'!B744</f>
        <v>PAT0078</v>
      </c>
      <c r="C744" t="str">
        <f>'Claims Data'!C744</f>
        <v>PRV0058</v>
      </c>
      <c r="D744" s="1">
        <f>'Claims Data'!D744</f>
        <v>45066</v>
      </c>
      <c r="E744">
        <f>'Claims Data'!H744</f>
        <v>7.7</v>
      </c>
      <c r="F744">
        <f>'Claims Data'!J744</f>
        <v>269.83999999999997</v>
      </c>
      <c r="G744">
        <f>'Claims Data'!M744</f>
        <v>0</v>
      </c>
      <c r="H744" t="b">
        <f>'Claims Data'!L744</f>
        <v>0</v>
      </c>
      <c r="I744">
        <f t="shared" si="22"/>
        <v>0</v>
      </c>
      <c r="J744" t="str">
        <f t="shared" si="23"/>
        <v>Low Risk</v>
      </c>
    </row>
    <row r="745" spans="1:10" x14ac:dyDescent="0.2">
      <c r="A745" t="str">
        <f>'Claims Data'!A745</f>
        <v>CLM00744</v>
      </c>
      <c r="B745" t="str">
        <f>'Claims Data'!B745</f>
        <v>PAT0290</v>
      </c>
      <c r="C745" t="str">
        <f>'Claims Data'!C745</f>
        <v>PRV0049</v>
      </c>
      <c r="D745" s="1">
        <f>'Claims Data'!D745</f>
        <v>45033</v>
      </c>
      <c r="E745">
        <f>'Claims Data'!H745</f>
        <v>5.8</v>
      </c>
      <c r="F745">
        <f>'Claims Data'!J745</f>
        <v>218.35</v>
      </c>
      <c r="G745" t="str">
        <f>'Claims Data'!M745</f>
        <v>duplicate_claim</v>
      </c>
      <c r="H745" t="b">
        <f>'Claims Data'!L745</f>
        <v>1</v>
      </c>
      <c r="I745">
        <f t="shared" si="22"/>
        <v>10</v>
      </c>
      <c r="J745" t="str">
        <f t="shared" si="23"/>
        <v>Low Risk</v>
      </c>
    </row>
    <row r="746" spans="1:10" x14ac:dyDescent="0.2">
      <c r="A746" t="str">
        <f>'Claims Data'!A746</f>
        <v>CLM00745</v>
      </c>
      <c r="B746" t="str">
        <f>'Claims Data'!B746</f>
        <v>PAT0217</v>
      </c>
      <c r="C746" t="str">
        <f>'Claims Data'!C746</f>
        <v>PRV0037</v>
      </c>
      <c r="D746" s="1">
        <f>'Claims Data'!D746</f>
        <v>45252</v>
      </c>
      <c r="E746">
        <f>'Claims Data'!H746</f>
        <v>7.2</v>
      </c>
      <c r="F746">
        <f>'Claims Data'!J746</f>
        <v>363.26</v>
      </c>
      <c r="G746">
        <f>'Claims Data'!M746</f>
        <v>0</v>
      </c>
      <c r="H746" t="b">
        <f>'Claims Data'!L746</f>
        <v>0</v>
      </c>
      <c r="I746">
        <f t="shared" si="22"/>
        <v>0</v>
      </c>
      <c r="J746" t="str">
        <f t="shared" si="23"/>
        <v>Low Risk</v>
      </c>
    </row>
    <row r="747" spans="1:10" x14ac:dyDescent="0.2">
      <c r="A747" t="str">
        <f>'Claims Data'!A747</f>
        <v>CLM00746</v>
      </c>
      <c r="B747" t="str">
        <f>'Claims Data'!B747</f>
        <v>PAT0050</v>
      </c>
      <c r="C747" t="str">
        <f>'Claims Data'!C747</f>
        <v>PRV0041</v>
      </c>
      <c r="D747" s="1">
        <f>'Claims Data'!D747</f>
        <v>45137</v>
      </c>
      <c r="E747">
        <f>'Claims Data'!H747</f>
        <v>5.2</v>
      </c>
      <c r="F747">
        <f>'Claims Data'!J747</f>
        <v>349.26</v>
      </c>
      <c r="G747">
        <f>'Claims Data'!M747</f>
        <v>0</v>
      </c>
      <c r="H747" t="b">
        <f>'Claims Data'!L747</f>
        <v>0</v>
      </c>
      <c r="I747">
        <f t="shared" si="22"/>
        <v>0</v>
      </c>
      <c r="J747" t="str">
        <f t="shared" si="23"/>
        <v>Low Risk</v>
      </c>
    </row>
    <row r="748" spans="1:10" x14ac:dyDescent="0.2">
      <c r="A748" t="str">
        <f>'Claims Data'!A748</f>
        <v>CLM00747</v>
      </c>
      <c r="B748" t="str">
        <f>'Claims Data'!B748</f>
        <v>PAT0121</v>
      </c>
      <c r="C748" t="str">
        <f>'Claims Data'!C748</f>
        <v>PRV0014</v>
      </c>
      <c r="D748" s="1">
        <f>'Claims Data'!D748</f>
        <v>45405</v>
      </c>
      <c r="E748">
        <f>'Claims Data'!H748</f>
        <v>5.9</v>
      </c>
      <c r="F748">
        <f>'Claims Data'!J748</f>
        <v>480.17</v>
      </c>
      <c r="G748">
        <f>'Claims Data'!M748</f>
        <v>0</v>
      </c>
      <c r="H748" t="b">
        <f>'Claims Data'!L748</f>
        <v>0</v>
      </c>
      <c r="I748">
        <f t="shared" si="22"/>
        <v>0</v>
      </c>
      <c r="J748" t="str">
        <f t="shared" si="23"/>
        <v>Low Risk</v>
      </c>
    </row>
    <row r="749" spans="1:10" x14ac:dyDescent="0.2">
      <c r="A749" t="str">
        <f>'Claims Data'!A749</f>
        <v>CLM00748</v>
      </c>
      <c r="B749" t="str">
        <f>'Claims Data'!B749</f>
        <v>PAT0072</v>
      </c>
      <c r="C749" t="str">
        <f>'Claims Data'!C749</f>
        <v>PRV0043</v>
      </c>
      <c r="D749" s="1">
        <f>'Claims Data'!D749</f>
        <v>45218</v>
      </c>
      <c r="E749">
        <f>'Claims Data'!H749</f>
        <v>2.1</v>
      </c>
      <c r="F749">
        <f>'Claims Data'!J749</f>
        <v>142.83000000000001</v>
      </c>
      <c r="G749">
        <f>'Claims Data'!M749</f>
        <v>0</v>
      </c>
      <c r="H749" t="b">
        <f>'Claims Data'!L749</f>
        <v>0</v>
      </c>
      <c r="I749">
        <f t="shared" si="22"/>
        <v>0</v>
      </c>
      <c r="J749" t="str">
        <f t="shared" si="23"/>
        <v>Low Risk</v>
      </c>
    </row>
    <row r="750" spans="1:10" x14ac:dyDescent="0.2">
      <c r="A750" t="str">
        <f>'Claims Data'!A750</f>
        <v>CLM00749</v>
      </c>
      <c r="B750" t="str">
        <f>'Claims Data'!B750</f>
        <v>PAT0081</v>
      </c>
      <c r="C750" t="str">
        <f>'Claims Data'!C750</f>
        <v>PRV0051</v>
      </c>
      <c r="D750" s="1">
        <f>'Claims Data'!D750</f>
        <v>45569</v>
      </c>
      <c r="E750">
        <f>'Claims Data'!H750</f>
        <v>2.4</v>
      </c>
      <c r="F750">
        <f>'Claims Data'!J750</f>
        <v>85.63</v>
      </c>
      <c r="G750">
        <f>'Claims Data'!M750</f>
        <v>0</v>
      </c>
      <c r="H750" t="b">
        <f>'Claims Data'!L750</f>
        <v>0</v>
      </c>
      <c r="I750">
        <f t="shared" si="22"/>
        <v>0</v>
      </c>
      <c r="J750" t="str">
        <f t="shared" si="23"/>
        <v>Low Risk</v>
      </c>
    </row>
    <row r="751" spans="1:10" x14ac:dyDescent="0.2">
      <c r="A751" t="str">
        <f>'Claims Data'!A751</f>
        <v>CLM00750</v>
      </c>
      <c r="B751" t="str">
        <f>'Claims Data'!B751</f>
        <v>PAT0186</v>
      </c>
      <c r="C751" t="str">
        <f>'Claims Data'!C751</f>
        <v>PRV0004</v>
      </c>
      <c r="D751" s="1">
        <f>'Claims Data'!D751</f>
        <v>45612</v>
      </c>
      <c r="E751">
        <f>'Claims Data'!H751</f>
        <v>5.4</v>
      </c>
      <c r="F751">
        <f>'Claims Data'!J751</f>
        <v>208.76</v>
      </c>
      <c r="G751">
        <f>'Claims Data'!M751</f>
        <v>0</v>
      </c>
      <c r="H751" t="b">
        <f>'Claims Data'!L751</f>
        <v>0</v>
      </c>
      <c r="I751">
        <f t="shared" si="22"/>
        <v>0</v>
      </c>
      <c r="J751" t="str">
        <f t="shared" si="23"/>
        <v>Low Risk</v>
      </c>
    </row>
    <row r="752" spans="1:10" x14ac:dyDescent="0.2">
      <c r="A752" t="str">
        <f>'Claims Data'!A752</f>
        <v>CLM00751</v>
      </c>
      <c r="B752" t="str">
        <f>'Claims Data'!B752</f>
        <v>PAT0141</v>
      </c>
      <c r="C752" t="str">
        <f>'Claims Data'!C752</f>
        <v>PRV0001</v>
      </c>
      <c r="D752" s="1">
        <f>'Claims Data'!D752</f>
        <v>45249</v>
      </c>
      <c r="E752">
        <f>'Claims Data'!H752</f>
        <v>4.3</v>
      </c>
      <c r="F752">
        <f>'Claims Data'!J752</f>
        <v>270.10000000000002</v>
      </c>
      <c r="G752">
        <f>'Claims Data'!M752</f>
        <v>0</v>
      </c>
      <c r="H752" t="b">
        <f>'Claims Data'!L752</f>
        <v>0</v>
      </c>
      <c r="I752">
        <f t="shared" si="22"/>
        <v>0</v>
      </c>
      <c r="J752" t="str">
        <f t="shared" si="23"/>
        <v>Low Risk</v>
      </c>
    </row>
    <row r="753" spans="1:10" x14ac:dyDescent="0.2">
      <c r="A753" t="str">
        <f>'Claims Data'!A753</f>
        <v>CLM00752</v>
      </c>
      <c r="B753" t="str">
        <f>'Claims Data'!B753</f>
        <v>PAT0144</v>
      </c>
      <c r="C753" t="str">
        <f>'Claims Data'!C753</f>
        <v>PRV0051</v>
      </c>
      <c r="D753" s="1">
        <f>'Claims Data'!D753</f>
        <v>45054</v>
      </c>
      <c r="E753">
        <f>'Claims Data'!H753</f>
        <v>11.5</v>
      </c>
      <c r="F753">
        <f>'Claims Data'!J753</f>
        <v>750</v>
      </c>
      <c r="G753" t="str">
        <f>'Claims Data'!M753</f>
        <v>phantom_round_amount</v>
      </c>
      <c r="H753" t="b">
        <f>'Claims Data'!L753</f>
        <v>1</v>
      </c>
      <c r="I753">
        <f t="shared" si="22"/>
        <v>40</v>
      </c>
      <c r="J753" t="str">
        <f t="shared" si="23"/>
        <v>Medium Risk</v>
      </c>
    </row>
    <row r="754" spans="1:10" x14ac:dyDescent="0.2">
      <c r="A754" t="str">
        <f>'Claims Data'!A754</f>
        <v>CLM00753</v>
      </c>
      <c r="B754" t="str">
        <f>'Claims Data'!B754</f>
        <v>PAT0197</v>
      </c>
      <c r="C754" t="str">
        <f>'Claims Data'!C754</f>
        <v>PRV0008</v>
      </c>
      <c r="D754" s="1">
        <f>'Claims Data'!D754</f>
        <v>45364</v>
      </c>
      <c r="E754">
        <f>'Claims Data'!H754</f>
        <v>5.8</v>
      </c>
      <c r="F754">
        <f>'Claims Data'!J754</f>
        <v>360.19</v>
      </c>
      <c r="G754">
        <f>'Claims Data'!M754</f>
        <v>0</v>
      </c>
      <c r="H754" t="b">
        <f>'Claims Data'!L754</f>
        <v>0</v>
      </c>
      <c r="I754">
        <f t="shared" si="22"/>
        <v>0</v>
      </c>
      <c r="J754" t="str">
        <f t="shared" si="23"/>
        <v>Low Risk</v>
      </c>
    </row>
    <row r="755" spans="1:10" x14ac:dyDescent="0.2">
      <c r="A755" t="str">
        <f>'Claims Data'!A755</f>
        <v>CLM00754</v>
      </c>
      <c r="B755" t="str">
        <f>'Claims Data'!B755</f>
        <v>PAT0119</v>
      </c>
      <c r="C755" t="str">
        <f>'Claims Data'!C755</f>
        <v>PRV0048</v>
      </c>
      <c r="D755" s="1">
        <f>'Claims Data'!D755</f>
        <v>45209</v>
      </c>
      <c r="E755">
        <f>'Claims Data'!H755</f>
        <v>6.2</v>
      </c>
      <c r="F755">
        <f>'Claims Data'!J755</f>
        <v>182</v>
      </c>
      <c r="G755">
        <f>'Claims Data'!M755</f>
        <v>0</v>
      </c>
      <c r="H755" t="b">
        <f>'Claims Data'!L755</f>
        <v>0</v>
      </c>
      <c r="I755">
        <f t="shared" si="22"/>
        <v>0</v>
      </c>
      <c r="J755" t="str">
        <f t="shared" si="23"/>
        <v>Low Risk</v>
      </c>
    </row>
    <row r="756" spans="1:10" x14ac:dyDescent="0.2">
      <c r="A756" t="str">
        <f>'Claims Data'!A756</f>
        <v>CLM00755</v>
      </c>
      <c r="B756" t="str">
        <f>'Claims Data'!B756</f>
        <v>PAT0234</v>
      </c>
      <c r="C756" t="str">
        <f>'Claims Data'!C756</f>
        <v>PRV0024</v>
      </c>
      <c r="D756" s="1">
        <f>'Claims Data'!D756</f>
        <v>44998</v>
      </c>
      <c r="E756">
        <f>'Claims Data'!H756</f>
        <v>3.7</v>
      </c>
      <c r="F756">
        <f>'Claims Data'!J756</f>
        <v>244.77</v>
      </c>
      <c r="G756">
        <f>'Claims Data'!M756</f>
        <v>0</v>
      </c>
      <c r="H756" t="b">
        <f>'Claims Data'!L756</f>
        <v>0</v>
      </c>
      <c r="I756">
        <f t="shared" si="22"/>
        <v>0</v>
      </c>
      <c r="J756" t="str">
        <f t="shared" si="23"/>
        <v>Low Risk</v>
      </c>
    </row>
    <row r="757" spans="1:10" x14ac:dyDescent="0.2">
      <c r="A757" t="str">
        <f>'Claims Data'!A757</f>
        <v>CLM00756</v>
      </c>
      <c r="B757" t="str">
        <f>'Claims Data'!B757</f>
        <v>PAT0133</v>
      </c>
      <c r="C757" t="str">
        <f>'Claims Data'!C757</f>
        <v>PRV0053</v>
      </c>
      <c r="D757" s="1">
        <f>'Claims Data'!D757</f>
        <v>45337</v>
      </c>
      <c r="E757">
        <f>'Claims Data'!H757</f>
        <v>3.7</v>
      </c>
      <c r="F757">
        <f>'Claims Data'!J757</f>
        <v>298.23</v>
      </c>
      <c r="G757">
        <f>'Claims Data'!M757</f>
        <v>0</v>
      </c>
      <c r="H757" t="b">
        <f>'Claims Data'!L757</f>
        <v>0</v>
      </c>
      <c r="I757">
        <f t="shared" si="22"/>
        <v>0</v>
      </c>
      <c r="J757" t="str">
        <f t="shared" si="23"/>
        <v>Low Risk</v>
      </c>
    </row>
    <row r="758" spans="1:10" x14ac:dyDescent="0.2">
      <c r="A758" t="str">
        <f>'Claims Data'!A758</f>
        <v>CLM00757</v>
      </c>
      <c r="B758" t="str">
        <f>'Claims Data'!B758</f>
        <v>PAT0176</v>
      </c>
      <c r="C758" t="str">
        <f>'Claims Data'!C758</f>
        <v>PRV0047</v>
      </c>
      <c r="D758" s="1">
        <f>'Claims Data'!D758</f>
        <v>45052</v>
      </c>
      <c r="E758">
        <f>'Claims Data'!H758</f>
        <v>6.9</v>
      </c>
      <c r="F758">
        <f>'Claims Data'!J758</f>
        <v>185.26</v>
      </c>
      <c r="G758">
        <f>'Claims Data'!M758</f>
        <v>0</v>
      </c>
      <c r="H758" t="b">
        <f>'Claims Data'!L758</f>
        <v>0</v>
      </c>
      <c r="I758">
        <f t="shared" si="22"/>
        <v>0</v>
      </c>
      <c r="J758" t="str">
        <f t="shared" si="23"/>
        <v>Low Risk</v>
      </c>
    </row>
    <row r="759" spans="1:10" x14ac:dyDescent="0.2">
      <c r="A759" t="str">
        <f>'Claims Data'!A759</f>
        <v>CLM00758</v>
      </c>
      <c r="B759" t="str">
        <f>'Claims Data'!B759</f>
        <v>PAT0298</v>
      </c>
      <c r="C759" t="str">
        <f>'Claims Data'!C759</f>
        <v>PRV0038</v>
      </c>
      <c r="D759" s="1">
        <f>'Claims Data'!D759</f>
        <v>45237</v>
      </c>
      <c r="E759">
        <f>'Claims Data'!H759</f>
        <v>2.8</v>
      </c>
      <c r="F759">
        <f>'Claims Data'!J759</f>
        <v>135.69</v>
      </c>
      <c r="G759">
        <f>'Claims Data'!M759</f>
        <v>0</v>
      </c>
      <c r="H759" t="b">
        <f>'Claims Data'!L759</f>
        <v>0</v>
      </c>
      <c r="I759">
        <f t="shared" si="22"/>
        <v>0</v>
      </c>
      <c r="J759" t="str">
        <f t="shared" si="23"/>
        <v>Low Risk</v>
      </c>
    </row>
    <row r="760" spans="1:10" x14ac:dyDescent="0.2">
      <c r="A760" t="str">
        <f>'Claims Data'!A760</f>
        <v>CLM00759</v>
      </c>
      <c r="B760" t="str">
        <f>'Claims Data'!B760</f>
        <v>PAT0175</v>
      </c>
      <c r="C760" t="str">
        <f>'Claims Data'!C760</f>
        <v>PRV0018</v>
      </c>
      <c r="D760" s="1">
        <f>'Claims Data'!D760</f>
        <v>45202</v>
      </c>
      <c r="E760">
        <f>'Claims Data'!H760</f>
        <v>18.3</v>
      </c>
      <c r="F760">
        <f>'Claims Data'!J760</f>
        <v>615.61</v>
      </c>
      <c r="G760" t="str">
        <f>'Claims Data'!M760</f>
        <v>inflated_hours</v>
      </c>
      <c r="H760" t="b">
        <f>'Claims Data'!L760</f>
        <v>1</v>
      </c>
      <c r="I760">
        <f t="shared" si="22"/>
        <v>50</v>
      </c>
      <c r="J760" t="str">
        <f t="shared" si="23"/>
        <v>Medium Risk</v>
      </c>
    </row>
    <row r="761" spans="1:10" x14ac:dyDescent="0.2">
      <c r="A761" t="str">
        <f>'Claims Data'!A761</f>
        <v>CLM00760</v>
      </c>
      <c r="B761" t="str">
        <f>'Claims Data'!B761</f>
        <v>PAT0184</v>
      </c>
      <c r="C761" t="str">
        <f>'Claims Data'!C761</f>
        <v>PRV0048</v>
      </c>
      <c r="D761" s="1">
        <f>'Claims Data'!D761</f>
        <v>45625</v>
      </c>
      <c r="E761">
        <f>'Claims Data'!H761</f>
        <v>7.7</v>
      </c>
      <c r="F761">
        <f>'Claims Data'!J761</f>
        <v>197.65</v>
      </c>
      <c r="G761">
        <f>'Claims Data'!M761</f>
        <v>0</v>
      </c>
      <c r="H761" t="b">
        <f>'Claims Data'!L761</f>
        <v>0</v>
      </c>
      <c r="I761">
        <f t="shared" si="22"/>
        <v>0</v>
      </c>
      <c r="J761" t="str">
        <f t="shared" si="23"/>
        <v>Low Risk</v>
      </c>
    </row>
    <row r="762" spans="1:10" x14ac:dyDescent="0.2">
      <c r="A762" t="str">
        <f>'Claims Data'!A762</f>
        <v>CLM00761</v>
      </c>
      <c r="B762" t="str">
        <f>'Claims Data'!B762</f>
        <v>PAT0063</v>
      </c>
      <c r="C762" t="str">
        <f>'Claims Data'!C762</f>
        <v>PRV0017</v>
      </c>
      <c r="D762" s="1">
        <f>'Claims Data'!D762</f>
        <v>44978</v>
      </c>
      <c r="E762">
        <f>'Claims Data'!H762</f>
        <v>2.7</v>
      </c>
      <c r="F762">
        <f>'Claims Data'!J762</f>
        <v>68.31</v>
      </c>
      <c r="G762">
        <f>'Claims Data'!M762</f>
        <v>0</v>
      </c>
      <c r="H762" t="b">
        <f>'Claims Data'!L762</f>
        <v>0</v>
      </c>
      <c r="I762">
        <f t="shared" si="22"/>
        <v>0</v>
      </c>
      <c r="J762" t="str">
        <f t="shared" si="23"/>
        <v>Low Risk</v>
      </c>
    </row>
    <row r="763" spans="1:10" x14ac:dyDescent="0.2">
      <c r="A763" t="str">
        <f>'Claims Data'!A763</f>
        <v>CLM00762</v>
      </c>
      <c r="B763" t="str">
        <f>'Claims Data'!B763</f>
        <v>PAT0233</v>
      </c>
      <c r="C763" t="str">
        <f>'Claims Data'!C763</f>
        <v>PRV0014</v>
      </c>
      <c r="D763" s="1">
        <f>'Claims Data'!D763</f>
        <v>45166</v>
      </c>
      <c r="E763">
        <f>'Claims Data'!H763</f>
        <v>5.2</v>
      </c>
      <c r="F763">
        <f>'Claims Data'!J763</f>
        <v>425.46</v>
      </c>
      <c r="G763">
        <f>'Claims Data'!M763</f>
        <v>0</v>
      </c>
      <c r="H763" t="b">
        <f>'Claims Data'!L763</f>
        <v>0</v>
      </c>
      <c r="I763">
        <f t="shared" si="22"/>
        <v>0</v>
      </c>
      <c r="J763" t="str">
        <f t="shared" si="23"/>
        <v>Low Risk</v>
      </c>
    </row>
    <row r="764" spans="1:10" x14ac:dyDescent="0.2">
      <c r="A764" t="str">
        <f>'Claims Data'!A764</f>
        <v>CLM00763</v>
      </c>
      <c r="B764" t="str">
        <f>'Claims Data'!B764</f>
        <v>PAT0039</v>
      </c>
      <c r="C764" t="str">
        <f>'Claims Data'!C764</f>
        <v>PRV0010</v>
      </c>
      <c r="D764" s="1">
        <f>'Claims Data'!D764</f>
        <v>44986</v>
      </c>
      <c r="E764">
        <f>'Claims Data'!H764</f>
        <v>6.5</v>
      </c>
      <c r="F764">
        <f>'Claims Data'!J764</f>
        <v>514.88</v>
      </c>
      <c r="G764" t="str">
        <f>'Claims Data'!M764</f>
        <v>duplicate_claim</v>
      </c>
      <c r="H764" t="b">
        <f>'Claims Data'!L764</f>
        <v>1</v>
      </c>
      <c r="I764">
        <f t="shared" si="22"/>
        <v>10</v>
      </c>
      <c r="J764" t="str">
        <f t="shared" si="23"/>
        <v>Low Risk</v>
      </c>
    </row>
    <row r="765" spans="1:10" x14ac:dyDescent="0.2">
      <c r="A765" t="str">
        <f>'Claims Data'!A765</f>
        <v>CLM00764</v>
      </c>
      <c r="B765" t="str">
        <f>'Claims Data'!B765</f>
        <v>PAT0262</v>
      </c>
      <c r="C765" t="str">
        <f>'Claims Data'!C765</f>
        <v>PRV0038</v>
      </c>
      <c r="D765" s="1">
        <f>'Claims Data'!D765</f>
        <v>45465</v>
      </c>
      <c r="E765">
        <f>'Claims Data'!H765</f>
        <v>4.5</v>
      </c>
      <c r="F765">
        <f>'Claims Data'!J765</f>
        <v>286.89999999999998</v>
      </c>
      <c r="G765">
        <f>'Claims Data'!M765</f>
        <v>0</v>
      </c>
      <c r="H765" t="b">
        <f>'Claims Data'!L765</f>
        <v>0</v>
      </c>
      <c r="I765">
        <f t="shared" si="22"/>
        <v>0</v>
      </c>
      <c r="J765" t="str">
        <f t="shared" si="23"/>
        <v>Low Risk</v>
      </c>
    </row>
    <row r="766" spans="1:10" x14ac:dyDescent="0.2">
      <c r="A766" t="str">
        <f>'Claims Data'!A766</f>
        <v>CLM00765</v>
      </c>
      <c r="B766" t="str">
        <f>'Claims Data'!B766</f>
        <v>PAT0075</v>
      </c>
      <c r="C766" t="str">
        <f>'Claims Data'!C766</f>
        <v>PRV0021</v>
      </c>
      <c r="D766" s="1">
        <f>'Claims Data'!D766</f>
        <v>45089</v>
      </c>
      <c r="E766">
        <f>'Claims Data'!H766</f>
        <v>26.1</v>
      </c>
      <c r="F766">
        <f>'Claims Data'!J766</f>
        <v>1000</v>
      </c>
      <c r="G766" t="str">
        <f>'Claims Data'!M766</f>
        <v>phantom_round_amount</v>
      </c>
      <c r="H766" t="b">
        <f>'Claims Data'!L766</f>
        <v>1</v>
      </c>
      <c r="I766">
        <f t="shared" si="22"/>
        <v>80</v>
      </c>
      <c r="J766" t="str">
        <f t="shared" si="23"/>
        <v>High Risk</v>
      </c>
    </row>
    <row r="767" spans="1:10" x14ac:dyDescent="0.2">
      <c r="A767" t="str">
        <f>'Claims Data'!A767</f>
        <v>CLM00766</v>
      </c>
      <c r="B767" t="str">
        <f>'Claims Data'!B767</f>
        <v>PAT0057</v>
      </c>
      <c r="C767" t="str">
        <f>'Claims Data'!C767</f>
        <v>PRV0057</v>
      </c>
      <c r="D767" s="1">
        <f>'Claims Data'!D767</f>
        <v>45252</v>
      </c>
      <c r="E767">
        <f>'Claims Data'!H767</f>
        <v>2.7</v>
      </c>
      <c r="F767">
        <f>'Claims Data'!J767</f>
        <v>176.2</v>
      </c>
      <c r="G767">
        <f>'Claims Data'!M767</f>
        <v>0</v>
      </c>
      <c r="H767" t="b">
        <f>'Claims Data'!L767</f>
        <v>0</v>
      </c>
      <c r="I767">
        <f t="shared" si="22"/>
        <v>0</v>
      </c>
      <c r="J767" t="str">
        <f t="shared" si="23"/>
        <v>Low Risk</v>
      </c>
    </row>
    <row r="768" spans="1:10" x14ac:dyDescent="0.2">
      <c r="A768" t="str">
        <f>'Claims Data'!A768</f>
        <v>CLM00767</v>
      </c>
      <c r="B768" t="str">
        <f>'Claims Data'!B768</f>
        <v>PAT0289</v>
      </c>
      <c r="C768" t="str">
        <f>'Claims Data'!C768</f>
        <v>PRV0007</v>
      </c>
      <c r="D768" s="1">
        <f>'Claims Data'!D768</f>
        <v>45302</v>
      </c>
      <c r="E768">
        <f>'Claims Data'!H768</f>
        <v>7.1</v>
      </c>
      <c r="F768">
        <f>'Claims Data'!J768</f>
        <v>574.69000000000005</v>
      </c>
      <c r="G768">
        <f>'Claims Data'!M768</f>
        <v>0</v>
      </c>
      <c r="H768" t="b">
        <f>'Claims Data'!L768</f>
        <v>0</v>
      </c>
      <c r="I768">
        <f t="shared" si="22"/>
        <v>0</v>
      </c>
      <c r="J768" t="str">
        <f t="shared" si="23"/>
        <v>Low Risk</v>
      </c>
    </row>
    <row r="769" spans="1:10" x14ac:dyDescent="0.2">
      <c r="A769" t="str">
        <f>'Claims Data'!A769</f>
        <v>CLM00768</v>
      </c>
      <c r="B769" t="str">
        <f>'Claims Data'!B769</f>
        <v>PAT0047</v>
      </c>
      <c r="C769" t="str">
        <f>'Claims Data'!C769</f>
        <v>PRV0041</v>
      </c>
      <c r="D769" s="1">
        <f>'Claims Data'!D769</f>
        <v>45412</v>
      </c>
      <c r="E769">
        <f>'Claims Data'!H769</f>
        <v>5.9</v>
      </c>
      <c r="F769">
        <f>'Claims Data'!J769</f>
        <v>173.39</v>
      </c>
      <c r="G769">
        <f>'Claims Data'!M769</f>
        <v>0</v>
      </c>
      <c r="H769" t="b">
        <f>'Claims Data'!L769</f>
        <v>0</v>
      </c>
      <c r="I769">
        <f t="shared" si="22"/>
        <v>0</v>
      </c>
      <c r="J769" t="str">
        <f t="shared" si="23"/>
        <v>Low Risk</v>
      </c>
    </row>
    <row r="770" spans="1:10" x14ac:dyDescent="0.2">
      <c r="A770" t="str">
        <f>'Claims Data'!A770</f>
        <v>CLM00769</v>
      </c>
      <c r="B770" t="str">
        <f>'Claims Data'!B770</f>
        <v>PAT0075</v>
      </c>
      <c r="C770" t="str">
        <f>'Claims Data'!C770</f>
        <v>PRV0050</v>
      </c>
      <c r="D770" s="1">
        <f>'Claims Data'!D770</f>
        <v>45395</v>
      </c>
      <c r="E770">
        <f>'Claims Data'!H770</f>
        <v>3.5</v>
      </c>
      <c r="F770">
        <f>'Claims Data'!J770</f>
        <v>128.96</v>
      </c>
      <c r="G770">
        <f>'Claims Data'!M770</f>
        <v>0</v>
      </c>
      <c r="H770" t="b">
        <f>'Claims Data'!L770</f>
        <v>0</v>
      </c>
      <c r="I770">
        <f t="shared" si="22"/>
        <v>0</v>
      </c>
      <c r="J770" t="str">
        <f t="shared" si="23"/>
        <v>Low Risk</v>
      </c>
    </row>
    <row r="771" spans="1:10" x14ac:dyDescent="0.2">
      <c r="A771" t="str">
        <f>'Claims Data'!A771</f>
        <v>CLM00770</v>
      </c>
      <c r="B771" t="str">
        <f>'Claims Data'!B771</f>
        <v>PAT0251</v>
      </c>
      <c r="C771" t="str">
        <f>'Claims Data'!C771</f>
        <v>PRV0008</v>
      </c>
      <c r="D771" s="1">
        <f>'Claims Data'!D771</f>
        <v>45452</v>
      </c>
      <c r="E771">
        <f>'Claims Data'!H771</f>
        <v>7.7</v>
      </c>
      <c r="F771">
        <f>'Claims Data'!J771</f>
        <v>357.5</v>
      </c>
      <c r="G771">
        <f>'Claims Data'!M771</f>
        <v>0</v>
      </c>
      <c r="H771" t="b">
        <f>'Claims Data'!L771</f>
        <v>0</v>
      </c>
      <c r="I771">
        <f t="shared" ref="I771:I834" si="24">IF(E771&gt;16,40,0)+IF(MOD(F771,250)=0,30,0)+IF(H771=TRUE,10,0)</f>
        <v>0</v>
      </c>
      <c r="J771" t="str">
        <f t="shared" ref="J771:J834" si="25">IF(I771&gt;=70,"High Risk",IF(I771&gt;=30,"Medium Risk","Low Risk"))</f>
        <v>Low Risk</v>
      </c>
    </row>
    <row r="772" spans="1:10" x14ac:dyDescent="0.2">
      <c r="A772" t="str">
        <f>'Claims Data'!A772</f>
        <v>CLM00771</v>
      </c>
      <c r="B772" t="str">
        <f>'Claims Data'!B772</f>
        <v>PAT0043</v>
      </c>
      <c r="C772" t="str">
        <f>'Claims Data'!C772</f>
        <v>PRV0057</v>
      </c>
      <c r="D772" s="1">
        <f>'Claims Data'!D772</f>
        <v>45028</v>
      </c>
      <c r="E772">
        <f>'Claims Data'!H772</f>
        <v>2.6</v>
      </c>
      <c r="F772">
        <f>'Claims Data'!J772</f>
        <v>161.63999999999999</v>
      </c>
      <c r="G772">
        <f>'Claims Data'!M772</f>
        <v>0</v>
      </c>
      <c r="H772" t="b">
        <f>'Claims Data'!L772</f>
        <v>0</v>
      </c>
      <c r="I772">
        <f t="shared" si="24"/>
        <v>0</v>
      </c>
      <c r="J772" t="str">
        <f t="shared" si="25"/>
        <v>Low Risk</v>
      </c>
    </row>
    <row r="773" spans="1:10" x14ac:dyDescent="0.2">
      <c r="A773" t="str">
        <f>'Claims Data'!A773</f>
        <v>CLM00772</v>
      </c>
      <c r="B773" t="str">
        <f>'Claims Data'!B773</f>
        <v>PAT0122</v>
      </c>
      <c r="C773" t="str">
        <f>'Claims Data'!C773</f>
        <v>PRV0051</v>
      </c>
      <c r="D773" s="1">
        <f>'Claims Data'!D773</f>
        <v>45496</v>
      </c>
      <c r="E773">
        <f>'Claims Data'!H773</f>
        <v>4.9000000000000004</v>
      </c>
      <c r="F773">
        <f>'Claims Data'!J773</f>
        <v>219.03</v>
      </c>
      <c r="G773">
        <f>'Claims Data'!M773</f>
        <v>0</v>
      </c>
      <c r="H773" t="b">
        <f>'Claims Data'!L773</f>
        <v>0</v>
      </c>
      <c r="I773">
        <f t="shared" si="24"/>
        <v>0</v>
      </c>
      <c r="J773" t="str">
        <f t="shared" si="25"/>
        <v>Low Risk</v>
      </c>
    </row>
    <row r="774" spans="1:10" x14ac:dyDescent="0.2">
      <c r="A774" t="str">
        <f>'Claims Data'!A774</f>
        <v>CLM00773</v>
      </c>
      <c r="B774" t="str">
        <f>'Claims Data'!B774</f>
        <v>PAT0195</v>
      </c>
      <c r="C774" t="str">
        <f>'Claims Data'!C774</f>
        <v>PRV0014</v>
      </c>
      <c r="D774" s="1">
        <f>'Claims Data'!D774</f>
        <v>45248</v>
      </c>
      <c r="E774">
        <f>'Claims Data'!H774</f>
        <v>6.2</v>
      </c>
      <c r="F774">
        <f>'Claims Data'!J774</f>
        <v>211.69</v>
      </c>
      <c r="G774" t="str">
        <f>'Claims Data'!M774</f>
        <v>duplicate_claim</v>
      </c>
      <c r="H774" t="b">
        <f>'Claims Data'!L774</f>
        <v>1</v>
      </c>
      <c r="I774">
        <f t="shared" si="24"/>
        <v>10</v>
      </c>
      <c r="J774" t="str">
        <f t="shared" si="25"/>
        <v>Low Risk</v>
      </c>
    </row>
    <row r="775" spans="1:10" x14ac:dyDescent="0.2">
      <c r="A775" t="str">
        <f>'Claims Data'!A775</f>
        <v>CLM00774</v>
      </c>
      <c r="B775" t="str">
        <f>'Claims Data'!B775</f>
        <v>PAT0195</v>
      </c>
      <c r="C775" t="str">
        <f>'Claims Data'!C775</f>
        <v>PRV0039</v>
      </c>
      <c r="D775" s="1">
        <f>'Claims Data'!D775</f>
        <v>44957</v>
      </c>
      <c r="E775">
        <f>'Claims Data'!H775</f>
        <v>6.8</v>
      </c>
      <c r="F775">
        <f>'Claims Data'!J775</f>
        <v>561.13</v>
      </c>
      <c r="G775">
        <f>'Claims Data'!M775</f>
        <v>0</v>
      </c>
      <c r="H775" t="b">
        <f>'Claims Data'!L775</f>
        <v>0</v>
      </c>
      <c r="I775">
        <f t="shared" si="24"/>
        <v>0</v>
      </c>
      <c r="J775" t="str">
        <f t="shared" si="25"/>
        <v>Low Risk</v>
      </c>
    </row>
    <row r="776" spans="1:10" x14ac:dyDescent="0.2">
      <c r="A776" t="str">
        <f>'Claims Data'!A776</f>
        <v>CLM00775</v>
      </c>
      <c r="B776" t="str">
        <f>'Claims Data'!B776</f>
        <v>PAT0199</v>
      </c>
      <c r="C776" t="str">
        <f>'Claims Data'!C776</f>
        <v>PRV0010</v>
      </c>
      <c r="D776" s="1">
        <f>'Claims Data'!D776</f>
        <v>45228</v>
      </c>
      <c r="E776">
        <f>'Claims Data'!H776</f>
        <v>3.9</v>
      </c>
      <c r="F776">
        <f>'Claims Data'!J776</f>
        <v>281.33999999999997</v>
      </c>
      <c r="G776">
        <f>'Claims Data'!M776</f>
        <v>0</v>
      </c>
      <c r="H776" t="b">
        <f>'Claims Data'!L776</f>
        <v>0</v>
      </c>
      <c r="I776">
        <f t="shared" si="24"/>
        <v>0</v>
      </c>
      <c r="J776" t="str">
        <f t="shared" si="25"/>
        <v>Low Risk</v>
      </c>
    </row>
    <row r="777" spans="1:10" x14ac:dyDescent="0.2">
      <c r="A777" t="str">
        <f>'Claims Data'!A777</f>
        <v>CLM00776</v>
      </c>
      <c r="B777" t="str">
        <f>'Claims Data'!B777</f>
        <v>PAT0155</v>
      </c>
      <c r="C777" t="str">
        <f>'Claims Data'!C777</f>
        <v>PRV0027</v>
      </c>
      <c r="D777" s="1">
        <f>'Claims Data'!D777</f>
        <v>45573</v>
      </c>
      <c r="E777">
        <f>'Claims Data'!H777</f>
        <v>3.7</v>
      </c>
      <c r="F777">
        <f>'Claims Data'!J777</f>
        <v>172.31</v>
      </c>
      <c r="G777" t="str">
        <f>'Claims Data'!M777</f>
        <v>duplicate_claim</v>
      </c>
      <c r="H777" t="b">
        <f>'Claims Data'!L777</f>
        <v>1</v>
      </c>
      <c r="I777">
        <f t="shared" si="24"/>
        <v>10</v>
      </c>
      <c r="J777" t="str">
        <f t="shared" si="25"/>
        <v>Low Risk</v>
      </c>
    </row>
    <row r="778" spans="1:10" x14ac:dyDescent="0.2">
      <c r="A778" t="str">
        <f>'Claims Data'!A778</f>
        <v>CLM00777</v>
      </c>
      <c r="B778" t="str">
        <f>'Claims Data'!B778</f>
        <v>PAT0118</v>
      </c>
      <c r="C778" t="str">
        <f>'Claims Data'!C778</f>
        <v>PRV0043</v>
      </c>
      <c r="D778" s="1">
        <f>'Claims Data'!D778</f>
        <v>45363</v>
      </c>
      <c r="E778">
        <f>'Claims Data'!H778</f>
        <v>7.3</v>
      </c>
      <c r="F778">
        <f>'Claims Data'!J778</f>
        <v>385.23</v>
      </c>
      <c r="G778" t="str">
        <f>'Claims Data'!M778</f>
        <v>duplicate_claim</v>
      </c>
      <c r="H778" t="b">
        <f>'Claims Data'!L778</f>
        <v>1</v>
      </c>
      <c r="I778">
        <f t="shared" si="24"/>
        <v>10</v>
      </c>
      <c r="J778" t="str">
        <f t="shared" si="25"/>
        <v>Low Risk</v>
      </c>
    </row>
    <row r="779" spans="1:10" x14ac:dyDescent="0.2">
      <c r="A779" t="str">
        <f>'Claims Data'!A779</f>
        <v>CLM00778</v>
      </c>
      <c r="B779" t="str">
        <f>'Claims Data'!B779</f>
        <v>PAT0061</v>
      </c>
      <c r="C779" t="str">
        <f>'Claims Data'!C779</f>
        <v>PRV0007</v>
      </c>
      <c r="D779" s="1">
        <f>'Claims Data'!D779</f>
        <v>44988</v>
      </c>
      <c r="E779">
        <f>'Claims Data'!H779</f>
        <v>4.9000000000000004</v>
      </c>
      <c r="F779">
        <f>'Claims Data'!J779</f>
        <v>154.5</v>
      </c>
      <c r="G779">
        <f>'Claims Data'!M779</f>
        <v>0</v>
      </c>
      <c r="H779" t="b">
        <f>'Claims Data'!L779</f>
        <v>0</v>
      </c>
      <c r="I779">
        <f t="shared" si="24"/>
        <v>0</v>
      </c>
      <c r="J779" t="str">
        <f t="shared" si="25"/>
        <v>Low Risk</v>
      </c>
    </row>
    <row r="780" spans="1:10" x14ac:dyDescent="0.2">
      <c r="A780" t="str">
        <f>'Claims Data'!A780</f>
        <v>CLM00779</v>
      </c>
      <c r="B780" t="str">
        <f>'Claims Data'!B780</f>
        <v>PAT0180</v>
      </c>
      <c r="C780" t="str">
        <f>'Claims Data'!C780</f>
        <v>PRV0033</v>
      </c>
      <c r="D780" s="1">
        <f>'Claims Data'!D780</f>
        <v>45647</v>
      </c>
      <c r="E780">
        <f>'Claims Data'!H780</f>
        <v>7.1</v>
      </c>
      <c r="F780">
        <f>'Claims Data'!J780</f>
        <v>543.30999999999995</v>
      </c>
      <c r="G780">
        <f>'Claims Data'!M780</f>
        <v>0</v>
      </c>
      <c r="H780" t="b">
        <f>'Claims Data'!L780</f>
        <v>0</v>
      </c>
      <c r="I780">
        <f t="shared" si="24"/>
        <v>0</v>
      </c>
      <c r="J780" t="str">
        <f t="shared" si="25"/>
        <v>Low Risk</v>
      </c>
    </row>
    <row r="781" spans="1:10" x14ac:dyDescent="0.2">
      <c r="A781" t="str">
        <f>'Claims Data'!A781</f>
        <v>CLM00780</v>
      </c>
      <c r="B781" t="str">
        <f>'Claims Data'!B781</f>
        <v>PAT0125</v>
      </c>
      <c r="C781" t="str">
        <f>'Claims Data'!C781</f>
        <v>PRV0038</v>
      </c>
      <c r="D781" s="1">
        <f>'Claims Data'!D781</f>
        <v>45442</v>
      </c>
      <c r="E781">
        <f>'Claims Data'!H781</f>
        <v>3.6</v>
      </c>
      <c r="F781">
        <f>'Claims Data'!J781</f>
        <v>281.45</v>
      </c>
      <c r="G781">
        <f>'Claims Data'!M781</f>
        <v>0</v>
      </c>
      <c r="H781" t="b">
        <f>'Claims Data'!L781</f>
        <v>0</v>
      </c>
      <c r="I781">
        <f t="shared" si="24"/>
        <v>0</v>
      </c>
      <c r="J781" t="str">
        <f t="shared" si="25"/>
        <v>Low Risk</v>
      </c>
    </row>
    <row r="782" spans="1:10" x14ac:dyDescent="0.2">
      <c r="A782" t="str">
        <f>'Claims Data'!A782</f>
        <v>CLM00781</v>
      </c>
      <c r="B782" t="str">
        <f>'Claims Data'!B782</f>
        <v>PAT0220</v>
      </c>
      <c r="C782" t="str">
        <f>'Claims Data'!C782</f>
        <v>PRV0009</v>
      </c>
      <c r="D782" s="1">
        <f>'Claims Data'!D782</f>
        <v>45559</v>
      </c>
      <c r="E782">
        <f>'Claims Data'!H782</f>
        <v>7.4</v>
      </c>
      <c r="F782">
        <f>'Claims Data'!J782</f>
        <v>562.22</v>
      </c>
      <c r="G782">
        <f>'Claims Data'!M782</f>
        <v>0</v>
      </c>
      <c r="H782" t="b">
        <f>'Claims Data'!L782</f>
        <v>0</v>
      </c>
      <c r="I782">
        <f t="shared" si="24"/>
        <v>0</v>
      </c>
      <c r="J782" t="str">
        <f t="shared" si="25"/>
        <v>Low Risk</v>
      </c>
    </row>
    <row r="783" spans="1:10" x14ac:dyDescent="0.2">
      <c r="A783" t="str">
        <f>'Claims Data'!A783</f>
        <v>CLM00782</v>
      </c>
      <c r="B783" t="str">
        <f>'Claims Data'!B783</f>
        <v>PAT0117</v>
      </c>
      <c r="C783" t="str">
        <f>'Claims Data'!C783</f>
        <v>PRV0021</v>
      </c>
      <c r="D783" s="1">
        <f>'Claims Data'!D783</f>
        <v>45500</v>
      </c>
      <c r="E783">
        <f>'Claims Data'!H783</f>
        <v>6.9</v>
      </c>
      <c r="F783">
        <f>'Claims Data'!J783</f>
        <v>412.16</v>
      </c>
      <c r="G783">
        <f>'Claims Data'!M783</f>
        <v>0</v>
      </c>
      <c r="H783" t="b">
        <f>'Claims Data'!L783</f>
        <v>0</v>
      </c>
      <c r="I783">
        <f t="shared" si="24"/>
        <v>0</v>
      </c>
      <c r="J783" t="str">
        <f t="shared" si="25"/>
        <v>Low Risk</v>
      </c>
    </row>
    <row r="784" spans="1:10" x14ac:dyDescent="0.2">
      <c r="A784" t="str">
        <f>'Claims Data'!A784</f>
        <v>CLM00783</v>
      </c>
      <c r="B784" t="str">
        <f>'Claims Data'!B784</f>
        <v>PAT0227</v>
      </c>
      <c r="C784" t="str">
        <f>'Claims Data'!C784</f>
        <v>PRV0032</v>
      </c>
      <c r="D784" s="1">
        <f>'Claims Data'!D784</f>
        <v>45203</v>
      </c>
      <c r="E784">
        <f>'Claims Data'!H784</f>
        <v>7.4</v>
      </c>
      <c r="F784">
        <f>'Claims Data'!J784</f>
        <v>429.91</v>
      </c>
      <c r="G784">
        <f>'Claims Data'!M784</f>
        <v>0</v>
      </c>
      <c r="H784" t="b">
        <f>'Claims Data'!L784</f>
        <v>0</v>
      </c>
      <c r="I784">
        <f t="shared" si="24"/>
        <v>0</v>
      </c>
      <c r="J784" t="str">
        <f t="shared" si="25"/>
        <v>Low Risk</v>
      </c>
    </row>
    <row r="785" spans="1:10" x14ac:dyDescent="0.2">
      <c r="A785" t="str">
        <f>'Claims Data'!A785</f>
        <v>CLM00784</v>
      </c>
      <c r="B785" t="str">
        <f>'Claims Data'!B785</f>
        <v>PAT0129</v>
      </c>
      <c r="C785" t="str">
        <f>'Claims Data'!C785</f>
        <v>PRV0002</v>
      </c>
      <c r="D785" s="1">
        <f>'Claims Data'!D785</f>
        <v>45611</v>
      </c>
      <c r="E785">
        <f>'Claims Data'!H785</f>
        <v>5.9</v>
      </c>
      <c r="F785">
        <f>'Claims Data'!J785</f>
        <v>200.12</v>
      </c>
      <c r="G785">
        <f>'Claims Data'!M785</f>
        <v>0</v>
      </c>
      <c r="H785" t="b">
        <f>'Claims Data'!L785</f>
        <v>0</v>
      </c>
      <c r="I785">
        <f t="shared" si="24"/>
        <v>0</v>
      </c>
      <c r="J785" t="str">
        <f t="shared" si="25"/>
        <v>Low Risk</v>
      </c>
    </row>
    <row r="786" spans="1:10" x14ac:dyDescent="0.2">
      <c r="A786" t="str">
        <f>'Claims Data'!A786</f>
        <v>CLM00785</v>
      </c>
      <c r="B786" t="str">
        <f>'Claims Data'!B786</f>
        <v>PAT0284</v>
      </c>
      <c r="C786" t="str">
        <f>'Claims Data'!C786</f>
        <v>PRV0047</v>
      </c>
      <c r="D786" s="1">
        <f>'Claims Data'!D786</f>
        <v>44933</v>
      </c>
      <c r="E786">
        <f>'Claims Data'!H786</f>
        <v>7.3</v>
      </c>
      <c r="F786">
        <f>'Claims Data'!J786</f>
        <v>440.75</v>
      </c>
      <c r="G786">
        <f>'Claims Data'!M786</f>
        <v>0</v>
      </c>
      <c r="H786" t="b">
        <f>'Claims Data'!L786</f>
        <v>0</v>
      </c>
      <c r="I786">
        <f t="shared" si="24"/>
        <v>0</v>
      </c>
      <c r="J786" t="str">
        <f t="shared" si="25"/>
        <v>Low Risk</v>
      </c>
    </row>
    <row r="787" spans="1:10" x14ac:dyDescent="0.2">
      <c r="A787" t="str">
        <f>'Claims Data'!A787</f>
        <v>CLM00786</v>
      </c>
      <c r="B787" t="str">
        <f>'Claims Data'!B787</f>
        <v>PAT0298</v>
      </c>
      <c r="C787" t="str">
        <f>'Claims Data'!C787</f>
        <v>PRV0042</v>
      </c>
      <c r="D787" s="1">
        <f>'Claims Data'!D787</f>
        <v>45260</v>
      </c>
      <c r="E787">
        <f>'Claims Data'!H787</f>
        <v>4.8</v>
      </c>
      <c r="F787">
        <f>'Claims Data'!J787</f>
        <v>267</v>
      </c>
      <c r="G787">
        <f>'Claims Data'!M787</f>
        <v>0</v>
      </c>
      <c r="H787" t="b">
        <f>'Claims Data'!L787</f>
        <v>0</v>
      </c>
      <c r="I787">
        <f t="shared" si="24"/>
        <v>0</v>
      </c>
      <c r="J787" t="str">
        <f t="shared" si="25"/>
        <v>Low Risk</v>
      </c>
    </row>
    <row r="788" spans="1:10" x14ac:dyDescent="0.2">
      <c r="A788" t="str">
        <f>'Claims Data'!A788</f>
        <v>CLM00787</v>
      </c>
      <c r="B788" t="str">
        <f>'Claims Data'!B788</f>
        <v>PAT0144</v>
      </c>
      <c r="C788" t="str">
        <f>'Claims Data'!C788</f>
        <v>PRV0007</v>
      </c>
      <c r="D788" s="1">
        <f>'Claims Data'!D788</f>
        <v>45279</v>
      </c>
      <c r="E788">
        <f>'Claims Data'!H788</f>
        <v>5</v>
      </c>
      <c r="F788">
        <f>'Claims Data'!J788</f>
        <v>323.8</v>
      </c>
      <c r="G788">
        <f>'Claims Data'!M788</f>
        <v>0</v>
      </c>
      <c r="H788" t="b">
        <f>'Claims Data'!L788</f>
        <v>0</v>
      </c>
      <c r="I788">
        <f t="shared" si="24"/>
        <v>0</v>
      </c>
      <c r="J788" t="str">
        <f t="shared" si="25"/>
        <v>Low Risk</v>
      </c>
    </row>
    <row r="789" spans="1:10" x14ac:dyDescent="0.2">
      <c r="A789" t="str">
        <f>'Claims Data'!A789</f>
        <v>CLM00788</v>
      </c>
      <c r="B789" t="str">
        <f>'Claims Data'!B789</f>
        <v>PAT0191</v>
      </c>
      <c r="C789" t="str">
        <f>'Claims Data'!C789</f>
        <v>PRV0047</v>
      </c>
      <c r="D789" s="1">
        <f>'Claims Data'!D789</f>
        <v>45001</v>
      </c>
      <c r="E789">
        <f>'Claims Data'!H789</f>
        <v>6.5</v>
      </c>
      <c r="F789">
        <f>'Claims Data'!J789</f>
        <v>217.24</v>
      </c>
      <c r="G789">
        <f>'Claims Data'!M789</f>
        <v>0</v>
      </c>
      <c r="H789" t="b">
        <f>'Claims Data'!L789</f>
        <v>0</v>
      </c>
      <c r="I789">
        <f t="shared" si="24"/>
        <v>0</v>
      </c>
      <c r="J789" t="str">
        <f t="shared" si="25"/>
        <v>Low Risk</v>
      </c>
    </row>
    <row r="790" spans="1:10" x14ac:dyDescent="0.2">
      <c r="A790" t="str">
        <f>'Claims Data'!A790</f>
        <v>CLM00789</v>
      </c>
      <c r="B790" t="str">
        <f>'Claims Data'!B790</f>
        <v>PAT0029</v>
      </c>
      <c r="C790" t="str">
        <f>'Claims Data'!C790</f>
        <v>PRV0039</v>
      </c>
      <c r="D790" s="1">
        <f>'Claims Data'!D790</f>
        <v>44968</v>
      </c>
      <c r="E790">
        <f>'Claims Data'!H790</f>
        <v>5.4</v>
      </c>
      <c r="F790">
        <f>'Claims Data'!J790</f>
        <v>318.32</v>
      </c>
      <c r="G790">
        <f>'Claims Data'!M790</f>
        <v>0</v>
      </c>
      <c r="H790" t="b">
        <f>'Claims Data'!L790</f>
        <v>0</v>
      </c>
      <c r="I790">
        <f t="shared" si="24"/>
        <v>0</v>
      </c>
      <c r="J790" t="str">
        <f t="shared" si="25"/>
        <v>Low Risk</v>
      </c>
    </row>
    <row r="791" spans="1:10" x14ac:dyDescent="0.2">
      <c r="A791" t="str">
        <f>'Claims Data'!A791</f>
        <v>CLM00790</v>
      </c>
      <c r="B791" t="str">
        <f>'Claims Data'!B791</f>
        <v>PAT0164</v>
      </c>
      <c r="C791" t="str">
        <f>'Claims Data'!C791</f>
        <v>PRV0012</v>
      </c>
      <c r="D791" s="1">
        <f>'Claims Data'!D791</f>
        <v>45384</v>
      </c>
      <c r="E791">
        <f>'Claims Data'!H791</f>
        <v>7.6</v>
      </c>
      <c r="F791">
        <f>'Claims Data'!J791</f>
        <v>208.43</v>
      </c>
      <c r="G791">
        <f>'Claims Data'!M791</f>
        <v>0</v>
      </c>
      <c r="H791" t="b">
        <f>'Claims Data'!L791</f>
        <v>0</v>
      </c>
      <c r="I791">
        <f t="shared" si="24"/>
        <v>0</v>
      </c>
      <c r="J791" t="str">
        <f t="shared" si="25"/>
        <v>Low Risk</v>
      </c>
    </row>
    <row r="792" spans="1:10" x14ac:dyDescent="0.2">
      <c r="A792" t="str">
        <f>'Claims Data'!A792</f>
        <v>CLM00791</v>
      </c>
      <c r="B792" t="str">
        <f>'Claims Data'!B792</f>
        <v>PAT0085</v>
      </c>
      <c r="C792" t="str">
        <f>'Claims Data'!C792</f>
        <v>PRV0027</v>
      </c>
      <c r="D792" s="1">
        <f>'Claims Data'!D792</f>
        <v>45558</v>
      </c>
      <c r="E792">
        <f>'Claims Data'!H792</f>
        <v>2.4</v>
      </c>
      <c r="F792">
        <f>'Claims Data'!J792</f>
        <v>113.2</v>
      </c>
      <c r="G792">
        <f>'Claims Data'!M792</f>
        <v>0</v>
      </c>
      <c r="H792" t="b">
        <f>'Claims Data'!L792</f>
        <v>0</v>
      </c>
      <c r="I792">
        <f t="shared" si="24"/>
        <v>0</v>
      </c>
      <c r="J792" t="str">
        <f t="shared" si="25"/>
        <v>Low Risk</v>
      </c>
    </row>
    <row r="793" spans="1:10" x14ac:dyDescent="0.2">
      <c r="A793" t="str">
        <f>'Claims Data'!A793</f>
        <v>CLM00792</v>
      </c>
      <c r="B793" t="str">
        <f>'Claims Data'!B793</f>
        <v>PAT0077</v>
      </c>
      <c r="C793" t="str">
        <f>'Claims Data'!C793</f>
        <v>PRV0043</v>
      </c>
      <c r="D793" s="1">
        <f>'Claims Data'!D793</f>
        <v>45445</v>
      </c>
      <c r="E793">
        <f>'Claims Data'!H793</f>
        <v>5.0999999999999996</v>
      </c>
      <c r="F793">
        <f>'Claims Data'!J793</f>
        <v>369.69</v>
      </c>
      <c r="G793">
        <f>'Claims Data'!M793</f>
        <v>0</v>
      </c>
      <c r="H793" t="b">
        <f>'Claims Data'!L793</f>
        <v>0</v>
      </c>
      <c r="I793">
        <f t="shared" si="24"/>
        <v>0</v>
      </c>
      <c r="J793" t="str">
        <f t="shared" si="25"/>
        <v>Low Risk</v>
      </c>
    </row>
    <row r="794" spans="1:10" x14ac:dyDescent="0.2">
      <c r="A794" t="str">
        <f>'Claims Data'!A794</f>
        <v>CLM00793</v>
      </c>
      <c r="B794" t="str">
        <f>'Claims Data'!B794</f>
        <v>PAT0254</v>
      </c>
      <c r="C794" t="str">
        <f>'Claims Data'!C794</f>
        <v>PRV0039</v>
      </c>
      <c r="D794" s="1">
        <f>'Claims Data'!D794</f>
        <v>45262</v>
      </c>
      <c r="E794">
        <f>'Claims Data'!H794</f>
        <v>7.5</v>
      </c>
      <c r="F794">
        <f>'Claims Data'!J794</f>
        <v>584.20000000000005</v>
      </c>
      <c r="G794">
        <f>'Claims Data'!M794</f>
        <v>0</v>
      </c>
      <c r="H794" t="b">
        <f>'Claims Data'!L794</f>
        <v>0</v>
      </c>
      <c r="I794">
        <f t="shared" si="24"/>
        <v>0</v>
      </c>
      <c r="J794" t="str">
        <f t="shared" si="25"/>
        <v>Low Risk</v>
      </c>
    </row>
    <row r="795" spans="1:10" x14ac:dyDescent="0.2">
      <c r="A795" t="str">
        <f>'Claims Data'!A795</f>
        <v>CLM00794</v>
      </c>
      <c r="B795" t="str">
        <f>'Claims Data'!B795</f>
        <v>PAT0132</v>
      </c>
      <c r="C795" t="str">
        <f>'Claims Data'!C795</f>
        <v>PRV0038</v>
      </c>
      <c r="D795" s="1">
        <f>'Claims Data'!D795</f>
        <v>44942</v>
      </c>
      <c r="E795">
        <f>'Claims Data'!H795</f>
        <v>2.6</v>
      </c>
      <c r="F795">
        <f>'Claims Data'!J795</f>
        <v>216.08</v>
      </c>
      <c r="G795">
        <f>'Claims Data'!M795</f>
        <v>0</v>
      </c>
      <c r="H795" t="b">
        <f>'Claims Data'!L795</f>
        <v>0</v>
      </c>
      <c r="I795">
        <f t="shared" si="24"/>
        <v>0</v>
      </c>
      <c r="J795" t="str">
        <f t="shared" si="25"/>
        <v>Low Risk</v>
      </c>
    </row>
    <row r="796" spans="1:10" x14ac:dyDescent="0.2">
      <c r="A796" t="str">
        <f>'Claims Data'!A796</f>
        <v>CLM00795</v>
      </c>
      <c r="B796" t="str">
        <f>'Claims Data'!B796</f>
        <v>PAT0298</v>
      </c>
      <c r="C796" t="str">
        <f>'Claims Data'!C796</f>
        <v>PRV0025</v>
      </c>
      <c r="D796" s="1">
        <f>'Claims Data'!D796</f>
        <v>45197</v>
      </c>
      <c r="E796">
        <f>'Claims Data'!H796</f>
        <v>7</v>
      </c>
      <c r="F796">
        <f>'Claims Data'!J796</f>
        <v>285.58999999999997</v>
      </c>
      <c r="G796">
        <f>'Claims Data'!M796</f>
        <v>0</v>
      </c>
      <c r="H796" t="b">
        <f>'Claims Data'!L796</f>
        <v>0</v>
      </c>
      <c r="I796">
        <f t="shared" si="24"/>
        <v>0</v>
      </c>
      <c r="J796" t="str">
        <f t="shared" si="25"/>
        <v>Low Risk</v>
      </c>
    </row>
    <row r="797" spans="1:10" x14ac:dyDescent="0.2">
      <c r="A797" t="str">
        <f>'Claims Data'!A797</f>
        <v>CLM00796</v>
      </c>
      <c r="B797" t="str">
        <f>'Claims Data'!B797</f>
        <v>PAT0231</v>
      </c>
      <c r="C797" t="str">
        <f>'Claims Data'!C797</f>
        <v>PRV0008</v>
      </c>
      <c r="D797" s="1">
        <f>'Claims Data'!D797</f>
        <v>45233</v>
      </c>
      <c r="E797">
        <f>'Claims Data'!H797</f>
        <v>4.3</v>
      </c>
      <c r="F797">
        <f>'Claims Data'!J797</f>
        <v>205.16</v>
      </c>
      <c r="G797">
        <f>'Claims Data'!M797</f>
        <v>0</v>
      </c>
      <c r="H797" t="b">
        <f>'Claims Data'!L797</f>
        <v>0</v>
      </c>
      <c r="I797">
        <f t="shared" si="24"/>
        <v>0</v>
      </c>
      <c r="J797" t="str">
        <f t="shared" si="25"/>
        <v>Low Risk</v>
      </c>
    </row>
    <row r="798" spans="1:10" x14ac:dyDescent="0.2">
      <c r="A798" t="str">
        <f>'Claims Data'!A798</f>
        <v>CLM00797</v>
      </c>
      <c r="B798" t="str">
        <f>'Claims Data'!B798</f>
        <v>PAT0202</v>
      </c>
      <c r="C798" t="str">
        <f>'Claims Data'!C798</f>
        <v>PRV0016</v>
      </c>
      <c r="D798" s="1">
        <f>'Claims Data'!D798</f>
        <v>45607</v>
      </c>
      <c r="E798">
        <f>'Claims Data'!H798</f>
        <v>5.0999999999999996</v>
      </c>
      <c r="F798">
        <f>'Claims Data'!J798</f>
        <v>242.66</v>
      </c>
      <c r="G798">
        <f>'Claims Data'!M798</f>
        <v>0</v>
      </c>
      <c r="H798" t="b">
        <f>'Claims Data'!L798</f>
        <v>0</v>
      </c>
      <c r="I798">
        <f t="shared" si="24"/>
        <v>0</v>
      </c>
      <c r="J798" t="str">
        <f t="shared" si="25"/>
        <v>Low Risk</v>
      </c>
    </row>
    <row r="799" spans="1:10" x14ac:dyDescent="0.2">
      <c r="A799" t="str">
        <f>'Claims Data'!A799</f>
        <v>CLM00798</v>
      </c>
      <c r="B799" t="str">
        <f>'Claims Data'!B799</f>
        <v>PAT0124</v>
      </c>
      <c r="C799" t="str">
        <f>'Claims Data'!C799</f>
        <v>PRV0055</v>
      </c>
      <c r="D799" s="1">
        <f>'Claims Data'!D799</f>
        <v>38789</v>
      </c>
      <c r="E799">
        <f>'Claims Data'!H799</f>
        <v>4.0999999999999996</v>
      </c>
      <c r="F799">
        <f>'Claims Data'!J799</f>
        <v>315.95999999999998</v>
      </c>
      <c r="G799" t="str">
        <f>'Claims Data'!M799</f>
        <v>deceased_patient_billing</v>
      </c>
      <c r="H799" t="b">
        <f>'Claims Data'!L799</f>
        <v>1</v>
      </c>
      <c r="I799">
        <f t="shared" si="24"/>
        <v>10</v>
      </c>
      <c r="J799" t="str">
        <f t="shared" si="25"/>
        <v>Low Risk</v>
      </c>
    </row>
    <row r="800" spans="1:10" x14ac:dyDescent="0.2">
      <c r="A800" t="str">
        <f>'Claims Data'!A800</f>
        <v>CLM00799</v>
      </c>
      <c r="B800" t="str">
        <f>'Claims Data'!B800</f>
        <v>PAT0233</v>
      </c>
      <c r="C800" t="str">
        <f>'Claims Data'!C800</f>
        <v>PRV0011</v>
      </c>
      <c r="D800" s="1">
        <f>'Claims Data'!D800</f>
        <v>45501</v>
      </c>
      <c r="E800">
        <f>'Claims Data'!H800</f>
        <v>7.3</v>
      </c>
      <c r="F800">
        <f>'Claims Data'!J800</f>
        <v>185.39</v>
      </c>
      <c r="G800">
        <f>'Claims Data'!M800</f>
        <v>0</v>
      </c>
      <c r="H800" t="b">
        <f>'Claims Data'!L800</f>
        <v>0</v>
      </c>
      <c r="I800">
        <f t="shared" si="24"/>
        <v>0</v>
      </c>
      <c r="J800" t="str">
        <f t="shared" si="25"/>
        <v>Low Risk</v>
      </c>
    </row>
    <row r="801" spans="1:10" x14ac:dyDescent="0.2">
      <c r="A801" t="str">
        <f>'Claims Data'!A801</f>
        <v>CLM00800</v>
      </c>
      <c r="B801" t="str">
        <f>'Claims Data'!B801</f>
        <v>PAT0156</v>
      </c>
      <c r="C801" t="str">
        <f>'Claims Data'!C801</f>
        <v>PRV0006</v>
      </c>
      <c r="D801" s="1">
        <f>'Claims Data'!D801</f>
        <v>45603</v>
      </c>
      <c r="E801">
        <f>'Claims Data'!H801</f>
        <v>3</v>
      </c>
      <c r="F801">
        <f>'Claims Data'!J801</f>
        <v>88.88</v>
      </c>
      <c r="G801">
        <f>'Claims Data'!M801</f>
        <v>0</v>
      </c>
      <c r="H801" t="b">
        <f>'Claims Data'!L801</f>
        <v>0</v>
      </c>
      <c r="I801">
        <f t="shared" si="24"/>
        <v>0</v>
      </c>
      <c r="J801" t="str">
        <f t="shared" si="25"/>
        <v>Low Risk</v>
      </c>
    </row>
    <row r="802" spans="1:10" x14ac:dyDescent="0.2">
      <c r="A802" t="str">
        <f>'Claims Data'!A802</f>
        <v>CLM00801</v>
      </c>
      <c r="B802" t="str">
        <f>'Claims Data'!B802</f>
        <v>PAT0220</v>
      </c>
      <c r="C802" t="str">
        <f>'Claims Data'!C802</f>
        <v>PRV0027</v>
      </c>
      <c r="D802" s="1">
        <f>'Claims Data'!D802</f>
        <v>44936</v>
      </c>
      <c r="E802">
        <f>'Claims Data'!H802</f>
        <v>3.3</v>
      </c>
      <c r="F802">
        <f>'Claims Data'!J802</f>
        <v>119.51</v>
      </c>
      <c r="G802">
        <f>'Claims Data'!M802</f>
        <v>0</v>
      </c>
      <c r="H802" t="b">
        <f>'Claims Data'!L802</f>
        <v>0</v>
      </c>
      <c r="I802">
        <f t="shared" si="24"/>
        <v>0</v>
      </c>
      <c r="J802" t="str">
        <f t="shared" si="25"/>
        <v>Low Risk</v>
      </c>
    </row>
    <row r="803" spans="1:10" x14ac:dyDescent="0.2">
      <c r="A803" t="str">
        <f>'Claims Data'!A803</f>
        <v>CLM00802</v>
      </c>
      <c r="B803" t="str">
        <f>'Claims Data'!B803</f>
        <v>PAT0031</v>
      </c>
      <c r="C803" t="str">
        <f>'Claims Data'!C803</f>
        <v>PRV0004</v>
      </c>
      <c r="D803" s="1">
        <f>'Claims Data'!D803</f>
        <v>45455</v>
      </c>
      <c r="E803">
        <f>'Claims Data'!H803</f>
        <v>6</v>
      </c>
      <c r="F803">
        <f>'Claims Data'!J803</f>
        <v>299.26</v>
      </c>
      <c r="G803">
        <f>'Claims Data'!M803</f>
        <v>0</v>
      </c>
      <c r="H803" t="b">
        <f>'Claims Data'!L803</f>
        <v>0</v>
      </c>
      <c r="I803">
        <f t="shared" si="24"/>
        <v>0</v>
      </c>
      <c r="J803" t="str">
        <f t="shared" si="25"/>
        <v>Low Risk</v>
      </c>
    </row>
    <row r="804" spans="1:10" x14ac:dyDescent="0.2">
      <c r="A804" t="str">
        <f>'Claims Data'!A804</f>
        <v>CLM00803</v>
      </c>
      <c r="B804" t="str">
        <f>'Claims Data'!B804</f>
        <v>PAT0289</v>
      </c>
      <c r="C804" t="str">
        <f>'Claims Data'!C804</f>
        <v>PRV0058</v>
      </c>
      <c r="D804" s="1">
        <f>'Claims Data'!D804</f>
        <v>45051</v>
      </c>
      <c r="E804">
        <f>'Claims Data'!H804</f>
        <v>4.9000000000000004</v>
      </c>
      <c r="F804">
        <f>'Claims Data'!J804</f>
        <v>263.27</v>
      </c>
      <c r="G804">
        <f>'Claims Data'!M804</f>
        <v>0</v>
      </c>
      <c r="H804" t="b">
        <f>'Claims Data'!L804</f>
        <v>0</v>
      </c>
      <c r="I804">
        <f t="shared" si="24"/>
        <v>0</v>
      </c>
      <c r="J804" t="str">
        <f t="shared" si="25"/>
        <v>Low Risk</v>
      </c>
    </row>
    <row r="805" spans="1:10" x14ac:dyDescent="0.2">
      <c r="A805" t="str">
        <f>'Claims Data'!A805</f>
        <v>CLM00804</v>
      </c>
      <c r="B805" t="str">
        <f>'Claims Data'!B805</f>
        <v>PAT0158</v>
      </c>
      <c r="C805" t="str">
        <f>'Claims Data'!C805</f>
        <v>PRV0012</v>
      </c>
      <c r="D805" s="1">
        <f>'Claims Data'!D805</f>
        <v>45370</v>
      </c>
      <c r="E805">
        <f>'Claims Data'!H805</f>
        <v>5.9</v>
      </c>
      <c r="F805">
        <f>'Claims Data'!J805</f>
        <v>292.95999999999998</v>
      </c>
      <c r="G805">
        <f>'Claims Data'!M805</f>
        <v>0</v>
      </c>
      <c r="H805" t="b">
        <f>'Claims Data'!L805</f>
        <v>0</v>
      </c>
      <c r="I805">
        <f t="shared" si="24"/>
        <v>0</v>
      </c>
      <c r="J805" t="str">
        <f t="shared" si="25"/>
        <v>Low Risk</v>
      </c>
    </row>
    <row r="806" spans="1:10" x14ac:dyDescent="0.2">
      <c r="A806" t="str">
        <f>'Claims Data'!A806</f>
        <v>CLM00805</v>
      </c>
      <c r="B806" t="str">
        <f>'Claims Data'!B806</f>
        <v>PAT0011</v>
      </c>
      <c r="C806" t="str">
        <f>'Claims Data'!C806</f>
        <v>PRV0026</v>
      </c>
      <c r="D806" s="1">
        <f>'Claims Data'!D806</f>
        <v>45071</v>
      </c>
      <c r="E806">
        <f>'Claims Data'!H806</f>
        <v>2.8</v>
      </c>
      <c r="F806">
        <f>'Claims Data'!J806</f>
        <v>169.51</v>
      </c>
      <c r="G806">
        <f>'Claims Data'!M806</f>
        <v>0</v>
      </c>
      <c r="H806" t="b">
        <f>'Claims Data'!L806</f>
        <v>0</v>
      </c>
      <c r="I806">
        <f t="shared" si="24"/>
        <v>0</v>
      </c>
      <c r="J806" t="str">
        <f t="shared" si="25"/>
        <v>Low Risk</v>
      </c>
    </row>
    <row r="807" spans="1:10" x14ac:dyDescent="0.2">
      <c r="A807" t="str">
        <f>'Claims Data'!A807</f>
        <v>CLM00806</v>
      </c>
      <c r="B807" t="str">
        <f>'Claims Data'!B807</f>
        <v>PAT0055</v>
      </c>
      <c r="C807" t="str">
        <f>'Claims Data'!C807</f>
        <v>PRV0039</v>
      </c>
      <c r="D807" s="1">
        <f>'Claims Data'!D807</f>
        <v>44989</v>
      </c>
      <c r="E807">
        <f>'Claims Data'!H807</f>
        <v>7.3</v>
      </c>
      <c r="F807">
        <f>'Claims Data'!J807</f>
        <v>246.83</v>
      </c>
      <c r="G807">
        <f>'Claims Data'!M807</f>
        <v>0</v>
      </c>
      <c r="H807" t="b">
        <f>'Claims Data'!L807</f>
        <v>0</v>
      </c>
      <c r="I807">
        <f t="shared" si="24"/>
        <v>0</v>
      </c>
      <c r="J807" t="str">
        <f t="shared" si="25"/>
        <v>Low Risk</v>
      </c>
    </row>
    <row r="808" spans="1:10" x14ac:dyDescent="0.2">
      <c r="A808" t="str">
        <f>'Claims Data'!A808</f>
        <v>CLM00807</v>
      </c>
      <c r="B808" t="str">
        <f>'Claims Data'!B808</f>
        <v>PAT0118</v>
      </c>
      <c r="C808" t="str">
        <f>'Claims Data'!C808</f>
        <v>PRV0041</v>
      </c>
      <c r="D808" s="1">
        <f>'Claims Data'!D808</f>
        <v>45321</v>
      </c>
      <c r="E808">
        <f>'Claims Data'!H808</f>
        <v>8.9</v>
      </c>
      <c r="F808">
        <f>'Claims Data'!J808</f>
        <v>500</v>
      </c>
      <c r="G808" t="str">
        <f>'Claims Data'!M808</f>
        <v>phantom_round_amount</v>
      </c>
      <c r="H808" t="b">
        <f>'Claims Data'!L808</f>
        <v>1</v>
      </c>
      <c r="I808">
        <f t="shared" si="24"/>
        <v>40</v>
      </c>
      <c r="J808" t="str">
        <f t="shared" si="25"/>
        <v>Medium Risk</v>
      </c>
    </row>
    <row r="809" spans="1:10" x14ac:dyDescent="0.2">
      <c r="A809" t="str">
        <f>'Claims Data'!A809</f>
        <v>CLM00808</v>
      </c>
      <c r="B809" t="str">
        <f>'Claims Data'!B809</f>
        <v>PAT0263</v>
      </c>
      <c r="C809" t="str">
        <f>'Claims Data'!C809</f>
        <v>PRV0005</v>
      </c>
      <c r="D809" s="1">
        <f>'Claims Data'!D809</f>
        <v>45108</v>
      </c>
      <c r="E809">
        <f>'Claims Data'!H809</f>
        <v>7.3</v>
      </c>
      <c r="F809">
        <f>'Claims Data'!J809</f>
        <v>501.35</v>
      </c>
      <c r="G809">
        <f>'Claims Data'!M809</f>
        <v>0</v>
      </c>
      <c r="H809" t="b">
        <f>'Claims Data'!L809</f>
        <v>0</v>
      </c>
      <c r="I809">
        <f t="shared" si="24"/>
        <v>0</v>
      </c>
      <c r="J809" t="str">
        <f t="shared" si="25"/>
        <v>Low Risk</v>
      </c>
    </row>
    <row r="810" spans="1:10" x14ac:dyDescent="0.2">
      <c r="A810" t="str">
        <f>'Claims Data'!A810</f>
        <v>CLM00809</v>
      </c>
      <c r="B810" t="str">
        <f>'Claims Data'!B810</f>
        <v>PAT0149</v>
      </c>
      <c r="C810" t="str">
        <f>'Claims Data'!C810</f>
        <v>PRV0044</v>
      </c>
      <c r="D810" s="1">
        <f>'Claims Data'!D810</f>
        <v>44966</v>
      </c>
      <c r="E810">
        <f>'Claims Data'!H810</f>
        <v>3.3</v>
      </c>
      <c r="F810">
        <f>'Claims Data'!J810</f>
        <v>202.59</v>
      </c>
      <c r="G810">
        <f>'Claims Data'!M810</f>
        <v>0</v>
      </c>
      <c r="H810" t="b">
        <f>'Claims Data'!L810</f>
        <v>0</v>
      </c>
      <c r="I810">
        <f t="shared" si="24"/>
        <v>0</v>
      </c>
      <c r="J810" t="str">
        <f t="shared" si="25"/>
        <v>Low Risk</v>
      </c>
    </row>
    <row r="811" spans="1:10" x14ac:dyDescent="0.2">
      <c r="A811" t="str">
        <f>'Claims Data'!A811</f>
        <v>CLM00810</v>
      </c>
      <c r="B811" t="str">
        <f>'Claims Data'!B811</f>
        <v>PAT0217</v>
      </c>
      <c r="C811" t="str">
        <f>'Claims Data'!C811</f>
        <v>PRV0010</v>
      </c>
      <c r="D811" s="1">
        <f>'Claims Data'!D811</f>
        <v>45106</v>
      </c>
      <c r="E811">
        <f>'Claims Data'!H811</f>
        <v>3</v>
      </c>
      <c r="F811">
        <f>'Claims Data'!J811</f>
        <v>224.47</v>
      </c>
      <c r="G811">
        <f>'Claims Data'!M811</f>
        <v>0</v>
      </c>
      <c r="H811" t="b">
        <f>'Claims Data'!L811</f>
        <v>0</v>
      </c>
      <c r="I811">
        <f t="shared" si="24"/>
        <v>0</v>
      </c>
      <c r="J811" t="str">
        <f t="shared" si="25"/>
        <v>Low Risk</v>
      </c>
    </row>
    <row r="812" spans="1:10" x14ac:dyDescent="0.2">
      <c r="A812" t="str">
        <f>'Claims Data'!A812</f>
        <v>CLM00811</v>
      </c>
      <c r="B812" t="str">
        <f>'Claims Data'!B812</f>
        <v>PAT0054</v>
      </c>
      <c r="C812" t="str">
        <f>'Claims Data'!C812</f>
        <v>PRV0043</v>
      </c>
      <c r="D812" s="1">
        <f>'Claims Data'!D812</f>
        <v>45522</v>
      </c>
      <c r="E812">
        <f>'Claims Data'!H812</f>
        <v>6.8</v>
      </c>
      <c r="F812">
        <f>'Claims Data'!J812</f>
        <v>504.74</v>
      </c>
      <c r="G812">
        <f>'Claims Data'!M812</f>
        <v>0</v>
      </c>
      <c r="H812" t="b">
        <f>'Claims Data'!L812</f>
        <v>0</v>
      </c>
      <c r="I812">
        <f t="shared" si="24"/>
        <v>0</v>
      </c>
      <c r="J812" t="str">
        <f t="shared" si="25"/>
        <v>Low Risk</v>
      </c>
    </row>
    <row r="813" spans="1:10" x14ac:dyDescent="0.2">
      <c r="A813" t="str">
        <f>'Claims Data'!A813</f>
        <v>CLM00812</v>
      </c>
      <c r="B813" t="str">
        <f>'Claims Data'!B813</f>
        <v>PAT0088</v>
      </c>
      <c r="C813" t="str">
        <f>'Claims Data'!C813</f>
        <v>PRV0039</v>
      </c>
      <c r="D813" s="1">
        <f>'Claims Data'!D813</f>
        <v>45034</v>
      </c>
      <c r="E813">
        <f>'Claims Data'!H813</f>
        <v>3</v>
      </c>
      <c r="F813">
        <f>'Claims Data'!J813</f>
        <v>198.41</v>
      </c>
      <c r="G813">
        <f>'Claims Data'!M813</f>
        <v>0</v>
      </c>
      <c r="H813" t="b">
        <f>'Claims Data'!L813</f>
        <v>0</v>
      </c>
      <c r="I813">
        <f t="shared" si="24"/>
        <v>0</v>
      </c>
      <c r="J813" t="str">
        <f t="shared" si="25"/>
        <v>Low Risk</v>
      </c>
    </row>
    <row r="814" spans="1:10" x14ac:dyDescent="0.2">
      <c r="A814" t="str">
        <f>'Claims Data'!A814</f>
        <v>CLM00813</v>
      </c>
      <c r="B814" t="str">
        <f>'Claims Data'!B814</f>
        <v>PAT0078</v>
      </c>
      <c r="C814" t="str">
        <f>'Claims Data'!C814</f>
        <v>PRV0017</v>
      </c>
      <c r="D814" s="1">
        <f>'Claims Data'!D814</f>
        <v>44936</v>
      </c>
      <c r="E814">
        <f>'Claims Data'!H814</f>
        <v>3.4</v>
      </c>
      <c r="F814">
        <f>'Claims Data'!J814</f>
        <v>163.63</v>
      </c>
      <c r="G814">
        <f>'Claims Data'!M814</f>
        <v>0</v>
      </c>
      <c r="H814" t="b">
        <f>'Claims Data'!L814</f>
        <v>0</v>
      </c>
      <c r="I814">
        <f t="shared" si="24"/>
        <v>0</v>
      </c>
      <c r="J814" t="str">
        <f t="shared" si="25"/>
        <v>Low Risk</v>
      </c>
    </row>
    <row r="815" spans="1:10" x14ac:dyDescent="0.2">
      <c r="A815" t="str">
        <f>'Claims Data'!A815</f>
        <v>CLM00814</v>
      </c>
      <c r="B815" t="str">
        <f>'Claims Data'!B815</f>
        <v>PAT0171</v>
      </c>
      <c r="C815" t="str">
        <f>'Claims Data'!C815</f>
        <v>PRV0054</v>
      </c>
      <c r="D815" s="1">
        <f>'Claims Data'!D815</f>
        <v>44984</v>
      </c>
      <c r="E815">
        <f>'Claims Data'!H815</f>
        <v>3.2</v>
      </c>
      <c r="F815">
        <f>'Claims Data'!J815</f>
        <v>245.04</v>
      </c>
      <c r="G815">
        <f>'Claims Data'!M815</f>
        <v>0</v>
      </c>
      <c r="H815" t="b">
        <f>'Claims Data'!L815</f>
        <v>0</v>
      </c>
      <c r="I815">
        <f t="shared" si="24"/>
        <v>0</v>
      </c>
      <c r="J815" t="str">
        <f t="shared" si="25"/>
        <v>Low Risk</v>
      </c>
    </row>
    <row r="816" spans="1:10" x14ac:dyDescent="0.2">
      <c r="A816" t="str">
        <f>'Claims Data'!A816</f>
        <v>CLM00815</v>
      </c>
      <c r="B816" t="str">
        <f>'Claims Data'!B816</f>
        <v>PAT0243</v>
      </c>
      <c r="C816" t="str">
        <f>'Claims Data'!C816</f>
        <v>PRV0054</v>
      </c>
      <c r="D816" s="1">
        <f>'Claims Data'!D816</f>
        <v>45496</v>
      </c>
      <c r="E816">
        <f>'Claims Data'!H816</f>
        <v>7</v>
      </c>
      <c r="F816">
        <f>'Claims Data'!J816</f>
        <v>429.31</v>
      </c>
      <c r="G816">
        <f>'Claims Data'!M816</f>
        <v>0</v>
      </c>
      <c r="H816" t="b">
        <f>'Claims Data'!L816</f>
        <v>0</v>
      </c>
      <c r="I816">
        <f t="shared" si="24"/>
        <v>0</v>
      </c>
      <c r="J816" t="str">
        <f t="shared" si="25"/>
        <v>Low Risk</v>
      </c>
    </row>
    <row r="817" spans="1:10" x14ac:dyDescent="0.2">
      <c r="A817" t="str">
        <f>'Claims Data'!A817</f>
        <v>CLM00816</v>
      </c>
      <c r="B817" t="str">
        <f>'Claims Data'!B817</f>
        <v>PAT0165</v>
      </c>
      <c r="C817" t="str">
        <f>'Claims Data'!C817</f>
        <v>PRV0026</v>
      </c>
      <c r="D817" s="1">
        <f>'Claims Data'!D817</f>
        <v>45038</v>
      </c>
      <c r="E817">
        <f>'Claims Data'!H817</f>
        <v>7.4</v>
      </c>
      <c r="F817">
        <f>'Claims Data'!J817</f>
        <v>451.32</v>
      </c>
      <c r="G817">
        <f>'Claims Data'!M817</f>
        <v>0</v>
      </c>
      <c r="H817" t="b">
        <f>'Claims Data'!L817</f>
        <v>0</v>
      </c>
      <c r="I817">
        <f t="shared" si="24"/>
        <v>0</v>
      </c>
      <c r="J817" t="str">
        <f t="shared" si="25"/>
        <v>Low Risk</v>
      </c>
    </row>
    <row r="818" spans="1:10" x14ac:dyDescent="0.2">
      <c r="A818" t="str">
        <f>'Claims Data'!A818</f>
        <v>CLM00817</v>
      </c>
      <c r="B818" t="str">
        <f>'Claims Data'!B818</f>
        <v>PAT0147</v>
      </c>
      <c r="C818" t="str">
        <f>'Claims Data'!C818</f>
        <v>PRV0012</v>
      </c>
      <c r="D818" s="1">
        <f>'Claims Data'!D818</f>
        <v>45171</v>
      </c>
      <c r="E818">
        <f>'Claims Data'!H818</f>
        <v>2.6</v>
      </c>
      <c r="F818">
        <f>'Claims Data'!J818</f>
        <v>167.87</v>
      </c>
      <c r="G818">
        <f>'Claims Data'!M818</f>
        <v>0</v>
      </c>
      <c r="H818" t="b">
        <f>'Claims Data'!L818</f>
        <v>0</v>
      </c>
      <c r="I818">
        <f t="shared" si="24"/>
        <v>0</v>
      </c>
      <c r="J818" t="str">
        <f t="shared" si="25"/>
        <v>Low Risk</v>
      </c>
    </row>
    <row r="819" spans="1:10" x14ac:dyDescent="0.2">
      <c r="A819" t="str">
        <f>'Claims Data'!A819</f>
        <v>CLM00818</v>
      </c>
      <c r="B819" t="str">
        <f>'Claims Data'!B819</f>
        <v>PAT0254</v>
      </c>
      <c r="C819" t="str">
        <f>'Claims Data'!C819</f>
        <v>PRV0011</v>
      </c>
      <c r="D819" s="1">
        <f>'Claims Data'!D819</f>
        <v>45021</v>
      </c>
      <c r="E819">
        <f>'Claims Data'!H819</f>
        <v>7.4</v>
      </c>
      <c r="F819">
        <f>'Claims Data'!J819</f>
        <v>529.04</v>
      </c>
      <c r="G819">
        <f>'Claims Data'!M819</f>
        <v>0</v>
      </c>
      <c r="H819" t="b">
        <f>'Claims Data'!L819</f>
        <v>0</v>
      </c>
      <c r="I819">
        <f t="shared" si="24"/>
        <v>0</v>
      </c>
      <c r="J819" t="str">
        <f t="shared" si="25"/>
        <v>Low Risk</v>
      </c>
    </row>
    <row r="820" spans="1:10" x14ac:dyDescent="0.2">
      <c r="A820" t="str">
        <f>'Claims Data'!A820</f>
        <v>CLM00819</v>
      </c>
      <c r="B820" t="str">
        <f>'Claims Data'!B820</f>
        <v>PAT0231</v>
      </c>
      <c r="C820" t="str">
        <f>'Claims Data'!C820</f>
        <v>PRV0035</v>
      </c>
      <c r="D820" s="1">
        <f>'Claims Data'!D820</f>
        <v>44996</v>
      </c>
      <c r="E820">
        <f>'Claims Data'!H820</f>
        <v>5.0999999999999996</v>
      </c>
      <c r="F820">
        <f>'Claims Data'!J820</f>
        <v>240.84</v>
      </c>
      <c r="G820">
        <f>'Claims Data'!M820</f>
        <v>0</v>
      </c>
      <c r="H820" t="b">
        <f>'Claims Data'!L820</f>
        <v>0</v>
      </c>
      <c r="I820">
        <f t="shared" si="24"/>
        <v>0</v>
      </c>
      <c r="J820" t="str">
        <f t="shared" si="25"/>
        <v>Low Risk</v>
      </c>
    </row>
    <row r="821" spans="1:10" x14ac:dyDescent="0.2">
      <c r="A821" t="str">
        <f>'Claims Data'!A821</f>
        <v>CLM00820</v>
      </c>
      <c r="B821" t="str">
        <f>'Claims Data'!B821</f>
        <v>PAT0058</v>
      </c>
      <c r="C821" t="str">
        <f>'Claims Data'!C821</f>
        <v>PRV0056</v>
      </c>
      <c r="D821" s="1">
        <f>'Claims Data'!D821</f>
        <v>44955</v>
      </c>
      <c r="E821">
        <f>'Claims Data'!H821</f>
        <v>3.4</v>
      </c>
      <c r="F821">
        <f>'Claims Data'!J821</f>
        <v>248.67</v>
      </c>
      <c r="G821">
        <f>'Claims Data'!M821</f>
        <v>0</v>
      </c>
      <c r="H821" t="b">
        <f>'Claims Data'!L821</f>
        <v>0</v>
      </c>
      <c r="I821">
        <f t="shared" si="24"/>
        <v>0</v>
      </c>
      <c r="J821" t="str">
        <f t="shared" si="25"/>
        <v>Low Risk</v>
      </c>
    </row>
    <row r="822" spans="1:10" x14ac:dyDescent="0.2">
      <c r="A822" t="str">
        <f>'Claims Data'!A822</f>
        <v>CLM00821</v>
      </c>
      <c r="B822" t="str">
        <f>'Claims Data'!B822</f>
        <v>PAT0288</v>
      </c>
      <c r="C822" t="str">
        <f>'Claims Data'!C822</f>
        <v>PRV0045</v>
      </c>
      <c r="D822" s="1">
        <f>'Claims Data'!D822</f>
        <v>44985</v>
      </c>
      <c r="E822">
        <f>'Claims Data'!H822</f>
        <v>5.5</v>
      </c>
      <c r="F822">
        <f>'Claims Data'!J822</f>
        <v>382.16</v>
      </c>
      <c r="G822">
        <f>'Claims Data'!M822</f>
        <v>0</v>
      </c>
      <c r="H822" t="b">
        <f>'Claims Data'!L822</f>
        <v>0</v>
      </c>
      <c r="I822">
        <f t="shared" si="24"/>
        <v>0</v>
      </c>
      <c r="J822" t="str">
        <f t="shared" si="25"/>
        <v>Low Risk</v>
      </c>
    </row>
    <row r="823" spans="1:10" x14ac:dyDescent="0.2">
      <c r="A823" t="str">
        <f>'Claims Data'!A823</f>
        <v>CLM00822</v>
      </c>
      <c r="B823" t="str">
        <f>'Claims Data'!B823</f>
        <v>PAT0110</v>
      </c>
      <c r="C823" t="str">
        <f>'Claims Data'!C823</f>
        <v>PRV0001</v>
      </c>
      <c r="D823" s="1">
        <f>'Claims Data'!D823</f>
        <v>45516</v>
      </c>
      <c r="E823">
        <f>'Claims Data'!H823</f>
        <v>4.5999999999999996</v>
      </c>
      <c r="F823">
        <f>'Claims Data'!J823</f>
        <v>185.25</v>
      </c>
      <c r="G823">
        <f>'Claims Data'!M823</f>
        <v>0</v>
      </c>
      <c r="H823" t="b">
        <f>'Claims Data'!L823</f>
        <v>0</v>
      </c>
      <c r="I823">
        <f t="shared" si="24"/>
        <v>0</v>
      </c>
      <c r="J823" t="str">
        <f t="shared" si="25"/>
        <v>Low Risk</v>
      </c>
    </row>
    <row r="824" spans="1:10" x14ac:dyDescent="0.2">
      <c r="A824" t="str">
        <f>'Claims Data'!A824</f>
        <v>CLM00823</v>
      </c>
      <c r="B824" t="str">
        <f>'Claims Data'!B824</f>
        <v>PAT0002</v>
      </c>
      <c r="C824" t="str">
        <f>'Claims Data'!C824</f>
        <v>PRV0002</v>
      </c>
      <c r="D824" s="1">
        <f>'Claims Data'!D824</f>
        <v>45488</v>
      </c>
      <c r="E824">
        <f>'Claims Data'!H824</f>
        <v>3.7</v>
      </c>
      <c r="F824">
        <f>'Claims Data'!J824</f>
        <v>287.14</v>
      </c>
      <c r="G824">
        <f>'Claims Data'!M824</f>
        <v>0</v>
      </c>
      <c r="H824" t="b">
        <f>'Claims Data'!L824</f>
        <v>0</v>
      </c>
      <c r="I824">
        <f t="shared" si="24"/>
        <v>0</v>
      </c>
      <c r="J824" t="str">
        <f t="shared" si="25"/>
        <v>Low Risk</v>
      </c>
    </row>
    <row r="825" spans="1:10" x14ac:dyDescent="0.2">
      <c r="A825" t="str">
        <f>'Claims Data'!A825</f>
        <v>CLM00824</v>
      </c>
      <c r="B825" t="str">
        <f>'Claims Data'!B825</f>
        <v>PAT0039</v>
      </c>
      <c r="C825" t="str">
        <f>'Claims Data'!C825</f>
        <v>PRV0014</v>
      </c>
      <c r="D825" s="1">
        <f>'Claims Data'!D825</f>
        <v>45238</v>
      </c>
      <c r="E825">
        <f>'Claims Data'!H825</f>
        <v>37</v>
      </c>
      <c r="F825">
        <f>'Claims Data'!J825</f>
        <v>2500</v>
      </c>
      <c r="G825" t="str">
        <f>'Claims Data'!M825</f>
        <v>phantom_round_amount</v>
      </c>
      <c r="H825" t="b">
        <f>'Claims Data'!L825</f>
        <v>1</v>
      </c>
      <c r="I825">
        <f t="shared" si="24"/>
        <v>80</v>
      </c>
      <c r="J825" t="str">
        <f t="shared" si="25"/>
        <v>High Risk</v>
      </c>
    </row>
    <row r="826" spans="1:10" x14ac:dyDescent="0.2">
      <c r="A826" t="str">
        <f>'Claims Data'!A826</f>
        <v>CLM00825</v>
      </c>
      <c r="B826" t="str">
        <f>'Claims Data'!B826</f>
        <v>PAT0131</v>
      </c>
      <c r="C826" t="str">
        <f>'Claims Data'!C826</f>
        <v>PRV0059</v>
      </c>
      <c r="D826" s="1">
        <f>'Claims Data'!D826</f>
        <v>38452</v>
      </c>
      <c r="E826">
        <f>'Claims Data'!H826</f>
        <v>5.0999999999999996</v>
      </c>
      <c r="F826">
        <f>'Claims Data'!J826</f>
        <v>242.26</v>
      </c>
      <c r="G826" t="str">
        <f>'Claims Data'!M826</f>
        <v>deceased_patient_billing</v>
      </c>
      <c r="H826" t="b">
        <f>'Claims Data'!L826</f>
        <v>1</v>
      </c>
      <c r="I826">
        <f t="shared" si="24"/>
        <v>10</v>
      </c>
      <c r="J826" t="str">
        <f t="shared" si="25"/>
        <v>Low Risk</v>
      </c>
    </row>
    <row r="827" spans="1:10" x14ac:dyDescent="0.2">
      <c r="A827" t="str">
        <f>'Claims Data'!A827</f>
        <v>CLM00826</v>
      </c>
      <c r="B827" t="str">
        <f>'Claims Data'!B827</f>
        <v>PAT0257</v>
      </c>
      <c r="C827" t="str">
        <f>'Claims Data'!C827</f>
        <v>PRV0029</v>
      </c>
      <c r="D827" s="1">
        <f>'Claims Data'!D827</f>
        <v>45066</v>
      </c>
      <c r="E827">
        <f>'Claims Data'!H827</f>
        <v>4.5</v>
      </c>
      <c r="F827">
        <f>'Claims Data'!J827</f>
        <v>141.28</v>
      </c>
      <c r="G827">
        <f>'Claims Data'!M827</f>
        <v>0</v>
      </c>
      <c r="H827" t="b">
        <f>'Claims Data'!L827</f>
        <v>0</v>
      </c>
      <c r="I827">
        <f t="shared" si="24"/>
        <v>0</v>
      </c>
      <c r="J827" t="str">
        <f t="shared" si="25"/>
        <v>Low Risk</v>
      </c>
    </row>
    <row r="828" spans="1:10" x14ac:dyDescent="0.2">
      <c r="A828" t="str">
        <f>'Claims Data'!A828</f>
        <v>CLM00827</v>
      </c>
      <c r="B828" t="str">
        <f>'Claims Data'!B828</f>
        <v>PAT0035</v>
      </c>
      <c r="C828" t="str">
        <f>'Claims Data'!C828</f>
        <v>PRV0018</v>
      </c>
      <c r="D828" s="1">
        <f>'Claims Data'!D828</f>
        <v>45559</v>
      </c>
      <c r="E828">
        <f>'Claims Data'!H828</f>
        <v>3.6</v>
      </c>
      <c r="F828">
        <f>'Claims Data'!J828</f>
        <v>205.8</v>
      </c>
      <c r="G828">
        <f>'Claims Data'!M828</f>
        <v>0</v>
      </c>
      <c r="H828" t="b">
        <f>'Claims Data'!L828</f>
        <v>0</v>
      </c>
      <c r="I828">
        <f t="shared" si="24"/>
        <v>0</v>
      </c>
      <c r="J828" t="str">
        <f t="shared" si="25"/>
        <v>Low Risk</v>
      </c>
    </row>
    <row r="829" spans="1:10" x14ac:dyDescent="0.2">
      <c r="A829" t="str">
        <f>'Claims Data'!A829</f>
        <v>CLM00828</v>
      </c>
      <c r="B829" t="str">
        <f>'Claims Data'!B829</f>
        <v>PAT0140</v>
      </c>
      <c r="C829" t="str">
        <f>'Claims Data'!C829</f>
        <v>PRV0042</v>
      </c>
      <c r="D829" s="1">
        <f>'Claims Data'!D829</f>
        <v>45114</v>
      </c>
      <c r="E829">
        <f>'Claims Data'!H829</f>
        <v>5.7</v>
      </c>
      <c r="F829">
        <f>'Claims Data'!J829</f>
        <v>481.7</v>
      </c>
      <c r="G829">
        <f>'Claims Data'!M829</f>
        <v>0</v>
      </c>
      <c r="H829" t="b">
        <f>'Claims Data'!L829</f>
        <v>0</v>
      </c>
      <c r="I829">
        <f t="shared" si="24"/>
        <v>0</v>
      </c>
      <c r="J829" t="str">
        <f t="shared" si="25"/>
        <v>Low Risk</v>
      </c>
    </row>
    <row r="830" spans="1:10" x14ac:dyDescent="0.2">
      <c r="A830" t="str">
        <f>'Claims Data'!A830</f>
        <v>CLM00829</v>
      </c>
      <c r="B830" t="str">
        <f>'Claims Data'!B830</f>
        <v>PAT0182</v>
      </c>
      <c r="C830" t="str">
        <f>'Claims Data'!C830</f>
        <v>PRV0046</v>
      </c>
      <c r="D830" s="1">
        <f>'Claims Data'!D830</f>
        <v>45425</v>
      </c>
      <c r="E830">
        <f>'Claims Data'!H830</f>
        <v>4.5</v>
      </c>
      <c r="F830">
        <f>'Claims Data'!J830</f>
        <v>324.12</v>
      </c>
      <c r="G830">
        <f>'Claims Data'!M830</f>
        <v>0</v>
      </c>
      <c r="H830" t="b">
        <f>'Claims Data'!L830</f>
        <v>0</v>
      </c>
      <c r="I830">
        <f t="shared" si="24"/>
        <v>0</v>
      </c>
      <c r="J830" t="str">
        <f t="shared" si="25"/>
        <v>Low Risk</v>
      </c>
    </row>
    <row r="831" spans="1:10" x14ac:dyDescent="0.2">
      <c r="A831" t="str">
        <f>'Claims Data'!A831</f>
        <v>CLM00830</v>
      </c>
      <c r="B831" t="str">
        <f>'Claims Data'!B831</f>
        <v>PAT0129</v>
      </c>
      <c r="C831" t="str">
        <f>'Claims Data'!C831</f>
        <v>PRV0011</v>
      </c>
      <c r="D831" s="1">
        <f>'Claims Data'!D831</f>
        <v>45108</v>
      </c>
      <c r="E831">
        <f>'Claims Data'!H831</f>
        <v>4.2</v>
      </c>
      <c r="F831">
        <f>'Claims Data'!J831</f>
        <v>244.84</v>
      </c>
      <c r="G831">
        <f>'Claims Data'!M831</f>
        <v>0</v>
      </c>
      <c r="H831" t="b">
        <f>'Claims Data'!L831</f>
        <v>0</v>
      </c>
      <c r="I831">
        <f t="shared" si="24"/>
        <v>0</v>
      </c>
      <c r="J831" t="str">
        <f t="shared" si="25"/>
        <v>Low Risk</v>
      </c>
    </row>
    <row r="832" spans="1:10" x14ac:dyDescent="0.2">
      <c r="A832" t="str">
        <f>'Claims Data'!A832</f>
        <v>CLM00831</v>
      </c>
      <c r="B832" t="str">
        <f>'Claims Data'!B832</f>
        <v>PAT0133</v>
      </c>
      <c r="C832" t="str">
        <f>'Claims Data'!C832</f>
        <v>PRV0006</v>
      </c>
      <c r="D832" s="1">
        <f>'Claims Data'!D832</f>
        <v>45388</v>
      </c>
      <c r="E832">
        <f>'Claims Data'!H832</f>
        <v>18.3</v>
      </c>
      <c r="F832">
        <f>'Claims Data'!J832</f>
        <v>1307.54</v>
      </c>
      <c r="G832" t="str">
        <f>'Claims Data'!M832</f>
        <v>inflated_hours</v>
      </c>
      <c r="H832" t="b">
        <f>'Claims Data'!L832</f>
        <v>1</v>
      </c>
      <c r="I832">
        <f t="shared" si="24"/>
        <v>50</v>
      </c>
      <c r="J832" t="str">
        <f t="shared" si="25"/>
        <v>Medium Risk</v>
      </c>
    </row>
    <row r="833" spans="1:10" x14ac:dyDescent="0.2">
      <c r="A833" t="str">
        <f>'Claims Data'!A833</f>
        <v>CLM00832</v>
      </c>
      <c r="B833" t="str">
        <f>'Claims Data'!B833</f>
        <v>PAT0096</v>
      </c>
      <c r="C833" t="str">
        <f>'Claims Data'!C833</f>
        <v>PRV0013</v>
      </c>
      <c r="D833" s="1">
        <f>'Claims Data'!D833</f>
        <v>45337</v>
      </c>
      <c r="E833">
        <f>'Claims Data'!H833</f>
        <v>7.1</v>
      </c>
      <c r="F833">
        <f>'Claims Data'!J833</f>
        <v>458.35</v>
      </c>
      <c r="G833">
        <f>'Claims Data'!M833</f>
        <v>0</v>
      </c>
      <c r="H833" t="b">
        <f>'Claims Data'!L833</f>
        <v>0</v>
      </c>
      <c r="I833">
        <f t="shared" si="24"/>
        <v>0</v>
      </c>
      <c r="J833" t="str">
        <f t="shared" si="25"/>
        <v>Low Risk</v>
      </c>
    </row>
    <row r="834" spans="1:10" x14ac:dyDescent="0.2">
      <c r="A834" t="str">
        <f>'Claims Data'!A834</f>
        <v>CLM00833</v>
      </c>
      <c r="B834" t="str">
        <f>'Claims Data'!B834</f>
        <v>PAT0067</v>
      </c>
      <c r="C834" t="str">
        <f>'Claims Data'!C834</f>
        <v>PRV0055</v>
      </c>
      <c r="D834" s="1">
        <f>'Claims Data'!D834</f>
        <v>45516</v>
      </c>
      <c r="E834">
        <f>'Claims Data'!H834</f>
        <v>22.1</v>
      </c>
      <c r="F834">
        <f>'Claims Data'!J834</f>
        <v>1479.82</v>
      </c>
      <c r="G834" t="str">
        <f>'Claims Data'!M834</f>
        <v>inflated_hours</v>
      </c>
      <c r="H834" t="b">
        <f>'Claims Data'!L834</f>
        <v>1</v>
      </c>
      <c r="I834">
        <f t="shared" si="24"/>
        <v>50</v>
      </c>
      <c r="J834" t="str">
        <f t="shared" si="25"/>
        <v>Medium Risk</v>
      </c>
    </row>
    <row r="835" spans="1:10" x14ac:dyDescent="0.2">
      <c r="A835" t="str">
        <f>'Claims Data'!A835</f>
        <v>CLM00834</v>
      </c>
      <c r="B835" t="str">
        <f>'Claims Data'!B835</f>
        <v>PAT0124</v>
      </c>
      <c r="C835" t="str">
        <f>'Claims Data'!C835</f>
        <v>PRV0026</v>
      </c>
      <c r="D835" s="1">
        <f>'Claims Data'!D835</f>
        <v>45529</v>
      </c>
      <c r="E835">
        <f>'Claims Data'!H835</f>
        <v>3.3</v>
      </c>
      <c r="F835">
        <f>'Claims Data'!J835</f>
        <v>161.81</v>
      </c>
      <c r="G835" t="str">
        <f>'Claims Data'!M835</f>
        <v>duplicate_claim</v>
      </c>
      <c r="H835" t="b">
        <f>'Claims Data'!L835</f>
        <v>1</v>
      </c>
      <c r="I835">
        <f t="shared" ref="I835:I898" si="26">IF(E835&gt;16,40,0)+IF(MOD(F835,250)=0,30,0)+IF(H835=TRUE,10,0)</f>
        <v>10</v>
      </c>
      <c r="J835" t="str">
        <f t="shared" ref="J835:J898" si="27">IF(I835&gt;=70,"High Risk",IF(I835&gt;=30,"Medium Risk","Low Risk"))</f>
        <v>Low Risk</v>
      </c>
    </row>
    <row r="836" spans="1:10" x14ac:dyDescent="0.2">
      <c r="A836" t="str">
        <f>'Claims Data'!A836</f>
        <v>CLM00835</v>
      </c>
      <c r="B836" t="str">
        <f>'Claims Data'!B836</f>
        <v>PAT0243</v>
      </c>
      <c r="C836" t="str">
        <f>'Claims Data'!C836</f>
        <v>PRV0030</v>
      </c>
      <c r="D836" s="1">
        <f>'Claims Data'!D836</f>
        <v>45631</v>
      </c>
      <c r="E836">
        <f>'Claims Data'!H836</f>
        <v>3</v>
      </c>
      <c r="F836">
        <f>'Claims Data'!J836</f>
        <v>248.62</v>
      </c>
      <c r="G836">
        <f>'Claims Data'!M836</f>
        <v>0</v>
      </c>
      <c r="H836" t="b">
        <f>'Claims Data'!L836</f>
        <v>0</v>
      </c>
      <c r="I836">
        <f t="shared" si="26"/>
        <v>0</v>
      </c>
      <c r="J836" t="str">
        <f t="shared" si="27"/>
        <v>Low Risk</v>
      </c>
    </row>
    <row r="837" spans="1:10" x14ac:dyDescent="0.2">
      <c r="A837" t="str">
        <f>'Claims Data'!A837</f>
        <v>CLM00836</v>
      </c>
      <c r="B837" t="str">
        <f>'Claims Data'!B837</f>
        <v>PAT0015</v>
      </c>
      <c r="C837" t="str">
        <f>'Claims Data'!C837</f>
        <v>PRV0054</v>
      </c>
      <c r="D837" s="1">
        <f>'Claims Data'!D837</f>
        <v>45303</v>
      </c>
      <c r="E837">
        <f>'Claims Data'!H837</f>
        <v>6.9</v>
      </c>
      <c r="F837">
        <f>'Claims Data'!J837</f>
        <v>367.77</v>
      </c>
      <c r="G837">
        <f>'Claims Data'!M837</f>
        <v>0</v>
      </c>
      <c r="H837" t="b">
        <f>'Claims Data'!L837</f>
        <v>0</v>
      </c>
      <c r="I837">
        <f t="shared" si="26"/>
        <v>0</v>
      </c>
      <c r="J837" t="str">
        <f t="shared" si="27"/>
        <v>Low Risk</v>
      </c>
    </row>
    <row r="838" spans="1:10" x14ac:dyDescent="0.2">
      <c r="A838" t="str">
        <f>'Claims Data'!A838</f>
        <v>CLM00837</v>
      </c>
      <c r="B838" t="str">
        <f>'Claims Data'!B838</f>
        <v>PAT0081</v>
      </c>
      <c r="C838" t="str">
        <f>'Claims Data'!C838</f>
        <v>PRV0039</v>
      </c>
      <c r="D838" s="1">
        <f>'Claims Data'!D838</f>
        <v>45631</v>
      </c>
      <c r="E838">
        <f>'Claims Data'!H838</f>
        <v>2.5</v>
      </c>
      <c r="F838">
        <f>'Claims Data'!J838</f>
        <v>101.96</v>
      </c>
      <c r="G838">
        <f>'Claims Data'!M838</f>
        <v>0</v>
      </c>
      <c r="H838" t="b">
        <f>'Claims Data'!L838</f>
        <v>0</v>
      </c>
      <c r="I838">
        <f t="shared" si="26"/>
        <v>0</v>
      </c>
      <c r="J838" t="str">
        <f t="shared" si="27"/>
        <v>Low Risk</v>
      </c>
    </row>
    <row r="839" spans="1:10" x14ac:dyDescent="0.2">
      <c r="A839" t="str">
        <f>'Claims Data'!A839</f>
        <v>CLM00838</v>
      </c>
      <c r="B839" t="str">
        <f>'Claims Data'!B839</f>
        <v>PAT0062</v>
      </c>
      <c r="C839" t="str">
        <f>'Claims Data'!C839</f>
        <v>PRV0038</v>
      </c>
      <c r="D839" s="1">
        <f>'Claims Data'!D839</f>
        <v>45539</v>
      </c>
      <c r="E839">
        <f>'Claims Data'!H839</f>
        <v>5.7</v>
      </c>
      <c r="F839">
        <f>'Claims Data'!J839</f>
        <v>390.28</v>
      </c>
      <c r="G839">
        <f>'Claims Data'!M839</f>
        <v>0</v>
      </c>
      <c r="H839" t="b">
        <f>'Claims Data'!L839</f>
        <v>0</v>
      </c>
      <c r="I839">
        <f t="shared" si="26"/>
        <v>0</v>
      </c>
      <c r="J839" t="str">
        <f t="shared" si="27"/>
        <v>Low Risk</v>
      </c>
    </row>
    <row r="840" spans="1:10" x14ac:dyDescent="0.2">
      <c r="A840" t="str">
        <f>'Claims Data'!A840</f>
        <v>CLM00839</v>
      </c>
      <c r="B840" t="str">
        <f>'Claims Data'!B840</f>
        <v>PAT0184</v>
      </c>
      <c r="C840" t="str">
        <f>'Claims Data'!C840</f>
        <v>PRV0036</v>
      </c>
      <c r="D840" s="1">
        <f>'Claims Data'!D840</f>
        <v>45404</v>
      </c>
      <c r="E840">
        <f>'Claims Data'!H840</f>
        <v>6.3</v>
      </c>
      <c r="F840">
        <f>'Claims Data'!J840</f>
        <v>383.34</v>
      </c>
      <c r="G840">
        <f>'Claims Data'!M840</f>
        <v>0</v>
      </c>
      <c r="H840" t="b">
        <f>'Claims Data'!L840</f>
        <v>0</v>
      </c>
      <c r="I840">
        <f t="shared" si="26"/>
        <v>0</v>
      </c>
      <c r="J840" t="str">
        <f t="shared" si="27"/>
        <v>Low Risk</v>
      </c>
    </row>
    <row r="841" spans="1:10" x14ac:dyDescent="0.2">
      <c r="A841" t="str">
        <f>'Claims Data'!A841</f>
        <v>CLM00840</v>
      </c>
      <c r="B841" t="str">
        <f>'Claims Data'!B841</f>
        <v>PAT0017</v>
      </c>
      <c r="C841" t="str">
        <f>'Claims Data'!C841</f>
        <v>PRV0039</v>
      </c>
      <c r="D841" s="1">
        <f>'Claims Data'!D841</f>
        <v>45307</v>
      </c>
      <c r="E841">
        <f>'Claims Data'!H841</f>
        <v>4.5999999999999996</v>
      </c>
      <c r="F841">
        <f>'Claims Data'!J841</f>
        <v>170.67</v>
      </c>
      <c r="G841">
        <f>'Claims Data'!M841</f>
        <v>0</v>
      </c>
      <c r="H841" t="b">
        <f>'Claims Data'!L841</f>
        <v>0</v>
      </c>
      <c r="I841">
        <f t="shared" si="26"/>
        <v>0</v>
      </c>
      <c r="J841" t="str">
        <f t="shared" si="27"/>
        <v>Low Risk</v>
      </c>
    </row>
    <row r="842" spans="1:10" x14ac:dyDescent="0.2">
      <c r="A842" t="str">
        <f>'Claims Data'!A842</f>
        <v>CLM00841</v>
      </c>
      <c r="B842" t="str">
        <f>'Claims Data'!B842</f>
        <v>PAT0147</v>
      </c>
      <c r="C842" t="str">
        <f>'Claims Data'!C842</f>
        <v>PRV0036</v>
      </c>
      <c r="D842" s="1">
        <f>'Claims Data'!D842</f>
        <v>45391</v>
      </c>
      <c r="E842">
        <f>'Claims Data'!H842</f>
        <v>3.2</v>
      </c>
      <c r="F842">
        <f>'Claims Data'!J842</f>
        <v>230.52</v>
      </c>
      <c r="G842">
        <f>'Claims Data'!M842</f>
        <v>0</v>
      </c>
      <c r="H842" t="b">
        <f>'Claims Data'!L842</f>
        <v>0</v>
      </c>
      <c r="I842">
        <f t="shared" si="26"/>
        <v>0</v>
      </c>
      <c r="J842" t="str">
        <f t="shared" si="27"/>
        <v>Low Risk</v>
      </c>
    </row>
    <row r="843" spans="1:10" x14ac:dyDescent="0.2">
      <c r="A843" t="str">
        <f>'Claims Data'!A843</f>
        <v>CLM00842</v>
      </c>
      <c r="B843" t="str">
        <f>'Claims Data'!B843</f>
        <v>PAT0174</v>
      </c>
      <c r="C843" t="str">
        <f>'Claims Data'!C843</f>
        <v>PRV0001</v>
      </c>
      <c r="D843" s="1">
        <f>'Claims Data'!D843</f>
        <v>45601</v>
      </c>
      <c r="E843">
        <f>'Claims Data'!H843</f>
        <v>11.5</v>
      </c>
      <c r="F843">
        <f>'Claims Data'!J843</f>
        <v>750</v>
      </c>
      <c r="G843" t="str">
        <f>'Claims Data'!M843</f>
        <v>phantom_round_amount</v>
      </c>
      <c r="H843" t="b">
        <f>'Claims Data'!L843</f>
        <v>1</v>
      </c>
      <c r="I843">
        <f t="shared" si="26"/>
        <v>40</v>
      </c>
      <c r="J843" t="str">
        <f t="shared" si="27"/>
        <v>Medium Risk</v>
      </c>
    </row>
    <row r="844" spans="1:10" x14ac:dyDescent="0.2">
      <c r="A844" t="str">
        <f>'Claims Data'!A844</f>
        <v>CLM00843</v>
      </c>
      <c r="B844" t="str">
        <f>'Claims Data'!B844</f>
        <v>PAT0055</v>
      </c>
      <c r="C844" t="str">
        <f>'Claims Data'!C844</f>
        <v>PRV0013</v>
      </c>
      <c r="D844" s="1">
        <f>'Claims Data'!D844</f>
        <v>45230</v>
      </c>
      <c r="E844">
        <f>'Claims Data'!H844</f>
        <v>5.9</v>
      </c>
      <c r="F844">
        <f>'Claims Data'!J844</f>
        <v>492.88</v>
      </c>
      <c r="G844">
        <f>'Claims Data'!M844</f>
        <v>0</v>
      </c>
      <c r="H844" t="b">
        <f>'Claims Data'!L844</f>
        <v>0</v>
      </c>
      <c r="I844">
        <f t="shared" si="26"/>
        <v>0</v>
      </c>
      <c r="J844" t="str">
        <f t="shared" si="27"/>
        <v>Low Risk</v>
      </c>
    </row>
    <row r="845" spans="1:10" x14ac:dyDescent="0.2">
      <c r="A845" t="str">
        <f>'Claims Data'!A845</f>
        <v>CLM00844</v>
      </c>
      <c r="B845" t="str">
        <f>'Claims Data'!B845</f>
        <v>PAT0295</v>
      </c>
      <c r="C845" t="str">
        <f>'Claims Data'!C845</f>
        <v>PRV0036</v>
      </c>
      <c r="D845" s="1">
        <f>'Claims Data'!D845</f>
        <v>45118</v>
      </c>
      <c r="E845">
        <f>'Claims Data'!H845</f>
        <v>6.7</v>
      </c>
      <c r="F845">
        <f>'Claims Data'!J845</f>
        <v>309.45999999999998</v>
      </c>
      <c r="G845">
        <f>'Claims Data'!M845</f>
        <v>0</v>
      </c>
      <c r="H845" t="b">
        <f>'Claims Data'!L845</f>
        <v>0</v>
      </c>
      <c r="I845">
        <f t="shared" si="26"/>
        <v>0</v>
      </c>
      <c r="J845" t="str">
        <f t="shared" si="27"/>
        <v>Low Risk</v>
      </c>
    </row>
    <row r="846" spans="1:10" x14ac:dyDescent="0.2">
      <c r="A846" t="str">
        <f>'Claims Data'!A846</f>
        <v>CLM00845</v>
      </c>
      <c r="B846" t="str">
        <f>'Claims Data'!B846</f>
        <v>PAT0073</v>
      </c>
      <c r="C846" t="str">
        <f>'Claims Data'!C846</f>
        <v>PRV0013</v>
      </c>
      <c r="D846" s="1">
        <f>'Claims Data'!D846</f>
        <v>45115</v>
      </c>
      <c r="E846">
        <f>'Claims Data'!H846</f>
        <v>5.5</v>
      </c>
      <c r="F846">
        <f>'Claims Data'!J846</f>
        <v>308.36</v>
      </c>
      <c r="G846">
        <f>'Claims Data'!M846</f>
        <v>0</v>
      </c>
      <c r="H846" t="b">
        <f>'Claims Data'!L846</f>
        <v>0</v>
      </c>
      <c r="I846">
        <f t="shared" si="26"/>
        <v>0</v>
      </c>
      <c r="J846" t="str">
        <f t="shared" si="27"/>
        <v>Low Risk</v>
      </c>
    </row>
    <row r="847" spans="1:10" x14ac:dyDescent="0.2">
      <c r="A847" t="str">
        <f>'Claims Data'!A847</f>
        <v>CLM00846</v>
      </c>
      <c r="B847" t="str">
        <f>'Claims Data'!B847</f>
        <v>PAT0122</v>
      </c>
      <c r="C847" t="str">
        <f>'Claims Data'!C847</f>
        <v>PRV0003</v>
      </c>
      <c r="D847" s="1">
        <f>'Claims Data'!D847</f>
        <v>45172</v>
      </c>
      <c r="E847">
        <f>'Claims Data'!H847</f>
        <v>7.5</v>
      </c>
      <c r="F847">
        <f>'Claims Data'!J847</f>
        <v>434.82</v>
      </c>
      <c r="G847">
        <f>'Claims Data'!M847</f>
        <v>0</v>
      </c>
      <c r="H847" t="b">
        <f>'Claims Data'!L847</f>
        <v>0</v>
      </c>
      <c r="I847">
        <f t="shared" si="26"/>
        <v>0</v>
      </c>
      <c r="J847" t="str">
        <f t="shared" si="27"/>
        <v>Low Risk</v>
      </c>
    </row>
    <row r="848" spans="1:10" x14ac:dyDescent="0.2">
      <c r="A848" t="str">
        <f>'Claims Data'!A848</f>
        <v>CLM00847</v>
      </c>
      <c r="B848" t="str">
        <f>'Claims Data'!B848</f>
        <v>PAT0243</v>
      </c>
      <c r="C848" t="str">
        <f>'Claims Data'!C848</f>
        <v>PRV0055</v>
      </c>
      <c r="D848" s="1">
        <f>'Claims Data'!D848</f>
        <v>45043</v>
      </c>
      <c r="E848">
        <f>'Claims Data'!H848</f>
        <v>4.0999999999999996</v>
      </c>
      <c r="F848">
        <f>'Claims Data'!J848</f>
        <v>303.12</v>
      </c>
      <c r="G848">
        <f>'Claims Data'!M848</f>
        <v>0</v>
      </c>
      <c r="H848" t="b">
        <f>'Claims Data'!L848</f>
        <v>0</v>
      </c>
      <c r="I848">
        <f t="shared" si="26"/>
        <v>0</v>
      </c>
      <c r="J848" t="str">
        <f t="shared" si="27"/>
        <v>Low Risk</v>
      </c>
    </row>
    <row r="849" spans="1:10" x14ac:dyDescent="0.2">
      <c r="A849" t="str">
        <f>'Claims Data'!A849</f>
        <v>CLM00848</v>
      </c>
      <c r="B849" t="str">
        <f>'Claims Data'!B849</f>
        <v>PAT0016</v>
      </c>
      <c r="C849" t="str">
        <f>'Claims Data'!C849</f>
        <v>PRV0033</v>
      </c>
      <c r="D849" s="1">
        <f>'Claims Data'!D849</f>
        <v>45486</v>
      </c>
      <c r="E849">
        <f>'Claims Data'!H849</f>
        <v>4.7</v>
      </c>
      <c r="F849">
        <f>'Claims Data'!J849</f>
        <v>231.42</v>
      </c>
      <c r="G849">
        <f>'Claims Data'!M849</f>
        <v>0</v>
      </c>
      <c r="H849" t="b">
        <f>'Claims Data'!L849</f>
        <v>0</v>
      </c>
      <c r="I849">
        <f t="shared" si="26"/>
        <v>0</v>
      </c>
      <c r="J849" t="str">
        <f t="shared" si="27"/>
        <v>Low Risk</v>
      </c>
    </row>
    <row r="850" spans="1:10" x14ac:dyDescent="0.2">
      <c r="A850" t="str">
        <f>'Claims Data'!A850</f>
        <v>CLM00849</v>
      </c>
      <c r="B850" t="str">
        <f>'Claims Data'!B850</f>
        <v>PAT0090</v>
      </c>
      <c r="C850" t="str">
        <f>'Claims Data'!C850</f>
        <v>PRV0043</v>
      </c>
      <c r="D850" s="1">
        <f>'Claims Data'!D850</f>
        <v>45147</v>
      </c>
      <c r="E850">
        <f>'Claims Data'!H850</f>
        <v>3.1</v>
      </c>
      <c r="F850">
        <f>'Claims Data'!J850</f>
        <v>171.66</v>
      </c>
      <c r="G850">
        <f>'Claims Data'!M850</f>
        <v>0</v>
      </c>
      <c r="H850" t="b">
        <f>'Claims Data'!L850</f>
        <v>0</v>
      </c>
      <c r="I850">
        <f t="shared" si="26"/>
        <v>0</v>
      </c>
      <c r="J850" t="str">
        <f t="shared" si="27"/>
        <v>Low Risk</v>
      </c>
    </row>
    <row r="851" spans="1:10" x14ac:dyDescent="0.2">
      <c r="A851" t="str">
        <f>'Claims Data'!A851</f>
        <v>CLM00850</v>
      </c>
      <c r="B851" t="str">
        <f>'Claims Data'!B851</f>
        <v>PAT0222</v>
      </c>
      <c r="C851" t="str">
        <f>'Claims Data'!C851</f>
        <v>PRV0013</v>
      </c>
      <c r="D851" s="1">
        <f>'Claims Data'!D851</f>
        <v>45129</v>
      </c>
      <c r="E851">
        <f>'Claims Data'!H851</f>
        <v>5</v>
      </c>
      <c r="F851">
        <f>'Claims Data'!J851</f>
        <v>226.99</v>
      </c>
      <c r="G851">
        <f>'Claims Data'!M851</f>
        <v>0</v>
      </c>
      <c r="H851" t="b">
        <f>'Claims Data'!L851</f>
        <v>0</v>
      </c>
      <c r="I851">
        <f t="shared" si="26"/>
        <v>0</v>
      </c>
      <c r="J851" t="str">
        <f t="shared" si="27"/>
        <v>Low Risk</v>
      </c>
    </row>
    <row r="852" spans="1:10" x14ac:dyDescent="0.2">
      <c r="A852" t="str">
        <f>'Claims Data'!A852</f>
        <v>CLM00851</v>
      </c>
      <c r="B852" t="str">
        <f>'Claims Data'!B852</f>
        <v>PAT0076</v>
      </c>
      <c r="C852" t="str">
        <f>'Claims Data'!C852</f>
        <v>PRV0042</v>
      </c>
      <c r="D852" s="1">
        <f>'Claims Data'!D852</f>
        <v>45278</v>
      </c>
      <c r="E852">
        <f>'Claims Data'!H852</f>
        <v>7.3</v>
      </c>
      <c r="F852">
        <f>'Claims Data'!J852</f>
        <v>538.66</v>
      </c>
      <c r="G852">
        <f>'Claims Data'!M852</f>
        <v>0</v>
      </c>
      <c r="H852" t="b">
        <f>'Claims Data'!L852</f>
        <v>0</v>
      </c>
      <c r="I852">
        <f t="shared" si="26"/>
        <v>0</v>
      </c>
      <c r="J852" t="str">
        <f t="shared" si="27"/>
        <v>Low Risk</v>
      </c>
    </row>
    <row r="853" spans="1:10" x14ac:dyDescent="0.2">
      <c r="A853" t="str">
        <f>'Claims Data'!A853</f>
        <v>CLM00852</v>
      </c>
      <c r="B853" t="str">
        <f>'Claims Data'!B853</f>
        <v>PAT0052</v>
      </c>
      <c r="C853" t="str">
        <f>'Claims Data'!C853</f>
        <v>PRV0057</v>
      </c>
      <c r="D853" s="1">
        <f>'Claims Data'!D853</f>
        <v>45560</v>
      </c>
      <c r="E853">
        <f>'Claims Data'!H853</f>
        <v>6.2</v>
      </c>
      <c r="F853">
        <f>'Claims Data'!J853</f>
        <v>514.37</v>
      </c>
      <c r="G853">
        <f>'Claims Data'!M853</f>
        <v>0</v>
      </c>
      <c r="H853" t="b">
        <f>'Claims Data'!L853</f>
        <v>0</v>
      </c>
      <c r="I853">
        <f t="shared" si="26"/>
        <v>0</v>
      </c>
      <c r="J853" t="str">
        <f t="shared" si="27"/>
        <v>Low Risk</v>
      </c>
    </row>
    <row r="854" spans="1:10" x14ac:dyDescent="0.2">
      <c r="A854" t="str">
        <f>'Claims Data'!A854</f>
        <v>CLM00853</v>
      </c>
      <c r="B854" t="str">
        <f>'Claims Data'!B854</f>
        <v>PAT0016</v>
      </c>
      <c r="C854" t="str">
        <f>'Claims Data'!C854</f>
        <v>PRV0035</v>
      </c>
      <c r="D854" s="1">
        <f>'Claims Data'!D854</f>
        <v>45077</v>
      </c>
      <c r="E854">
        <f>'Claims Data'!H854</f>
        <v>6.6</v>
      </c>
      <c r="F854">
        <f>'Claims Data'!J854</f>
        <v>464.96</v>
      </c>
      <c r="G854">
        <f>'Claims Data'!M854</f>
        <v>0</v>
      </c>
      <c r="H854" t="b">
        <f>'Claims Data'!L854</f>
        <v>0</v>
      </c>
      <c r="I854">
        <f t="shared" si="26"/>
        <v>0</v>
      </c>
      <c r="J854" t="str">
        <f t="shared" si="27"/>
        <v>Low Risk</v>
      </c>
    </row>
    <row r="855" spans="1:10" x14ac:dyDescent="0.2">
      <c r="A855" t="str">
        <f>'Claims Data'!A855</f>
        <v>CLM00854</v>
      </c>
      <c r="B855" t="str">
        <f>'Claims Data'!B855</f>
        <v>PAT0018</v>
      </c>
      <c r="C855" t="str">
        <f>'Claims Data'!C855</f>
        <v>PRV0057</v>
      </c>
      <c r="D855" s="1">
        <f>'Claims Data'!D855</f>
        <v>45300</v>
      </c>
      <c r="E855">
        <f>'Claims Data'!H855</f>
        <v>7.4</v>
      </c>
      <c r="F855">
        <f>'Claims Data'!J855</f>
        <v>567.74</v>
      </c>
      <c r="G855">
        <f>'Claims Data'!M855</f>
        <v>0</v>
      </c>
      <c r="H855" t="b">
        <f>'Claims Data'!L855</f>
        <v>0</v>
      </c>
      <c r="I855">
        <f t="shared" si="26"/>
        <v>0</v>
      </c>
      <c r="J855" t="str">
        <f t="shared" si="27"/>
        <v>Low Risk</v>
      </c>
    </row>
    <row r="856" spans="1:10" x14ac:dyDescent="0.2">
      <c r="A856" t="str">
        <f>'Claims Data'!A856</f>
        <v>CLM00855</v>
      </c>
      <c r="B856" t="str">
        <f>'Claims Data'!B856</f>
        <v>PAT0115</v>
      </c>
      <c r="C856" t="str">
        <f>'Claims Data'!C856</f>
        <v>PRV0030</v>
      </c>
      <c r="D856" s="1">
        <f>'Claims Data'!D856</f>
        <v>45266</v>
      </c>
      <c r="E856">
        <f>'Claims Data'!H856</f>
        <v>3.5</v>
      </c>
      <c r="F856">
        <f>'Claims Data'!J856</f>
        <v>167.86</v>
      </c>
      <c r="G856">
        <f>'Claims Data'!M856</f>
        <v>0</v>
      </c>
      <c r="H856" t="b">
        <f>'Claims Data'!L856</f>
        <v>0</v>
      </c>
      <c r="I856">
        <f t="shared" si="26"/>
        <v>0</v>
      </c>
      <c r="J856" t="str">
        <f t="shared" si="27"/>
        <v>Low Risk</v>
      </c>
    </row>
    <row r="857" spans="1:10" x14ac:dyDescent="0.2">
      <c r="A857" t="str">
        <f>'Claims Data'!A857</f>
        <v>CLM00856</v>
      </c>
      <c r="B857" t="str">
        <f>'Claims Data'!B857</f>
        <v>PAT0286</v>
      </c>
      <c r="C857" t="str">
        <f>'Claims Data'!C857</f>
        <v>PRV0020</v>
      </c>
      <c r="D857" s="1">
        <f>'Claims Data'!D857</f>
        <v>45255</v>
      </c>
      <c r="E857">
        <f>'Claims Data'!H857</f>
        <v>6.8</v>
      </c>
      <c r="F857">
        <f>'Claims Data'!J857</f>
        <v>338.27</v>
      </c>
      <c r="G857">
        <f>'Claims Data'!M857</f>
        <v>0</v>
      </c>
      <c r="H857" t="b">
        <f>'Claims Data'!L857</f>
        <v>0</v>
      </c>
      <c r="I857">
        <f t="shared" si="26"/>
        <v>0</v>
      </c>
      <c r="J857" t="str">
        <f t="shared" si="27"/>
        <v>Low Risk</v>
      </c>
    </row>
    <row r="858" spans="1:10" x14ac:dyDescent="0.2">
      <c r="A858" t="str">
        <f>'Claims Data'!A858</f>
        <v>CLM00857</v>
      </c>
      <c r="B858" t="str">
        <f>'Claims Data'!B858</f>
        <v>PAT0134</v>
      </c>
      <c r="C858" t="str">
        <f>'Claims Data'!C858</f>
        <v>PRV0006</v>
      </c>
      <c r="D858" s="1">
        <f>'Claims Data'!D858</f>
        <v>45235</v>
      </c>
      <c r="E858">
        <f>'Claims Data'!H858</f>
        <v>17.100000000000001</v>
      </c>
      <c r="F858">
        <f>'Claims Data'!J858</f>
        <v>697.68</v>
      </c>
      <c r="G858" t="str">
        <f>'Claims Data'!M858</f>
        <v>inflated_hours</v>
      </c>
      <c r="H858" t="b">
        <f>'Claims Data'!L858</f>
        <v>1</v>
      </c>
      <c r="I858">
        <f t="shared" si="26"/>
        <v>50</v>
      </c>
      <c r="J858" t="str">
        <f t="shared" si="27"/>
        <v>Medium Risk</v>
      </c>
    </row>
    <row r="859" spans="1:10" x14ac:dyDescent="0.2">
      <c r="A859" t="str">
        <f>'Claims Data'!A859</f>
        <v>CLM00858</v>
      </c>
      <c r="B859" t="str">
        <f>'Claims Data'!B859</f>
        <v>PAT0139</v>
      </c>
      <c r="C859" t="str">
        <f>'Claims Data'!C859</f>
        <v>PRV0047</v>
      </c>
      <c r="D859" s="1">
        <f>'Claims Data'!D859</f>
        <v>45586</v>
      </c>
      <c r="E859">
        <f>'Claims Data'!H859</f>
        <v>4.4000000000000004</v>
      </c>
      <c r="F859">
        <f>'Claims Data'!J859</f>
        <v>307.68</v>
      </c>
      <c r="G859">
        <f>'Claims Data'!M859</f>
        <v>0</v>
      </c>
      <c r="H859" t="b">
        <f>'Claims Data'!L859</f>
        <v>0</v>
      </c>
      <c r="I859">
        <f t="shared" si="26"/>
        <v>0</v>
      </c>
      <c r="J859" t="str">
        <f t="shared" si="27"/>
        <v>Low Risk</v>
      </c>
    </row>
    <row r="860" spans="1:10" x14ac:dyDescent="0.2">
      <c r="A860" t="str">
        <f>'Claims Data'!A860</f>
        <v>CLM00859</v>
      </c>
      <c r="B860" t="str">
        <f>'Claims Data'!B860</f>
        <v>PAT0069</v>
      </c>
      <c r="C860" t="str">
        <f>'Claims Data'!C860</f>
        <v>PRV0013</v>
      </c>
      <c r="D860" s="1">
        <f>'Claims Data'!D860</f>
        <v>45043</v>
      </c>
      <c r="E860">
        <f>'Claims Data'!H860</f>
        <v>5.3</v>
      </c>
      <c r="F860">
        <f>'Claims Data'!J860</f>
        <v>189.26</v>
      </c>
      <c r="G860">
        <f>'Claims Data'!M860</f>
        <v>0</v>
      </c>
      <c r="H860" t="b">
        <f>'Claims Data'!L860</f>
        <v>0</v>
      </c>
      <c r="I860">
        <f t="shared" si="26"/>
        <v>0</v>
      </c>
      <c r="J860" t="str">
        <f t="shared" si="27"/>
        <v>Low Risk</v>
      </c>
    </row>
    <row r="861" spans="1:10" x14ac:dyDescent="0.2">
      <c r="A861" t="str">
        <f>'Claims Data'!A861</f>
        <v>CLM00860</v>
      </c>
      <c r="B861" t="str">
        <f>'Claims Data'!B861</f>
        <v>PAT0028</v>
      </c>
      <c r="C861" t="str">
        <f>'Claims Data'!C861</f>
        <v>PRV0040</v>
      </c>
      <c r="D861" s="1">
        <f>'Claims Data'!D861</f>
        <v>45517</v>
      </c>
      <c r="E861">
        <f>'Claims Data'!H861</f>
        <v>3.3</v>
      </c>
      <c r="F861">
        <f>'Claims Data'!J861</f>
        <v>196.1</v>
      </c>
      <c r="G861" t="str">
        <f>'Claims Data'!M861</f>
        <v>duplicate_claim</v>
      </c>
      <c r="H861" t="b">
        <f>'Claims Data'!L861</f>
        <v>1</v>
      </c>
      <c r="I861">
        <f t="shared" si="26"/>
        <v>10</v>
      </c>
      <c r="J861" t="str">
        <f t="shared" si="27"/>
        <v>Low Risk</v>
      </c>
    </row>
    <row r="862" spans="1:10" x14ac:dyDescent="0.2">
      <c r="A862" t="str">
        <f>'Claims Data'!A862</f>
        <v>CLM00861</v>
      </c>
      <c r="B862" t="str">
        <f>'Claims Data'!B862</f>
        <v>PAT0132</v>
      </c>
      <c r="C862" t="str">
        <f>'Claims Data'!C862</f>
        <v>PRV0011</v>
      </c>
      <c r="D862" s="1">
        <f>'Claims Data'!D862</f>
        <v>45239</v>
      </c>
      <c r="E862">
        <f>'Claims Data'!H862</f>
        <v>5</v>
      </c>
      <c r="F862">
        <f>'Claims Data'!J862</f>
        <v>184.9</v>
      </c>
      <c r="G862">
        <f>'Claims Data'!M862</f>
        <v>0</v>
      </c>
      <c r="H862" t="b">
        <f>'Claims Data'!L862</f>
        <v>0</v>
      </c>
      <c r="I862">
        <f t="shared" si="26"/>
        <v>0</v>
      </c>
      <c r="J862" t="str">
        <f t="shared" si="27"/>
        <v>Low Risk</v>
      </c>
    </row>
    <row r="863" spans="1:10" x14ac:dyDescent="0.2">
      <c r="A863" t="str">
        <f>'Claims Data'!A863</f>
        <v>CLM00862</v>
      </c>
      <c r="B863" t="str">
        <f>'Claims Data'!B863</f>
        <v>PAT0239</v>
      </c>
      <c r="C863" t="str">
        <f>'Claims Data'!C863</f>
        <v>PRV0025</v>
      </c>
      <c r="D863" s="1">
        <f>'Claims Data'!D863</f>
        <v>45170</v>
      </c>
      <c r="E863">
        <f>'Claims Data'!H863</f>
        <v>7.2</v>
      </c>
      <c r="F863">
        <f>'Claims Data'!J863</f>
        <v>269.33</v>
      </c>
      <c r="G863">
        <f>'Claims Data'!M863</f>
        <v>0</v>
      </c>
      <c r="H863" t="b">
        <f>'Claims Data'!L863</f>
        <v>0</v>
      </c>
      <c r="I863">
        <f t="shared" si="26"/>
        <v>0</v>
      </c>
      <c r="J863" t="str">
        <f t="shared" si="27"/>
        <v>Low Risk</v>
      </c>
    </row>
    <row r="864" spans="1:10" x14ac:dyDescent="0.2">
      <c r="A864" t="str">
        <f>'Claims Data'!A864</f>
        <v>CLM00863</v>
      </c>
      <c r="B864" t="str">
        <f>'Claims Data'!B864</f>
        <v>PAT0017</v>
      </c>
      <c r="C864" t="str">
        <f>'Claims Data'!C864</f>
        <v>PRV0059</v>
      </c>
      <c r="D864" s="1">
        <f>'Claims Data'!D864</f>
        <v>45237</v>
      </c>
      <c r="E864">
        <f>'Claims Data'!H864</f>
        <v>7</v>
      </c>
      <c r="F864">
        <f>'Claims Data'!J864</f>
        <v>324.52999999999997</v>
      </c>
      <c r="G864">
        <f>'Claims Data'!M864</f>
        <v>0</v>
      </c>
      <c r="H864" t="b">
        <f>'Claims Data'!L864</f>
        <v>0</v>
      </c>
      <c r="I864">
        <f t="shared" si="26"/>
        <v>0</v>
      </c>
      <c r="J864" t="str">
        <f t="shared" si="27"/>
        <v>Low Risk</v>
      </c>
    </row>
    <row r="865" spans="1:10" x14ac:dyDescent="0.2">
      <c r="A865" t="str">
        <f>'Claims Data'!A865</f>
        <v>CLM00864</v>
      </c>
      <c r="B865" t="str">
        <f>'Claims Data'!B865</f>
        <v>PAT0131</v>
      </c>
      <c r="C865" t="str">
        <f>'Claims Data'!C865</f>
        <v>PRV0038</v>
      </c>
      <c r="D865" s="1">
        <f>'Claims Data'!D865</f>
        <v>45448</v>
      </c>
      <c r="E865">
        <f>'Claims Data'!H865</f>
        <v>7.5</v>
      </c>
      <c r="F865">
        <f>'Claims Data'!J865</f>
        <v>491.62</v>
      </c>
      <c r="G865">
        <f>'Claims Data'!M865</f>
        <v>0</v>
      </c>
      <c r="H865" t="b">
        <f>'Claims Data'!L865</f>
        <v>0</v>
      </c>
      <c r="I865">
        <f t="shared" si="26"/>
        <v>0</v>
      </c>
      <c r="J865" t="str">
        <f t="shared" si="27"/>
        <v>Low Risk</v>
      </c>
    </row>
    <row r="866" spans="1:10" x14ac:dyDescent="0.2">
      <c r="A866" t="str">
        <f>'Claims Data'!A866</f>
        <v>CLM00865</v>
      </c>
      <c r="B866" t="str">
        <f>'Claims Data'!B866</f>
        <v>PAT0288</v>
      </c>
      <c r="C866" t="str">
        <f>'Claims Data'!C866</f>
        <v>PRV0048</v>
      </c>
      <c r="D866" s="1">
        <f>'Claims Data'!D866</f>
        <v>45056</v>
      </c>
      <c r="E866">
        <f>'Claims Data'!H866</f>
        <v>5.7</v>
      </c>
      <c r="F866">
        <f>'Claims Data'!J866</f>
        <v>403.87</v>
      </c>
      <c r="G866">
        <f>'Claims Data'!M866</f>
        <v>0</v>
      </c>
      <c r="H866" t="b">
        <f>'Claims Data'!L866</f>
        <v>0</v>
      </c>
      <c r="I866">
        <f t="shared" si="26"/>
        <v>0</v>
      </c>
      <c r="J866" t="str">
        <f t="shared" si="27"/>
        <v>Low Risk</v>
      </c>
    </row>
    <row r="867" spans="1:10" x14ac:dyDescent="0.2">
      <c r="A867" t="str">
        <f>'Claims Data'!A867</f>
        <v>CLM00866</v>
      </c>
      <c r="B867" t="str">
        <f>'Claims Data'!B867</f>
        <v>PAT0008</v>
      </c>
      <c r="C867" t="str">
        <f>'Claims Data'!C867</f>
        <v>PRV0023</v>
      </c>
      <c r="D867" s="1">
        <f>'Claims Data'!D867</f>
        <v>45444</v>
      </c>
      <c r="E867">
        <f>'Claims Data'!H867</f>
        <v>42.3</v>
      </c>
      <c r="F867">
        <f>'Claims Data'!J867</f>
        <v>2000</v>
      </c>
      <c r="G867" t="str">
        <f>'Claims Data'!M867</f>
        <v>phantom_round_amount</v>
      </c>
      <c r="H867" t="b">
        <f>'Claims Data'!L867</f>
        <v>1</v>
      </c>
      <c r="I867">
        <f t="shared" si="26"/>
        <v>80</v>
      </c>
      <c r="J867" t="str">
        <f t="shared" si="27"/>
        <v>High Risk</v>
      </c>
    </row>
    <row r="868" spans="1:10" x14ac:dyDescent="0.2">
      <c r="A868" t="str">
        <f>'Claims Data'!A868</f>
        <v>CLM00867</v>
      </c>
      <c r="B868" t="str">
        <f>'Claims Data'!B868</f>
        <v>PAT0287</v>
      </c>
      <c r="C868" t="str">
        <f>'Claims Data'!C868</f>
        <v>PRV0025</v>
      </c>
      <c r="D868" s="1">
        <f>'Claims Data'!D868</f>
        <v>45416</v>
      </c>
      <c r="E868">
        <f>'Claims Data'!H868</f>
        <v>7.4</v>
      </c>
      <c r="F868">
        <f>'Claims Data'!J868</f>
        <v>576.16</v>
      </c>
      <c r="G868">
        <f>'Claims Data'!M868</f>
        <v>0</v>
      </c>
      <c r="H868" t="b">
        <f>'Claims Data'!L868</f>
        <v>0</v>
      </c>
      <c r="I868">
        <f t="shared" si="26"/>
        <v>0</v>
      </c>
      <c r="J868" t="str">
        <f t="shared" si="27"/>
        <v>Low Risk</v>
      </c>
    </row>
    <row r="869" spans="1:10" x14ac:dyDescent="0.2">
      <c r="A869" t="str">
        <f>'Claims Data'!A869</f>
        <v>CLM00868</v>
      </c>
      <c r="B869" t="str">
        <f>'Claims Data'!B869</f>
        <v>PAT0279</v>
      </c>
      <c r="C869" t="str">
        <f>'Claims Data'!C869</f>
        <v>PRV0031</v>
      </c>
      <c r="D869" s="1">
        <f>'Claims Data'!D869</f>
        <v>44944</v>
      </c>
      <c r="E869">
        <f>'Claims Data'!H869</f>
        <v>4.9000000000000004</v>
      </c>
      <c r="F869">
        <f>'Claims Data'!J869</f>
        <v>411.91</v>
      </c>
      <c r="G869">
        <f>'Claims Data'!M869</f>
        <v>0</v>
      </c>
      <c r="H869" t="b">
        <f>'Claims Data'!L869</f>
        <v>0</v>
      </c>
      <c r="I869">
        <f t="shared" si="26"/>
        <v>0</v>
      </c>
      <c r="J869" t="str">
        <f t="shared" si="27"/>
        <v>Low Risk</v>
      </c>
    </row>
    <row r="870" spans="1:10" x14ac:dyDescent="0.2">
      <c r="A870" t="str">
        <f>'Claims Data'!A870</f>
        <v>CLM00869</v>
      </c>
      <c r="B870" t="str">
        <f>'Claims Data'!B870</f>
        <v>PAT0276</v>
      </c>
      <c r="C870" t="str">
        <f>'Claims Data'!C870</f>
        <v>PRV0051</v>
      </c>
      <c r="D870" s="1">
        <f>'Claims Data'!D870</f>
        <v>45559</v>
      </c>
      <c r="E870">
        <f>'Claims Data'!H870</f>
        <v>22.6</v>
      </c>
      <c r="F870">
        <f>'Claims Data'!J870</f>
        <v>1582.23</v>
      </c>
      <c r="G870" t="str">
        <f>'Claims Data'!M870</f>
        <v>inflated_hours</v>
      </c>
      <c r="H870" t="b">
        <f>'Claims Data'!L870</f>
        <v>1</v>
      </c>
      <c r="I870">
        <f t="shared" si="26"/>
        <v>50</v>
      </c>
      <c r="J870" t="str">
        <f t="shared" si="27"/>
        <v>Medium Risk</v>
      </c>
    </row>
    <row r="871" spans="1:10" x14ac:dyDescent="0.2">
      <c r="A871" t="str">
        <f>'Claims Data'!A871</f>
        <v>CLM00870</v>
      </c>
      <c r="B871" t="str">
        <f>'Claims Data'!B871</f>
        <v>PAT0283</v>
      </c>
      <c r="C871" t="str">
        <f>'Claims Data'!C871</f>
        <v>PRV0008</v>
      </c>
      <c r="D871" s="1">
        <f>'Claims Data'!D871</f>
        <v>45378</v>
      </c>
      <c r="E871">
        <f>'Claims Data'!H871</f>
        <v>5.2</v>
      </c>
      <c r="F871">
        <f>'Claims Data'!J871</f>
        <v>262.02999999999997</v>
      </c>
      <c r="G871">
        <f>'Claims Data'!M871</f>
        <v>0</v>
      </c>
      <c r="H871" t="b">
        <f>'Claims Data'!L871</f>
        <v>0</v>
      </c>
      <c r="I871">
        <f t="shared" si="26"/>
        <v>0</v>
      </c>
      <c r="J871" t="str">
        <f t="shared" si="27"/>
        <v>Low Risk</v>
      </c>
    </row>
    <row r="872" spans="1:10" x14ac:dyDescent="0.2">
      <c r="A872" t="str">
        <f>'Claims Data'!A872</f>
        <v>CLM00871</v>
      </c>
      <c r="B872" t="str">
        <f>'Claims Data'!B872</f>
        <v>PAT0235</v>
      </c>
      <c r="C872" t="str">
        <f>'Claims Data'!C872</f>
        <v>PRV0016</v>
      </c>
      <c r="D872" s="1">
        <f>'Claims Data'!D872</f>
        <v>44972</v>
      </c>
      <c r="E872">
        <f>'Claims Data'!H872</f>
        <v>20.6</v>
      </c>
      <c r="F872">
        <f>'Claims Data'!J872</f>
        <v>1000</v>
      </c>
      <c r="G872" t="str">
        <f>'Claims Data'!M872</f>
        <v>phantom_round_amount</v>
      </c>
      <c r="H872" t="b">
        <f>'Claims Data'!L872</f>
        <v>1</v>
      </c>
      <c r="I872">
        <f t="shared" si="26"/>
        <v>80</v>
      </c>
      <c r="J872" t="str">
        <f t="shared" si="27"/>
        <v>High Risk</v>
      </c>
    </row>
    <row r="873" spans="1:10" x14ac:dyDescent="0.2">
      <c r="A873" t="str">
        <f>'Claims Data'!A873</f>
        <v>CLM00872</v>
      </c>
      <c r="B873" t="str">
        <f>'Claims Data'!B873</f>
        <v>PAT0229</v>
      </c>
      <c r="C873" t="str">
        <f>'Claims Data'!C873</f>
        <v>PRV0009</v>
      </c>
      <c r="D873" s="1">
        <f>'Claims Data'!D873</f>
        <v>45631</v>
      </c>
      <c r="E873">
        <f>'Claims Data'!H873</f>
        <v>4.7</v>
      </c>
      <c r="F873">
        <f>'Claims Data'!J873</f>
        <v>151.44</v>
      </c>
      <c r="G873">
        <f>'Claims Data'!M873</f>
        <v>0</v>
      </c>
      <c r="H873" t="b">
        <f>'Claims Data'!L873</f>
        <v>0</v>
      </c>
      <c r="I873">
        <f t="shared" si="26"/>
        <v>0</v>
      </c>
      <c r="J873" t="str">
        <f t="shared" si="27"/>
        <v>Low Risk</v>
      </c>
    </row>
    <row r="874" spans="1:10" x14ac:dyDescent="0.2">
      <c r="A874" t="str">
        <f>'Claims Data'!A874</f>
        <v>CLM00873</v>
      </c>
      <c r="B874" t="str">
        <f>'Claims Data'!B874</f>
        <v>PAT0134</v>
      </c>
      <c r="C874" t="str">
        <f>'Claims Data'!C874</f>
        <v>PRV0051</v>
      </c>
      <c r="D874" s="1">
        <f>'Claims Data'!D874</f>
        <v>45584</v>
      </c>
      <c r="E874">
        <f>'Claims Data'!H874</f>
        <v>3.9</v>
      </c>
      <c r="F874">
        <f>'Claims Data'!J874</f>
        <v>99.47</v>
      </c>
      <c r="G874">
        <f>'Claims Data'!M874</f>
        <v>0</v>
      </c>
      <c r="H874" t="b">
        <f>'Claims Data'!L874</f>
        <v>0</v>
      </c>
      <c r="I874">
        <f t="shared" si="26"/>
        <v>0</v>
      </c>
      <c r="J874" t="str">
        <f t="shared" si="27"/>
        <v>Low Risk</v>
      </c>
    </row>
    <row r="875" spans="1:10" x14ac:dyDescent="0.2">
      <c r="A875" t="str">
        <f>'Claims Data'!A875</f>
        <v>CLM00874</v>
      </c>
      <c r="B875" t="str">
        <f>'Claims Data'!B875</f>
        <v>PAT0267</v>
      </c>
      <c r="C875" t="str">
        <f>'Claims Data'!C875</f>
        <v>PRV0060</v>
      </c>
      <c r="D875" s="1">
        <f>'Claims Data'!D875</f>
        <v>45439</v>
      </c>
      <c r="E875">
        <f>'Claims Data'!H875</f>
        <v>4.3</v>
      </c>
      <c r="F875">
        <f>'Claims Data'!J875</f>
        <v>133.49</v>
      </c>
      <c r="G875">
        <f>'Claims Data'!M875</f>
        <v>0</v>
      </c>
      <c r="H875" t="b">
        <f>'Claims Data'!L875</f>
        <v>0</v>
      </c>
      <c r="I875">
        <f t="shared" si="26"/>
        <v>0</v>
      </c>
      <c r="J875" t="str">
        <f t="shared" si="27"/>
        <v>Low Risk</v>
      </c>
    </row>
    <row r="876" spans="1:10" x14ac:dyDescent="0.2">
      <c r="A876" t="str">
        <f>'Claims Data'!A876</f>
        <v>CLM00875</v>
      </c>
      <c r="B876" t="str">
        <f>'Claims Data'!B876</f>
        <v>PAT0265</v>
      </c>
      <c r="C876" t="str">
        <f>'Claims Data'!C876</f>
        <v>PRV0054</v>
      </c>
      <c r="D876" s="1">
        <f>'Claims Data'!D876</f>
        <v>45222</v>
      </c>
      <c r="E876">
        <f>'Claims Data'!H876</f>
        <v>3.1</v>
      </c>
      <c r="F876">
        <f>'Claims Data'!J876</f>
        <v>126.39</v>
      </c>
      <c r="G876">
        <f>'Claims Data'!M876</f>
        <v>0</v>
      </c>
      <c r="H876" t="b">
        <f>'Claims Data'!L876</f>
        <v>0</v>
      </c>
      <c r="I876">
        <f t="shared" si="26"/>
        <v>0</v>
      </c>
      <c r="J876" t="str">
        <f t="shared" si="27"/>
        <v>Low Risk</v>
      </c>
    </row>
    <row r="877" spans="1:10" x14ac:dyDescent="0.2">
      <c r="A877" t="str">
        <f>'Claims Data'!A877</f>
        <v>CLM00876</v>
      </c>
      <c r="B877" t="str">
        <f>'Claims Data'!B877</f>
        <v>PAT0210</v>
      </c>
      <c r="C877" t="str">
        <f>'Claims Data'!C877</f>
        <v>PRV0028</v>
      </c>
      <c r="D877" s="1">
        <f>'Claims Data'!D877</f>
        <v>45523</v>
      </c>
      <c r="E877">
        <f>'Claims Data'!H877</f>
        <v>7.8</v>
      </c>
      <c r="F877">
        <f>'Claims Data'!J877</f>
        <v>355.57</v>
      </c>
      <c r="G877">
        <f>'Claims Data'!M877</f>
        <v>0</v>
      </c>
      <c r="H877" t="b">
        <f>'Claims Data'!L877</f>
        <v>0</v>
      </c>
      <c r="I877">
        <f t="shared" si="26"/>
        <v>0</v>
      </c>
      <c r="J877" t="str">
        <f t="shared" si="27"/>
        <v>Low Risk</v>
      </c>
    </row>
    <row r="878" spans="1:10" x14ac:dyDescent="0.2">
      <c r="A878" t="str">
        <f>'Claims Data'!A878</f>
        <v>CLM00877</v>
      </c>
      <c r="B878" t="str">
        <f>'Claims Data'!B878</f>
        <v>PAT0086</v>
      </c>
      <c r="C878" t="str">
        <f>'Claims Data'!C878</f>
        <v>PRV0046</v>
      </c>
      <c r="D878" s="1">
        <f>'Claims Data'!D878</f>
        <v>45459</v>
      </c>
      <c r="E878">
        <f>'Claims Data'!H878</f>
        <v>23.2</v>
      </c>
      <c r="F878">
        <f>'Claims Data'!J878</f>
        <v>1163.48</v>
      </c>
      <c r="G878" t="str">
        <f>'Claims Data'!M878</f>
        <v>inflated_hours</v>
      </c>
      <c r="H878" t="b">
        <f>'Claims Data'!L878</f>
        <v>1</v>
      </c>
      <c r="I878">
        <f t="shared" si="26"/>
        <v>50</v>
      </c>
      <c r="J878" t="str">
        <f t="shared" si="27"/>
        <v>Medium Risk</v>
      </c>
    </row>
    <row r="879" spans="1:10" x14ac:dyDescent="0.2">
      <c r="A879" t="str">
        <f>'Claims Data'!A879</f>
        <v>CLM00878</v>
      </c>
      <c r="B879" t="str">
        <f>'Claims Data'!B879</f>
        <v>PAT0215</v>
      </c>
      <c r="C879" t="str">
        <f>'Claims Data'!C879</f>
        <v>PRV0044</v>
      </c>
      <c r="D879" s="1">
        <f>'Claims Data'!D879</f>
        <v>45509</v>
      </c>
      <c r="E879">
        <f>'Claims Data'!H879</f>
        <v>7.1</v>
      </c>
      <c r="F879">
        <f>'Claims Data'!J879</f>
        <v>296.62</v>
      </c>
      <c r="G879">
        <f>'Claims Data'!M879</f>
        <v>0</v>
      </c>
      <c r="H879" t="b">
        <f>'Claims Data'!L879</f>
        <v>0</v>
      </c>
      <c r="I879">
        <f t="shared" si="26"/>
        <v>0</v>
      </c>
      <c r="J879" t="str">
        <f t="shared" si="27"/>
        <v>Low Risk</v>
      </c>
    </row>
    <row r="880" spans="1:10" x14ac:dyDescent="0.2">
      <c r="A880" t="str">
        <f>'Claims Data'!A880</f>
        <v>CLM00879</v>
      </c>
      <c r="B880" t="str">
        <f>'Claims Data'!B880</f>
        <v>PAT0256</v>
      </c>
      <c r="C880" t="str">
        <f>'Claims Data'!C880</f>
        <v>PRV0021</v>
      </c>
      <c r="D880" s="1">
        <f>'Claims Data'!D880</f>
        <v>45019</v>
      </c>
      <c r="E880">
        <f>'Claims Data'!H880</f>
        <v>7.9</v>
      </c>
      <c r="F880">
        <f>'Claims Data'!J880</f>
        <v>522.66999999999996</v>
      </c>
      <c r="G880">
        <f>'Claims Data'!M880</f>
        <v>0</v>
      </c>
      <c r="H880" t="b">
        <f>'Claims Data'!L880</f>
        <v>0</v>
      </c>
      <c r="I880">
        <f t="shared" si="26"/>
        <v>0</v>
      </c>
      <c r="J880" t="str">
        <f t="shared" si="27"/>
        <v>Low Risk</v>
      </c>
    </row>
    <row r="881" spans="1:10" x14ac:dyDescent="0.2">
      <c r="A881" t="str">
        <f>'Claims Data'!A881</f>
        <v>CLM00880</v>
      </c>
      <c r="B881" t="str">
        <f>'Claims Data'!B881</f>
        <v>PAT0194</v>
      </c>
      <c r="C881" t="str">
        <f>'Claims Data'!C881</f>
        <v>PRV0054</v>
      </c>
      <c r="D881" s="1">
        <f>'Claims Data'!D881</f>
        <v>45024</v>
      </c>
      <c r="E881">
        <f>'Claims Data'!H881</f>
        <v>6.8</v>
      </c>
      <c r="F881">
        <f>'Claims Data'!J881</f>
        <v>396.58</v>
      </c>
      <c r="G881">
        <f>'Claims Data'!M881</f>
        <v>0</v>
      </c>
      <c r="H881" t="b">
        <f>'Claims Data'!L881</f>
        <v>0</v>
      </c>
      <c r="I881">
        <f t="shared" si="26"/>
        <v>0</v>
      </c>
      <c r="J881" t="str">
        <f t="shared" si="27"/>
        <v>Low Risk</v>
      </c>
    </row>
    <row r="882" spans="1:10" x14ac:dyDescent="0.2">
      <c r="A882" t="str">
        <f>'Claims Data'!A882</f>
        <v>CLM00881</v>
      </c>
      <c r="B882" t="str">
        <f>'Claims Data'!B882</f>
        <v>PAT0119</v>
      </c>
      <c r="C882" t="str">
        <f>'Claims Data'!C882</f>
        <v>PRV0013</v>
      </c>
      <c r="D882" s="1">
        <f>'Claims Data'!D882</f>
        <v>44951</v>
      </c>
      <c r="E882">
        <f>'Claims Data'!H882</f>
        <v>2.9</v>
      </c>
      <c r="F882">
        <f>'Claims Data'!J882</f>
        <v>239.39</v>
      </c>
      <c r="G882">
        <f>'Claims Data'!M882</f>
        <v>0</v>
      </c>
      <c r="H882" t="b">
        <f>'Claims Data'!L882</f>
        <v>0</v>
      </c>
      <c r="I882">
        <f t="shared" si="26"/>
        <v>0</v>
      </c>
      <c r="J882" t="str">
        <f t="shared" si="27"/>
        <v>Low Risk</v>
      </c>
    </row>
    <row r="883" spans="1:10" x14ac:dyDescent="0.2">
      <c r="A883" t="str">
        <f>'Claims Data'!A883</f>
        <v>CLM00882</v>
      </c>
      <c r="B883" t="str">
        <f>'Claims Data'!B883</f>
        <v>PAT0196</v>
      </c>
      <c r="C883" t="str">
        <f>'Claims Data'!C883</f>
        <v>PRV0004</v>
      </c>
      <c r="D883" s="1">
        <f>'Claims Data'!D883</f>
        <v>45191</v>
      </c>
      <c r="E883">
        <f>'Claims Data'!H883</f>
        <v>6.8</v>
      </c>
      <c r="F883">
        <f>'Claims Data'!J883</f>
        <v>242.06</v>
      </c>
      <c r="G883">
        <f>'Claims Data'!M883</f>
        <v>0</v>
      </c>
      <c r="H883" t="b">
        <f>'Claims Data'!L883</f>
        <v>0</v>
      </c>
      <c r="I883">
        <f t="shared" si="26"/>
        <v>0</v>
      </c>
      <c r="J883" t="str">
        <f t="shared" si="27"/>
        <v>Low Risk</v>
      </c>
    </row>
    <row r="884" spans="1:10" x14ac:dyDescent="0.2">
      <c r="A884" t="str">
        <f>'Claims Data'!A884</f>
        <v>CLM00883</v>
      </c>
      <c r="B884" t="str">
        <f>'Claims Data'!B884</f>
        <v>PAT0244</v>
      </c>
      <c r="C884" t="str">
        <f>'Claims Data'!C884</f>
        <v>PRV0040</v>
      </c>
      <c r="D884" s="1">
        <f>'Claims Data'!D884</f>
        <v>45463</v>
      </c>
      <c r="E884">
        <f>'Claims Data'!H884</f>
        <v>9.9</v>
      </c>
      <c r="F884">
        <f>'Claims Data'!J884</f>
        <v>750</v>
      </c>
      <c r="G884" t="str">
        <f>'Claims Data'!M884</f>
        <v>phantom_round_amount</v>
      </c>
      <c r="H884" t="b">
        <f>'Claims Data'!L884</f>
        <v>1</v>
      </c>
      <c r="I884">
        <f t="shared" si="26"/>
        <v>40</v>
      </c>
      <c r="J884" t="str">
        <f t="shared" si="27"/>
        <v>Medium Risk</v>
      </c>
    </row>
    <row r="885" spans="1:10" x14ac:dyDescent="0.2">
      <c r="A885" t="str">
        <f>'Claims Data'!A885</f>
        <v>CLM00884</v>
      </c>
      <c r="B885" t="str">
        <f>'Claims Data'!B885</f>
        <v>PAT0224</v>
      </c>
      <c r="C885" t="str">
        <f>'Claims Data'!C885</f>
        <v>PRV0059</v>
      </c>
      <c r="D885" s="1">
        <f>'Claims Data'!D885</f>
        <v>45166</v>
      </c>
      <c r="E885">
        <f>'Claims Data'!H885</f>
        <v>6.7</v>
      </c>
      <c r="F885">
        <f>'Claims Data'!J885</f>
        <v>288.11</v>
      </c>
      <c r="G885">
        <f>'Claims Data'!M885</f>
        <v>0</v>
      </c>
      <c r="H885" t="b">
        <f>'Claims Data'!L885</f>
        <v>0</v>
      </c>
      <c r="I885">
        <f t="shared" si="26"/>
        <v>0</v>
      </c>
      <c r="J885" t="str">
        <f t="shared" si="27"/>
        <v>Low Risk</v>
      </c>
    </row>
    <row r="886" spans="1:10" x14ac:dyDescent="0.2">
      <c r="A886" t="str">
        <f>'Claims Data'!A886</f>
        <v>CLM00885</v>
      </c>
      <c r="B886" t="str">
        <f>'Claims Data'!B886</f>
        <v>PAT0057</v>
      </c>
      <c r="C886" t="str">
        <f>'Claims Data'!C886</f>
        <v>PRV0019</v>
      </c>
      <c r="D886" s="1">
        <f>'Claims Data'!D886</f>
        <v>45564</v>
      </c>
      <c r="E886">
        <f>'Claims Data'!H886</f>
        <v>4.4000000000000004</v>
      </c>
      <c r="F886">
        <f>'Claims Data'!J886</f>
        <v>292.3</v>
      </c>
      <c r="G886">
        <f>'Claims Data'!M886</f>
        <v>0</v>
      </c>
      <c r="H886" t="b">
        <f>'Claims Data'!L886</f>
        <v>0</v>
      </c>
      <c r="I886">
        <f t="shared" si="26"/>
        <v>0</v>
      </c>
      <c r="J886" t="str">
        <f t="shared" si="27"/>
        <v>Low Risk</v>
      </c>
    </row>
    <row r="887" spans="1:10" x14ac:dyDescent="0.2">
      <c r="A887" t="str">
        <f>'Claims Data'!A887</f>
        <v>CLM00886</v>
      </c>
      <c r="B887" t="str">
        <f>'Claims Data'!B887</f>
        <v>PAT0244</v>
      </c>
      <c r="C887" t="str">
        <f>'Claims Data'!C887</f>
        <v>PRV0007</v>
      </c>
      <c r="D887" s="1">
        <f>'Claims Data'!D887</f>
        <v>45560</v>
      </c>
      <c r="E887">
        <f>'Claims Data'!H887</f>
        <v>6.9</v>
      </c>
      <c r="F887">
        <f>'Claims Data'!J887</f>
        <v>369.79</v>
      </c>
      <c r="G887">
        <f>'Claims Data'!M887</f>
        <v>0</v>
      </c>
      <c r="H887" t="b">
        <f>'Claims Data'!L887</f>
        <v>0</v>
      </c>
      <c r="I887">
        <f t="shared" si="26"/>
        <v>0</v>
      </c>
      <c r="J887" t="str">
        <f t="shared" si="27"/>
        <v>Low Risk</v>
      </c>
    </row>
    <row r="888" spans="1:10" x14ac:dyDescent="0.2">
      <c r="A888" t="str">
        <f>'Claims Data'!A888</f>
        <v>CLM00887</v>
      </c>
      <c r="B888" t="str">
        <f>'Claims Data'!B888</f>
        <v>PAT0204</v>
      </c>
      <c r="C888" t="str">
        <f>'Claims Data'!C888</f>
        <v>PRV0039</v>
      </c>
      <c r="D888" s="1">
        <f>'Claims Data'!D888</f>
        <v>45515</v>
      </c>
      <c r="E888">
        <f>'Claims Data'!H888</f>
        <v>4.7</v>
      </c>
      <c r="F888">
        <f>'Claims Data'!J888</f>
        <v>211.87</v>
      </c>
      <c r="G888">
        <f>'Claims Data'!M888</f>
        <v>0</v>
      </c>
      <c r="H888" t="b">
        <f>'Claims Data'!L888</f>
        <v>0</v>
      </c>
      <c r="I888">
        <f t="shared" si="26"/>
        <v>0</v>
      </c>
      <c r="J888" t="str">
        <f t="shared" si="27"/>
        <v>Low Risk</v>
      </c>
    </row>
    <row r="889" spans="1:10" x14ac:dyDescent="0.2">
      <c r="A889" t="str">
        <f>'Claims Data'!A889</f>
        <v>CLM00888</v>
      </c>
      <c r="B889" t="str">
        <f>'Claims Data'!B889</f>
        <v>PAT0197</v>
      </c>
      <c r="C889" t="str">
        <f>'Claims Data'!C889</f>
        <v>PRV0004</v>
      </c>
      <c r="D889" s="1">
        <f>'Claims Data'!D889</f>
        <v>45234</v>
      </c>
      <c r="E889">
        <f>'Claims Data'!H889</f>
        <v>5.4</v>
      </c>
      <c r="F889">
        <f>'Claims Data'!J889</f>
        <v>436.92</v>
      </c>
      <c r="G889">
        <f>'Claims Data'!M889</f>
        <v>0</v>
      </c>
      <c r="H889" t="b">
        <f>'Claims Data'!L889</f>
        <v>0</v>
      </c>
      <c r="I889">
        <f t="shared" si="26"/>
        <v>0</v>
      </c>
      <c r="J889" t="str">
        <f t="shared" si="27"/>
        <v>Low Risk</v>
      </c>
    </row>
    <row r="890" spans="1:10" x14ac:dyDescent="0.2">
      <c r="A890" t="str">
        <f>'Claims Data'!A890</f>
        <v>CLM00889</v>
      </c>
      <c r="B890" t="str">
        <f>'Claims Data'!B890</f>
        <v>PAT0155</v>
      </c>
      <c r="C890" t="str">
        <f>'Claims Data'!C890</f>
        <v>PRV0019</v>
      </c>
      <c r="D890" s="1">
        <f>'Claims Data'!D890</f>
        <v>45007</v>
      </c>
      <c r="E890">
        <f>'Claims Data'!H890</f>
        <v>2.1</v>
      </c>
      <c r="F890">
        <f>'Claims Data'!J890</f>
        <v>67.78</v>
      </c>
      <c r="G890" t="str">
        <f>'Claims Data'!M890</f>
        <v>duplicate_claim</v>
      </c>
      <c r="H890" t="b">
        <f>'Claims Data'!L890</f>
        <v>1</v>
      </c>
      <c r="I890">
        <f t="shared" si="26"/>
        <v>10</v>
      </c>
      <c r="J890" t="str">
        <f t="shared" si="27"/>
        <v>Low Risk</v>
      </c>
    </row>
    <row r="891" spans="1:10" x14ac:dyDescent="0.2">
      <c r="A891" t="str">
        <f>'Claims Data'!A891</f>
        <v>CLM00890</v>
      </c>
      <c r="B891" t="str">
        <f>'Claims Data'!B891</f>
        <v>PAT0126</v>
      </c>
      <c r="C891" t="str">
        <f>'Claims Data'!C891</f>
        <v>PRV0050</v>
      </c>
      <c r="D891" s="1">
        <f>'Claims Data'!D891</f>
        <v>45525</v>
      </c>
      <c r="E891">
        <f>'Claims Data'!H891</f>
        <v>5.5</v>
      </c>
      <c r="F891">
        <f>'Claims Data'!J891</f>
        <v>351.96</v>
      </c>
      <c r="G891">
        <f>'Claims Data'!M891</f>
        <v>0</v>
      </c>
      <c r="H891" t="b">
        <f>'Claims Data'!L891</f>
        <v>0</v>
      </c>
      <c r="I891">
        <f t="shared" si="26"/>
        <v>0</v>
      </c>
      <c r="J891" t="str">
        <f t="shared" si="27"/>
        <v>Low Risk</v>
      </c>
    </row>
    <row r="892" spans="1:10" x14ac:dyDescent="0.2">
      <c r="A892" t="str">
        <f>'Claims Data'!A892</f>
        <v>CLM00891</v>
      </c>
      <c r="B892" t="str">
        <f>'Claims Data'!B892</f>
        <v>PAT0034</v>
      </c>
      <c r="C892" t="str">
        <f>'Claims Data'!C892</f>
        <v>PRV0026</v>
      </c>
      <c r="D892" s="1">
        <f>'Claims Data'!D892</f>
        <v>45151</v>
      </c>
      <c r="E892">
        <f>'Claims Data'!H892</f>
        <v>7.9</v>
      </c>
      <c r="F892">
        <f>'Claims Data'!J892</f>
        <v>332.4</v>
      </c>
      <c r="G892">
        <f>'Claims Data'!M892</f>
        <v>0</v>
      </c>
      <c r="H892" t="b">
        <f>'Claims Data'!L892</f>
        <v>0</v>
      </c>
      <c r="I892">
        <f t="shared" si="26"/>
        <v>0</v>
      </c>
      <c r="J892" t="str">
        <f t="shared" si="27"/>
        <v>Low Risk</v>
      </c>
    </row>
    <row r="893" spans="1:10" x14ac:dyDescent="0.2">
      <c r="A893" t="str">
        <f>'Claims Data'!A893</f>
        <v>CLM00892</v>
      </c>
      <c r="B893" t="str">
        <f>'Claims Data'!B893</f>
        <v>PAT0140</v>
      </c>
      <c r="C893" t="str">
        <f>'Claims Data'!C893</f>
        <v>PRV0021</v>
      </c>
      <c r="D893" s="1">
        <f>'Claims Data'!D893</f>
        <v>45026</v>
      </c>
      <c r="E893">
        <f>'Claims Data'!H893</f>
        <v>6.6</v>
      </c>
      <c r="F893">
        <f>'Claims Data'!J893</f>
        <v>341.98</v>
      </c>
      <c r="G893">
        <f>'Claims Data'!M893</f>
        <v>0</v>
      </c>
      <c r="H893" t="b">
        <f>'Claims Data'!L893</f>
        <v>0</v>
      </c>
      <c r="I893">
        <f t="shared" si="26"/>
        <v>0</v>
      </c>
      <c r="J893" t="str">
        <f t="shared" si="27"/>
        <v>Low Risk</v>
      </c>
    </row>
    <row r="894" spans="1:10" x14ac:dyDescent="0.2">
      <c r="A894" t="str">
        <f>'Claims Data'!A894</f>
        <v>CLM00893</v>
      </c>
      <c r="B894" t="str">
        <f>'Claims Data'!B894</f>
        <v>PAT0254</v>
      </c>
      <c r="C894" t="str">
        <f>'Claims Data'!C894</f>
        <v>PRV0010</v>
      </c>
      <c r="D894" s="1">
        <f>'Claims Data'!D894</f>
        <v>45249</v>
      </c>
      <c r="E894">
        <f>'Claims Data'!H894</f>
        <v>5.7</v>
      </c>
      <c r="F894">
        <f>'Claims Data'!J894</f>
        <v>301.10000000000002</v>
      </c>
      <c r="G894">
        <f>'Claims Data'!M894</f>
        <v>0</v>
      </c>
      <c r="H894" t="b">
        <f>'Claims Data'!L894</f>
        <v>0</v>
      </c>
      <c r="I894">
        <f t="shared" si="26"/>
        <v>0</v>
      </c>
      <c r="J894" t="str">
        <f t="shared" si="27"/>
        <v>Low Risk</v>
      </c>
    </row>
    <row r="895" spans="1:10" x14ac:dyDescent="0.2">
      <c r="A895" t="str">
        <f>'Claims Data'!A895</f>
        <v>CLM00894</v>
      </c>
      <c r="B895" t="str">
        <f>'Claims Data'!B895</f>
        <v>PAT0262</v>
      </c>
      <c r="C895" t="str">
        <f>'Claims Data'!C895</f>
        <v>PRV0024</v>
      </c>
      <c r="D895" s="1">
        <f>'Claims Data'!D895</f>
        <v>45600</v>
      </c>
      <c r="E895">
        <f>'Claims Data'!H895</f>
        <v>5.8</v>
      </c>
      <c r="F895">
        <f>'Claims Data'!J895</f>
        <v>468.14</v>
      </c>
      <c r="G895">
        <f>'Claims Data'!M895</f>
        <v>0</v>
      </c>
      <c r="H895" t="b">
        <f>'Claims Data'!L895</f>
        <v>0</v>
      </c>
      <c r="I895">
        <f t="shared" si="26"/>
        <v>0</v>
      </c>
      <c r="J895" t="str">
        <f t="shared" si="27"/>
        <v>Low Risk</v>
      </c>
    </row>
    <row r="896" spans="1:10" x14ac:dyDescent="0.2">
      <c r="A896" t="str">
        <f>'Claims Data'!A896</f>
        <v>CLM00895</v>
      </c>
      <c r="B896" t="str">
        <f>'Claims Data'!B896</f>
        <v>PAT0019</v>
      </c>
      <c r="C896" t="str">
        <f>'Claims Data'!C896</f>
        <v>PRV0046</v>
      </c>
      <c r="D896" s="1">
        <f>'Claims Data'!D896</f>
        <v>45385</v>
      </c>
      <c r="E896">
        <f>'Claims Data'!H896</f>
        <v>7.1</v>
      </c>
      <c r="F896">
        <f>'Claims Data'!J896</f>
        <v>207.89</v>
      </c>
      <c r="G896">
        <f>'Claims Data'!M896</f>
        <v>0</v>
      </c>
      <c r="H896" t="b">
        <f>'Claims Data'!L896</f>
        <v>0</v>
      </c>
      <c r="I896">
        <f t="shared" si="26"/>
        <v>0</v>
      </c>
      <c r="J896" t="str">
        <f t="shared" si="27"/>
        <v>Low Risk</v>
      </c>
    </row>
    <row r="897" spans="1:10" x14ac:dyDescent="0.2">
      <c r="A897" t="str">
        <f>'Claims Data'!A897</f>
        <v>CLM00896</v>
      </c>
      <c r="B897" t="str">
        <f>'Claims Data'!B897</f>
        <v>PAT0181</v>
      </c>
      <c r="C897" t="str">
        <f>'Claims Data'!C897</f>
        <v>PRV0011</v>
      </c>
      <c r="D897" s="1">
        <f>'Claims Data'!D897</f>
        <v>45218</v>
      </c>
      <c r="E897">
        <f>'Claims Data'!H897</f>
        <v>3.4</v>
      </c>
      <c r="F897">
        <f>'Claims Data'!J897</f>
        <v>149.63999999999999</v>
      </c>
      <c r="G897">
        <f>'Claims Data'!M897</f>
        <v>0</v>
      </c>
      <c r="H897" t="b">
        <f>'Claims Data'!L897</f>
        <v>0</v>
      </c>
      <c r="I897">
        <f t="shared" si="26"/>
        <v>0</v>
      </c>
      <c r="J897" t="str">
        <f t="shared" si="27"/>
        <v>Low Risk</v>
      </c>
    </row>
    <row r="898" spans="1:10" x14ac:dyDescent="0.2">
      <c r="A898" t="str">
        <f>'Claims Data'!A898</f>
        <v>CLM00897</v>
      </c>
      <c r="B898" t="str">
        <f>'Claims Data'!B898</f>
        <v>PAT0113</v>
      </c>
      <c r="C898" t="str">
        <f>'Claims Data'!C898</f>
        <v>PRV0012</v>
      </c>
      <c r="D898" s="1">
        <f>'Claims Data'!D898</f>
        <v>45149</v>
      </c>
      <c r="E898">
        <f>'Claims Data'!H898</f>
        <v>5.6</v>
      </c>
      <c r="F898">
        <f>'Claims Data'!J898</f>
        <v>272.87</v>
      </c>
      <c r="G898">
        <f>'Claims Data'!M898</f>
        <v>0</v>
      </c>
      <c r="H898" t="b">
        <f>'Claims Data'!L898</f>
        <v>0</v>
      </c>
      <c r="I898">
        <f t="shared" si="26"/>
        <v>0</v>
      </c>
      <c r="J898" t="str">
        <f t="shared" si="27"/>
        <v>Low Risk</v>
      </c>
    </row>
    <row r="899" spans="1:10" x14ac:dyDescent="0.2">
      <c r="A899" t="str">
        <f>'Claims Data'!A899</f>
        <v>CLM00898</v>
      </c>
      <c r="B899" t="str">
        <f>'Claims Data'!B899</f>
        <v>PAT0171</v>
      </c>
      <c r="C899" t="str">
        <f>'Claims Data'!C899</f>
        <v>PRV0007</v>
      </c>
      <c r="D899" s="1">
        <f>'Claims Data'!D899</f>
        <v>45648</v>
      </c>
      <c r="E899">
        <f>'Claims Data'!H899</f>
        <v>6.5</v>
      </c>
      <c r="F899">
        <f>'Claims Data'!J899</f>
        <v>365.66</v>
      </c>
      <c r="G899">
        <f>'Claims Data'!M899</f>
        <v>0</v>
      </c>
      <c r="H899" t="b">
        <f>'Claims Data'!L899</f>
        <v>0</v>
      </c>
      <c r="I899">
        <f t="shared" ref="I899:I962" si="28">IF(E899&gt;16,40,0)+IF(MOD(F899,250)=0,30,0)+IF(H899=TRUE,10,0)</f>
        <v>0</v>
      </c>
      <c r="J899" t="str">
        <f t="shared" ref="J899:J962" si="29">IF(I899&gt;=70,"High Risk",IF(I899&gt;=30,"Medium Risk","Low Risk"))</f>
        <v>Low Risk</v>
      </c>
    </row>
    <row r="900" spans="1:10" x14ac:dyDescent="0.2">
      <c r="A900" t="str">
        <f>'Claims Data'!A900</f>
        <v>CLM00899</v>
      </c>
      <c r="B900" t="str">
        <f>'Claims Data'!B900</f>
        <v>PAT0087</v>
      </c>
      <c r="C900" t="str">
        <f>'Claims Data'!C900</f>
        <v>PRV0040</v>
      </c>
      <c r="D900" s="1">
        <f>'Claims Data'!D900</f>
        <v>45523</v>
      </c>
      <c r="E900">
        <f>'Claims Data'!H900</f>
        <v>22.2</v>
      </c>
      <c r="F900">
        <f>'Claims Data'!J900</f>
        <v>1692.75</v>
      </c>
      <c r="G900" t="str">
        <f>'Claims Data'!M900</f>
        <v>inflated_hours</v>
      </c>
      <c r="H900" t="b">
        <f>'Claims Data'!L900</f>
        <v>1</v>
      </c>
      <c r="I900">
        <f t="shared" si="28"/>
        <v>50</v>
      </c>
      <c r="J900" t="str">
        <f t="shared" si="29"/>
        <v>Medium Risk</v>
      </c>
    </row>
    <row r="901" spans="1:10" x14ac:dyDescent="0.2">
      <c r="A901" t="str">
        <f>'Claims Data'!A901</f>
        <v>CLM00900</v>
      </c>
      <c r="B901" t="str">
        <f>'Claims Data'!B901</f>
        <v>PAT0213</v>
      </c>
      <c r="C901" t="str">
        <f>'Claims Data'!C901</f>
        <v>PRV0015</v>
      </c>
      <c r="D901" s="1">
        <f>'Claims Data'!D901</f>
        <v>45493</v>
      </c>
      <c r="E901">
        <f>'Claims Data'!H901</f>
        <v>6</v>
      </c>
      <c r="F901">
        <f>'Claims Data'!J901</f>
        <v>488.56</v>
      </c>
      <c r="G901">
        <f>'Claims Data'!M901</f>
        <v>0</v>
      </c>
      <c r="H901" t="b">
        <f>'Claims Data'!L901</f>
        <v>0</v>
      </c>
      <c r="I901">
        <f t="shared" si="28"/>
        <v>0</v>
      </c>
      <c r="J901" t="str">
        <f t="shared" si="29"/>
        <v>Low Risk</v>
      </c>
    </row>
    <row r="902" spans="1:10" x14ac:dyDescent="0.2">
      <c r="A902" t="str">
        <f>'Claims Data'!A902</f>
        <v>CLM00901</v>
      </c>
      <c r="B902" t="str">
        <f>'Claims Data'!B902</f>
        <v>PAT0174</v>
      </c>
      <c r="C902" t="str">
        <f>'Claims Data'!C902</f>
        <v>PRV0006</v>
      </c>
      <c r="D902" s="1">
        <f>'Claims Data'!D902</f>
        <v>45304</v>
      </c>
      <c r="E902">
        <f>'Claims Data'!H902</f>
        <v>3.3</v>
      </c>
      <c r="F902">
        <f>'Claims Data'!J902</f>
        <v>161.12</v>
      </c>
      <c r="G902">
        <f>'Claims Data'!M902</f>
        <v>0</v>
      </c>
      <c r="H902" t="b">
        <f>'Claims Data'!L902</f>
        <v>0</v>
      </c>
      <c r="I902">
        <f t="shared" si="28"/>
        <v>0</v>
      </c>
      <c r="J902" t="str">
        <f t="shared" si="29"/>
        <v>Low Risk</v>
      </c>
    </row>
    <row r="903" spans="1:10" x14ac:dyDescent="0.2">
      <c r="A903" t="str">
        <f>'Claims Data'!A903</f>
        <v>CLM00902</v>
      </c>
      <c r="B903" t="str">
        <f>'Claims Data'!B903</f>
        <v>PAT0199</v>
      </c>
      <c r="C903" t="str">
        <f>'Claims Data'!C903</f>
        <v>PRV0057</v>
      </c>
      <c r="D903" s="1">
        <f>'Claims Data'!D903</f>
        <v>45553</v>
      </c>
      <c r="E903">
        <f>'Claims Data'!H903</f>
        <v>7.6</v>
      </c>
      <c r="F903">
        <f>'Claims Data'!J903</f>
        <v>405.77</v>
      </c>
      <c r="G903">
        <f>'Claims Data'!M903</f>
        <v>0</v>
      </c>
      <c r="H903" t="b">
        <f>'Claims Data'!L903</f>
        <v>0</v>
      </c>
      <c r="I903">
        <f t="shared" si="28"/>
        <v>0</v>
      </c>
      <c r="J903" t="str">
        <f t="shared" si="29"/>
        <v>Low Risk</v>
      </c>
    </row>
    <row r="904" spans="1:10" x14ac:dyDescent="0.2">
      <c r="A904" t="str">
        <f>'Claims Data'!A904</f>
        <v>CLM00903</v>
      </c>
      <c r="B904" t="str">
        <f>'Claims Data'!B904</f>
        <v>PAT0233</v>
      </c>
      <c r="C904" t="str">
        <f>'Claims Data'!C904</f>
        <v>PRV0006</v>
      </c>
      <c r="D904" s="1">
        <f>'Claims Data'!D904</f>
        <v>45520</v>
      </c>
      <c r="E904">
        <f>'Claims Data'!H904</f>
        <v>6.6</v>
      </c>
      <c r="F904">
        <f>'Claims Data'!J904</f>
        <v>372.5</v>
      </c>
      <c r="G904">
        <f>'Claims Data'!M904</f>
        <v>0</v>
      </c>
      <c r="H904" t="b">
        <f>'Claims Data'!L904</f>
        <v>0</v>
      </c>
      <c r="I904">
        <f t="shared" si="28"/>
        <v>0</v>
      </c>
      <c r="J904" t="str">
        <f t="shared" si="29"/>
        <v>Low Risk</v>
      </c>
    </row>
    <row r="905" spans="1:10" x14ac:dyDescent="0.2">
      <c r="A905" t="str">
        <f>'Claims Data'!A905</f>
        <v>CLM00904</v>
      </c>
      <c r="B905" t="str">
        <f>'Claims Data'!B905</f>
        <v>PAT0179</v>
      </c>
      <c r="C905" t="str">
        <f>'Claims Data'!C905</f>
        <v>PRV0017</v>
      </c>
      <c r="D905" s="1">
        <f>'Claims Data'!D905</f>
        <v>45561</v>
      </c>
      <c r="E905">
        <f>'Claims Data'!H905</f>
        <v>3.6</v>
      </c>
      <c r="F905">
        <f>'Claims Data'!J905</f>
        <v>123.54</v>
      </c>
      <c r="G905">
        <f>'Claims Data'!M905</f>
        <v>0</v>
      </c>
      <c r="H905" t="b">
        <f>'Claims Data'!L905</f>
        <v>0</v>
      </c>
      <c r="I905">
        <f t="shared" si="28"/>
        <v>0</v>
      </c>
      <c r="J905" t="str">
        <f t="shared" si="29"/>
        <v>Low Risk</v>
      </c>
    </row>
    <row r="906" spans="1:10" x14ac:dyDescent="0.2">
      <c r="A906" t="str">
        <f>'Claims Data'!A906</f>
        <v>CLM00905</v>
      </c>
      <c r="B906" t="str">
        <f>'Claims Data'!B906</f>
        <v>PAT0039</v>
      </c>
      <c r="C906" t="str">
        <f>'Claims Data'!C906</f>
        <v>PRV0044</v>
      </c>
      <c r="D906" s="1">
        <f>'Claims Data'!D906</f>
        <v>45001</v>
      </c>
      <c r="E906">
        <f>'Claims Data'!H906</f>
        <v>3.9</v>
      </c>
      <c r="F906">
        <f>'Claims Data'!J906</f>
        <v>155.38999999999999</v>
      </c>
      <c r="G906">
        <f>'Claims Data'!M906</f>
        <v>0</v>
      </c>
      <c r="H906" t="b">
        <f>'Claims Data'!L906</f>
        <v>0</v>
      </c>
      <c r="I906">
        <f t="shared" si="28"/>
        <v>0</v>
      </c>
      <c r="J906" t="str">
        <f t="shared" si="29"/>
        <v>Low Risk</v>
      </c>
    </row>
    <row r="907" spans="1:10" x14ac:dyDescent="0.2">
      <c r="A907" t="str">
        <f>'Claims Data'!A907</f>
        <v>CLM00906</v>
      </c>
      <c r="B907" t="str">
        <f>'Claims Data'!B907</f>
        <v>PAT0262</v>
      </c>
      <c r="C907" t="str">
        <f>'Claims Data'!C907</f>
        <v>PRV0023</v>
      </c>
      <c r="D907" s="1">
        <f>'Claims Data'!D907</f>
        <v>44950</v>
      </c>
      <c r="E907">
        <f>'Claims Data'!H907</f>
        <v>5.8</v>
      </c>
      <c r="F907">
        <f>'Claims Data'!J907</f>
        <v>190.68</v>
      </c>
      <c r="G907">
        <f>'Claims Data'!M907</f>
        <v>0</v>
      </c>
      <c r="H907" t="b">
        <f>'Claims Data'!L907</f>
        <v>0</v>
      </c>
      <c r="I907">
        <f t="shared" si="28"/>
        <v>0</v>
      </c>
      <c r="J907" t="str">
        <f t="shared" si="29"/>
        <v>Low Risk</v>
      </c>
    </row>
    <row r="908" spans="1:10" x14ac:dyDescent="0.2">
      <c r="A908" t="str">
        <f>'Claims Data'!A908</f>
        <v>CLM00907</v>
      </c>
      <c r="B908" t="str">
        <f>'Claims Data'!B908</f>
        <v>PAT0195</v>
      </c>
      <c r="C908" t="str">
        <f>'Claims Data'!C908</f>
        <v>PRV0039</v>
      </c>
      <c r="D908" s="1">
        <f>'Claims Data'!D908</f>
        <v>44980</v>
      </c>
      <c r="E908">
        <f>'Claims Data'!H908</f>
        <v>2.2000000000000002</v>
      </c>
      <c r="F908">
        <f>'Claims Data'!J908</f>
        <v>102.1</v>
      </c>
      <c r="G908">
        <f>'Claims Data'!M908</f>
        <v>0</v>
      </c>
      <c r="H908" t="b">
        <f>'Claims Data'!L908</f>
        <v>0</v>
      </c>
      <c r="I908">
        <f t="shared" si="28"/>
        <v>0</v>
      </c>
      <c r="J908" t="str">
        <f t="shared" si="29"/>
        <v>Low Risk</v>
      </c>
    </row>
    <row r="909" spans="1:10" x14ac:dyDescent="0.2">
      <c r="A909" t="str">
        <f>'Claims Data'!A909</f>
        <v>CLM00908</v>
      </c>
      <c r="B909" t="str">
        <f>'Claims Data'!B909</f>
        <v>PAT0011</v>
      </c>
      <c r="C909" t="str">
        <f>'Claims Data'!C909</f>
        <v>PRV0016</v>
      </c>
      <c r="D909" s="1">
        <f>'Claims Data'!D909</f>
        <v>45031</v>
      </c>
      <c r="E909">
        <f>'Claims Data'!H909</f>
        <v>4.8</v>
      </c>
      <c r="F909">
        <f>'Claims Data'!J909</f>
        <v>370.82</v>
      </c>
      <c r="G909">
        <f>'Claims Data'!M909</f>
        <v>0</v>
      </c>
      <c r="H909" t="b">
        <f>'Claims Data'!L909</f>
        <v>0</v>
      </c>
      <c r="I909">
        <f t="shared" si="28"/>
        <v>0</v>
      </c>
      <c r="J909" t="str">
        <f t="shared" si="29"/>
        <v>Low Risk</v>
      </c>
    </row>
    <row r="910" spans="1:10" x14ac:dyDescent="0.2">
      <c r="A910" t="str">
        <f>'Claims Data'!A910</f>
        <v>CLM00909</v>
      </c>
      <c r="B910" t="str">
        <f>'Claims Data'!B910</f>
        <v>PAT0145</v>
      </c>
      <c r="C910" t="str">
        <f>'Claims Data'!C910</f>
        <v>PRV0030</v>
      </c>
      <c r="D910" s="1">
        <f>'Claims Data'!D910</f>
        <v>45200</v>
      </c>
      <c r="E910">
        <f>'Claims Data'!H910</f>
        <v>2.8</v>
      </c>
      <c r="F910">
        <f>'Claims Data'!J910</f>
        <v>229.35</v>
      </c>
      <c r="G910">
        <f>'Claims Data'!M910</f>
        <v>0</v>
      </c>
      <c r="H910" t="b">
        <f>'Claims Data'!L910</f>
        <v>0</v>
      </c>
      <c r="I910">
        <f t="shared" si="28"/>
        <v>0</v>
      </c>
      <c r="J910" t="str">
        <f t="shared" si="29"/>
        <v>Low Risk</v>
      </c>
    </row>
    <row r="911" spans="1:10" x14ac:dyDescent="0.2">
      <c r="A911" t="str">
        <f>'Claims Data'!A911</f>
        <v>CLM00910</v>
      </c>
      <c r="B911" t="str">
        <f>'Claims Data'!B911</f>
        <v>PAT0004</v>
      </c>
      <c r="C911" t="str">
        <f>'Claims Data'!C911</f>
        <v>PRV0059</v>
      </c>
      <c r="D911" s="1">
        <f>'Claims Data'!D911</f>
        <v>45414</v>
      </c>
      <c r="E911">
        <f>'Claims Data'!H911</f>
        <v>5.5</v>
      </c>
      <c r="F911">
        <f>'Claims Data'!J911</f>
        <v>288.16000000000003</v>
      </c>
      <c r="G911">
        <f>'Claims Data'!M911</f>
        <v>0</v>
      </c>
      <c r="H911" t="b">
        <f>'Claims Data'!L911</f>
        <v>0</v>
      </c>
      <c r="I911">
        <f t="shared" si="28"/>
        <v>0</v>
      </c>
      <c r="J911" t="str">
        <f t="shared" si="29"/>
        <v>Low Risk</v>
      </c>
    </row>
    <row r="912" spans="1:10" x14ac:dyDescent="0.2">
      <c r="A912" t="str">
        <f>'Claims Data'!A912</f>
        <v>CLM00911</v>
      </c>
      <c r="B912" t="str">
        <f>'Claims Data'!B912</f>
        <v>PAT0167</v>
      </c>
      <c r="C912" t="str">
        <f>'Claims Data'!C912</f>
        <v>PRV0007</v>
      </c>
      <c r="D912" s="1">
        <f>'Claims Data'!D912</f>
        <v>45580</v>
      </c>
      <c r="E912">
        <f>'Claims Data'!H912</f>
        <v>5.0999999999999996</v>
      </c>
      <c r="F912">
        <f>'Claims Data'!J912</f>
        <v>323.2</v>
      </c>
      <c r="G912">
        <f>'Claims Data'!M912</f>
        <v>0</v>
      </c>
      <c r="H912" t="b">
        <f>'Claims Data'!L912</f>
        <v>0</v>
      </c>
      <c r="I912">
        <f t="shared" si="28"/>
        <v>0</v>
      </c>
      <c r="J912" t="str">
        <f t="shared" si="29"/>
        <v>Low Risk</v>
      </c>
    </row>
    <row r="913" spans="1:10" x14ac:dyDescent="0.2">
      <c r="A913" t="str">
        <f>'Claims Data'!A913</f>
        <v>CLM00912</v>
      </c>
      <c r="B913" t="str">
        <f>'Claims Data'!B913</f>
        <v>PAT0116</v>
      </c>
      <c r="C913" t="str">
        <f>'Claims Data'!C913</f>
        <v>PRV0001</v>
      </c>
      <c r="D913" s="1">
        <f>'Claims Data'!D913</f>
        <v>45648</v>
      </c>
      <c r="E913">
        <f>'Claims Data'!H913</f>
        <v>4.9000000000000004</v>
      </c>
      <c r="F913">
        <f>'Claims Data'!J913</f>
        <v>189.28</v>
      </c>
      <c r="G913">
        <f>'Claims Data'!M913</f>
        <v>0</v>
      </c>
      <c r="H913" t="b">
        <f>'Claims Data'!L913</f>
        <v>0</v>
      </c>
      <c r="I913">
        <f t="shared" si="28"/>
        <v>0</v>
      </c>
      <c r="J913" t="str">
        <f t="shared" si="29"/>
        <v>Low Risk</v>
      </c>
    </row>
    <row r="914" spans="1:10" x14ac:dyDescent="0.2">
      <c r="A914" t="str">
        <f>'Claims Data'!A914</f>
        <v>CLM00913</v>
      </c>
      <c r="B914" t="str">
        <f>'Claims Data'!B914</f>
        <v>PAT0183</v>
      </c>
      <c r="C914" t="str">
        <f>'Claims Data'!C914</f>
        <v>PRV0056</v>
      </c>
      <c r="D914" s="1">
        <f>'Claims Data'!D914</f>
        <v>45496</v>
      </c>
      <c r="E914">
        <f>'Claims Data'!H914</f>
        <v>3.8</v>
      </c>
      <c r="F914">
        <f>'Claims Data'!J914</f>
        <v>188.98</v>
      </c>
      <c r="G914">
        <f>'Claims Data'!M914</f>
        <v>0</v>
      </c>
      <c r="H914" t="b">
        <f>'Claims Data'!L914</f>
        <v>0</v>
      </c>
      <c r="I914">
        <f t="shared" si="28"/>
        <v>0</v>
      </c>
      <c r="J914" t="str">
        <f t="shared" si="29"/>
        <v>Low Risk</v>
      </c>
    </row>
    <row r="915" spans="1:10" x14ac:dyDescent="0.2">
      <c r="A915" t="str">
        <f>'Claims Data'!A915</f>
        <v>CLM00914</v>
      </c>
      <c r="B915" t="str">
        <f>'Claims Data'!B915</f>
        <v>PAT0249</v>
      </c>
      <c r="C915" t="str">
        <f>'Claims Data'!C915</f>
        <v>PRV0009</v>
      </c>
      <c r="D915" s="1">
        <f>'Claims Data'!D915</f>
        <v>45466</v>
      </c>
      <c r="E915">
        <f>'Claims Data'!H915</f>
        <v>2.1</v>
      </c>
      <c r="F915">
        <f>'Claims Data'!J915</f>
        <v>118.44</v>
      </c>
      <c r="G915">
        <f>'Claims Data'!M915</f>
        <v>0</v>
      </c>
      <c r="H915" t="b">
        <f>'Claims Data'!L915</f>
        <v>0</v>
      </c>
      <c r="I915">
        <f t="shared" si="28"/>
        <v>0</v>
      </c>
      <c r="J915" t="str">
        <f t="shared" si="29"/>
        <v>Low Risk</v>
      </c>
    </row>
    <row r="916" spans="1:10" x14ac:dyDescent="0.2">
      <c r="A916" t="str">
        <f>'Claims Data'!A916</f>
        <v>CLM00915</v>
      </c>
      <c r="B916" t="str">
        <f>'Claims Data'!B916</f>
        <v>PAT0214</v>
      </c>
      <c r="C916" t="str">
        <f>'Claims Data'!C916</f>
        <v>PRV0048</v>
      </c>
      <c r="D916" s="1">
        <f>'Claims Data'!D916</f>
        <v>45079</v>
      </c>
      <c r="E916">
        <f>'Claims Data'!H916</f>
        <v>3.7</v>
      </c>
      <c r="F916">
        <f>'Claims Data'!J916</f>
        <v>211.29</v>
      </c>
      <c r="G916">
        <f>'Claims Data'!M916</f>
        <v>0</v>
      </c>
      <c r="H916" t="b">
        <f>'Claims Data'!L916</f>
        <v>0</v>
      </c>
      <c r="I916">
        <f t="shared" si="28"/>
        <v>0</v>
      </c>
      <c r="J916" t="str">
        <f t="shared" si="29"/>
        <v>Low Risk</v>
      </c>
    </row>
    <row r="917" spans="1:10" x14ac:dyDescent="0.2">
      <c r="A917" t="str">
        <f>'Claims Data'!A917</f>
        <v>CLM00916</v>
      </c>
      <c r="B917" t="str">
        <f>'Claims Data'!B917</f>
        <v>PAT0082</v>
      </c>
      <c r="C917" t="str">
        <f>'Claims Data'!C917</f>
        <v>PRV0011</v>
      </c>
      <c r="D917" s="1">
        <f>'Claims Data'!D917</f>
        <v>45518</v>
      </c>
      <c r="E917">
        <f>'Claims Data'!H917</f>
        <v>7.7</v>
      </c>
      <c r="F917">
        <f>'Claims Data'!J917</f>
        <v>412.9</v>
      </c>
      <c r="G917">
        <f>'Claims Data'!M917</f>
        <v>0</v>
      </c>
      <c r="H917" t="b">
        <f>'Claims Data'!L917</f>
        <v>0</v>
      </c>
      <c r="I917">
        <f t="shared" si="28"/>
        <v>0</v>
      </c>
      <c r="J917" t="str">
        <f t="shared" si="29"/>
        <v>Low Risk</v>
      </c>
    </row>
    <row r="918" spans="1:10" x14ac:dyDescent="0.2">
      <c r="A918" t="str">
        <f>'Claims Data'!A918</f>
        <v>CLM00917</v>
      </c>
      <c r="B918" t="str">
        <f>'Claims Data'!B918</f>
        <v>PAT0246</v>
      </c>
      <c r="C918" t="str">
        <f>'Claims Data'!C918</f>
        <v>PRV0043</v>
      </c>
      <c r="D918" s="1">
        <f>'Claims Data'!D918</f>
        <v>45327</v>
      </c>
      <c r="E918">
        <f>'Claims Data'!H918</f>
        <v>6.8</v>
      </c>
      <c r="F918">
        <f>'Claims Data'!J918</f>
        <v>413.58</v>
      </c>
      <c r="G918">
        <f>'Claims Data'!M918</f>
        <v>0</v>
      </c>
      <c r="H918" t="b">
        <f>'Claims Data'!L918</f>
        <v>0</v>
      </c>
      <c r="I918">
        <f t="shared" si="28"/>
        <v>0</v>
      </c>
      <c r="J918" t="str">
        <f t="shared" si="29"/>
        <v>Low Risk</v>
      </c>
    </row>
    <row r="919" spans="1:10" x14ac:dyDescent="0.2">
      <c r="A919" t="str">
        <f>'Claims Data'!A919</f>
        <v>CLM00918</v>
      </c>
      <c r="B919" t="str">
        <f>'Claims Data'!B919</f>
        <v>PAT0045</v>
      </c>
      <c r="C919" t="str">
        <f>'Claims Data'!C919</f>
        <v>PRV0044</v>
      </c>
      <c r="D919" s="1">
        <f>'Claims Data'!D919</f>
        <v>45492</v>
      </c>
      <c r="E919">
        <f>'Claims Data'!H919</f>
        <v>3.1</v>
      </c>
      <c r="F919">
        <f>'Claims Data'!J919</f>
        <v>241.58</v>
      </c>
      <c r="G919">
        <f>'Claims Data'!M919</f>
        <v>0</v>
      </c>
      <c r="H919" t="b">
        <f>'Claims Data'!L919</f>
        <v>0</v>
      </c>
      <c r="I919">
        <f t="shared" si="28"/>
        <v>0</v>
      </c>
      <c r="J919" t="str">
        <f t="shared" si="29"/>
        <v>Low Risk</v>
      </c>
    </row>
    <row r="920" spans="1:10" x14ac:dyDescent="0.2">
      <c r="A920" t="str">
        <f>'Claims Data'!A920</f>
        <v>CLM00919</v>
      </c>
      <c r="B920" t="str">
        <f>'Claims Data'!B920</f>
        <v>PAT0283</v>
      </c>
      <c r="C920" t="str">
        <f>'Claims Data'!C920</f>
        <v>PRV0036</v>
      </c>
      <c r="D920" s="1">
        <f>'Claims Data'!D920</f>
        <v>45637</v>
      </c>
      <c r="E920">
        <f>'Claims Data'!H920</f>
        <v>29.5</v>
      </c>
      <c r="F920">
        <f>'Claims Data'!J920</f>
        <v>2000</v>
      </c>
      <c r="G920" t="str">
        <f>'Claims Data'!M920</f>
        <v>phantom_round_amount</v>
      </c>
      <c r="H920" t="b">
        <f>'Claims Data'!L920</f>
        <v>1</v>
      </c>
      <c r="I920">
        <f t="shared" si="28"/>
        <v>80</v>
      </c>
      <c r="J920" t="str">
        <f t="shared" si="29"/>
        <v>High Risk</v>
      </c>
    </row>
    <row r="921" spans="1:10" x14ac:dyDescent="0.2">
      <c r="A921" t="str">
        <f>'Claims Data'!A921</f>
        <v>CLM00920</v>
      </c>
      <c r="B921" t="str">
        <f>'Claims Data'!B921</f>
        <v>PAT0147</v>
      </c>
      <c r="C921" t="str">
        <f>'Claims Data'!C921</f>
        <v>PRV0052</v>
      </c>
      <c r="D921" s="1">
        <f>'Claims Data'!D921</f>
        <v>45020</v>
      </c>
      <c r="E921">
        <f>'Claims Data'!H921</f>
        <v>7</v>
      </c>
      <c r="F921">
        <f>'Claims Data'!J921</f>
        <v>267.64999999999998</v>
      </c>
      <c r="G921">
        <f>'Claims Data'!M921</f>
        <v>0</v>
      </c>
      <c r="H921" t="b">
        <f>'Claims Data'!L921</f>
        <v>0</v>
      </c>
      <c r="I921">
        <f t="shared" si="28"/>
        <v>0</v>
      </c>
      <c r="J921" t="str">
        <f t="shared" si="29"/>
        <v>Low Risk</v>
      </c>
    </row>
    <row r="922" spans="1:10" x14ac:dyDescent="0.2">
      <c r="A922" t="str">
        <f>'Claims Data'!A922</f>
        <v>CLM00921</v>
      </c>
      <c r="B922" t="str">
        <f>'Claims Data'!B922</f>
        <v>PAT0078</v>
      </c>
      <c r="C922" t="str">
        <f>'Claims Data'!C922</f>
        <v>PRV0056</v>
      </c>
      <c r="D922" s="1">
        <f>'Claims Data'!D922</f>
        <v>45201</v>
      </c>
      <c r="E922">
        <f>'Claims Data'!H922</f>
        <v>5.8</v>
      </c>
      <c r="F922">
        <f>'Claims Data'!J922</f>
        <v>324.77999999999997</v>
      </c>
      <c r="G922">
        <f>'Claims Data'!M922</f>
        <v>0</v>
      </c>
      <c r="H922" t="b">
        <f>'Claims Data'!L922</f>
        <v>0</v>
      </c>
      <c r="I922">
        <f t="shared" si="28"/>
        <v>0</v>
      </c>
      <c r="J922" t="str">
        <f t="shared" si="29"/>
        <v>Low Risk</v>
      </c>
    </row>
    <row r="923" spans="1:10" x14ac:dyDescent="0.2">
      <c r="A923" t="str">
        <f>'Claims Data'!A923</f>
        <v>CLM00922</v>
      </c>
      <c r="B923" t="str">
        <f>'Claims Data'!B923</f>
        <v>PAT0151</v>
      </c>
      <c r="C923" t="str">
        <f>'Claims Data'!C923</f>
        <v>PRV0005</v>
      </c>
      <c r="D923" s="1">
        <f>'Claims Data'!D923</f>
        <v>45038</v>
      </c>
      <c r="E923">
        <f>'Claims Data'!H923</f>
        <v>3.7</v>
      </c>
      <c r="F923">
        <f>'Claims Data'!J923</f>
        <v>257.43</v>
      </c>
      <c r="G923">
        <f>'Claims Data'!M923</f>
        <v>0</v>
      </c>
      <c r="H923" t="b">
        <f>'Claims Data'!L923</f>
        <v>0</v>
      </c>
      <c r="I923">
        <f t="shared" si="28"/>
        <v>0</v>
      </c>
      <c r="J923" t="str">
        <f t="shared" si="29"/>
        <v>Low Risk</v>
      </c>
    </row>
    <row r="924" spans="1:10" x14ac:dyDescent="0.2">
      <c r="A924" t="str">
        <f>'Claims Data'!A924</f>
        <v>CLM00923</v>
      </c>
      <c r="B924" t="str">
        <f>'Claims Data'!B924</f>
        <v>PAT0078</v>
      </c>
      <c r="C924" t="str">
        <f>'Claims Data'!C924</f>
        <v>PRV0056</v>
      </c>
      <c r="D924" s="1">
        <f>'Claims Data'!D924</f>
        <v>44934</v>
      </c>
      <c r="E924">
        <f>'Claims Data'!H924</f>
        <v>3.1</v>
      </c>
      <c r="F924">
        <f>'Claims Data'!J924</f>
        <v>90.23</v>
      </c>
      <c r="G924">
        <f>'Claims Data'!M924</f>
        <v>0</v>
      </c>
      <c r="H924" t="b">
        <f>'Claims Data'!L924</f>
        <v>0</v>
      </c>
      <c r="I924">
        <f t="shared" si="28"/>
        <v>0</v>
      </c>
      <c r="J924" t="str">
        <f t="shared" si="29"/>
        <v>Low Risk</v>
      </c>
    </row>
    <row r="925" spans="1:10" x14ac:dyDescent="0.2">
      <c r="A925" t="str">
        <f>'Claims Data'!A925</f>
        <v>CLM00924</v>
      </c>
      <c r="B925" t="str">
        <f>'Claims Data'!B925</f>
        <v>PAT0286</v>
      </c>
      <c r="C925" t="str">
        <f>'Claims Data'!C925</f>
        <v>PRV0011</v>
      </c>
      <c r="D925" s="1">
        <f>'Claims Data'!D925</f>
        <v>45401</v>
      </c>
      <c r="E925">
        <f>'Claims Data'!H925</f>
        <v>2.7</v>
      </c>
      <c r="F925">
        <f>'Claims Data'!J925</f>
        <v>141.27000000000001</v>
      </c>
      <c r="G925">
        <f>'Claims Data'!M925</f>
        <v>0</v>
      </c>
      <c r="H925" t="b">
        <f>'Claims Data'!L925</f>
        <v>0</v>
      </c>
      <c r="I925">
        <f t="shared" si="28"/>
        <v>0</v>
      </c>
      <c r="J925" t="str">
        <f t="shared" si="29"/>
        <v>Low Risk</v>
      </c>
    </row>
    <row r="926" spans="1:10" x14ac:dyDescent="0.2">
      <c r="A926" t="str">
        <f>'Claims Data'!A926</f>
        <v>CLM00925</v>
      </c>
      <c r="B926" t="str">
        <f>'Claims Data'!B926</f>
        <v>PAT0032</v>
      </c>
      <c r="C926" t="str">
        <f>'Claims Data'!C926</f>
        <v>PRV0004</v>
      </c>
      <c r="D926" s="1">
        <f>'Claims Data'!D926</f>
        <v>45329</v>
      </c>
      <c r="E926">
        <f>'Claims Data'!H926</f>
        <v>6.2</v>
      </c>
      <c r="F926">
        <f>'Claims Data'!J926</f>
        <v>338.02</v>
      </c>
      <c r="G926">
        <f>'Claims Data'!M926</f>
        <v>0</v>
      </c>
      <c r="H926" t="b">
        <f>'Claims Data'!L926</f>
        <v>0</v>
      </c>
      <c r="I926">
        <f t="shared" si="28"/>
        <v>0</v>
      </c>
      <c r="J926" t="str">
        <f t="shared" si="29"/>
        <v>Low Risk</v>
      </c>
    </row>
    <row r="927" spans="1:10" x14ac:dyDescent="0.2">
      <c r="A927" t="str">
        <f>'Claims Data'!A927</f>
        <v>CLM00926</v>
      </c>
      <c r="B927" t="str">
        <f>'Claims Data'!B927</f>
        <v>PAT0225</v>
      </c>
      <c r="C927" t="str">
        <f>'Claims Data'!C927</f>
        <v>PRV0022</v>
      </c>
      <c r="D927" s="1">
        <f>'Claims Data'!D927</f>
        <v>45449</v>
      </c>
      <c r="E927">
        <f>'Claims Data'!H927</f>
        <v>2.9</v>
      </c>
      <c r="F927">
        <f>'Claims Data'!J927</f>
        <v>241.23</v>
      </c>
      <c r="G927">
        <f>'Claims Data'!M927</f>
        <v>0</v>
      </c>
      <c r="H927" t="b">
        <f>'Claims Data'!L927</f>
        <v>0</v>
      </c>
      <c r="I927">
        <f t="shared" si="28"/>
        <v>0</v>
      </c>
      <c r="J927" t="str">
        <f t="shared" si="29"/>
        <v>Low Risk</v>
      </c>
    </row>
    <row r="928" spans="1:10" x14ac:dyDescent="0.2">
      <c r="A928" t="str">
        <f>'Claims Data'!A928</f>
        <v>CLM00927</v>
      </c>
      <c r="B928" t="str">
        <f>'Claims Data'!B928</f>
        <v>PAT0277</v>
      </c>
      <c r="C928" t="str">
        <f>'Claims Data'!C928</f>
        <v>PRV0035</v>
      </c>
      <c r="D928" s="1">
        <f>'Claims Data'!D928</f>
        <v>45621</v>
      </c>
      <c r="E928">
        <f>'Claims Data'!H928</f>
        <v>7.8</v>
      </c>
      <c r="F928">
        <f>'Claims Data'!J928</f>
        <v>327.02999999999997</v>
      </c>
      <c r="G928">
        <f>'Claims Data'!M928</f>
        <v>0</v>
      </c>
      <c r="H928" t="b">
        <f>'Claims Data'!L928</f>
        <v>0</v>
      </c>
      <c r="I928">
        <f t="shared" si="28"/>
        <v>0</v>
      </c>
      <c r="J928" t="str">
        <f t="shared" si="29"/>
        <v>Low Risk</v>
      </c>
    </row>
    <row r="929" spans="1:10" x14ac:dyDescent="0.2">
      <c r="A929" t="str">
        <f>'Claims Data'!A929</f>
        <v>CLM00928</v>
      </c>
      <c r="B929" t="str">
        <f>'Claims Data'!B929</f>
        <v>PAT0098</v>
      </c>
      <c r="C929" t="str">
        <f>'Claims Data'!C929</f>
        <v>PRV0016</v>
      </c>
      <c r="D929" s="1">
        <f>'Claims Data'!D929</f>
        <v>45152</v>
      </c>
      <c r="E929">
        <f>'Claims Data'!H929</f>
        <v>6.4</v>
      </c>
      <c r="F929">
        <f>'Claims Data'!J929</f>
        <v>249.4</v>
      </c>
      <c r="G929">
        <f>'Claims Data'!M929</f>
        <v>0</v>
      </c>
      <c r="H929" t="b">
        <f>'Claims Data'!L929</f>
        <v>0</v>
      </c>
      <c r="I929">
        <f t="shared" si="28"/>
        <v>0</v>
      </c>
      <c r="J929" t="str">
        <f t="shared" si="29"/>
        <v>Low Risk</v>
      </c>
    </row>
    <row r="930" spans="1:10" x14ac:dyDescent="0.2">
      <c r="A930" t="str">
        <f>'Claims Data'!A930</f>
        <v>CLM00929</v>
      </c>
      <c r="B930" t="str">
        <f>'Claims Data'!B930</f>
        <v>PAT0223</v>
      </c>
      <c r="C930" t="str">
        <f>'Claims Data'!C930</f>
        <v>PRV0004</v>
      </c>
      <c r="D930" s="1">
        <f>'Claims Data'!D930</f>
        <v>45005</v>
      </c>
      <c r="E930">
        <f>'Claims Data'!H930</f>
        <v>5</v>
      </c>
      <c r="F930">
        <f>'Claims Data'!J930</f>
        <v>227.57</v>
      </c>
      <c r="G930">
        <f>'Claims Data'!M930</f>
        <v>0</v>
      </c>
      <c r="H930" t="b">
        <f>'Claims Data'!L930</f>
        <v>0</v>
      </c>
      <c r="I930">
        <f t="shared" si="28"/>
        <v>0</v>
      </c>
      <c r="J930" t="str">
        <f t="shared" si="29"/>
        <v>Low Risk</v>
      </c>
    </row>
    <row r="931" spans="1:10" x14ac:dyDescent="0.2">
      <c r="A931" t="str">
        <f>'Claims Data'!A931</f>
        <v>CLM00930</v>
      </c>
      <c r="B931" t="str">
        <f>'Claims Data'!B931</f>
        <v>PAT0280</v>
      </c>
      <c r="C931" t="str">
        <f>'Claims Data'!C931</f>
        <v>PRV0035</v>
      </c>
      <c r="D931" s="1">
        <f>'Claims Data'!D931</f>
        <v>45536</v>
      </c>
      <c r="E931">
        <f>'Claims Data'!H931</f>
        <v>8</v>
      </c>
      <c r="F931">
        <f>'Claims Data'!J931</f>
        <v>422.57</v>
      </c>
      <c r="G931">
        <f>'Claims Data'!M931</f>
        <v>0</v>
      </c>
      <c r="H931" t="b">
        <f>'Claims Data'!L931</f>
        <v>0</v>
      </c>
      <c r="I931">
        <f t="shared" si="28"/>
        <v>0</v>
      </c>
      <c r="J931" t="str">
        <f t="shared" si="29"/>
        <v>Low Risk</v>
      </c>
    </row>
    <row r="932" spans="1:10" x14ac:dyDescent="0.2">
      <c r="A932" t="str">
        <f>'Claims Data'!A932</f>
        <v>CLM00931</v>
      </c>
      <c r="B932" t="str">
        <f>'Claims Data'!B932</f>
        <v>PAT0087</v>
      </c>
      <c r="C932" t="str">
        <f>'Claims Data'!C932</f>
        <v>PRV0047</v>
      </c>
      <c r="D932" s="1">
        <f>'Claims Data'!D932</f>
        <v>45608</v>
      </c>
      <c r="E932">
        <f>'Claims Data'!H932</f>
        <v>2.5</v>
      </c>
      <c r="F932">
        <f>'Claims Data'!J932</f>
        <v>175.09</v>
      </c>
      <c r="G932">
        <f>'Claims Data'!M932</f>
        <v>0</v>
      </c>
      <c r="H932" t="b">
        <f>'Claims Data'!L932</f>
        <v>0</v>
      </c>
      <c r="I932">
        <f t="shared" si="28"/>
        <v>0</v>
      </c>
      <c r="J932" t="str">
        <f t="shared" si="29"/>
        <v>Low Risk</v>
      </c>
    </row>
    <row r="933" spans="1:10" x14ac:dyDescent="0.2">
      <c r="A933" t="str">
        <f>'Claims Data'!A933</f>
        <v>CLM00932</v>
      </c>
      <c r="B933" t="str">
        <f>'Claims Data'!B933</f>
        <v>PAT0021</v>
      </c>
      <c r="C933" t="str">
        <f>'Claims Data'!C933</f>
        <v>PRV0046</v>
      </c>
      <c r="D933" s="1">
        <f>'Claims Data'!D933</f>
        <v>45370</v>
      </c>
      <c r="E933">
        <f>'Claims Data'!H933</f>
        <v>3.6</v>
      </c>
      <c r="F933">
        <f>'Claims Data'!J933</f>
        <v>174.76</v>
      </c>
      <c r="G933">
        <f>'Claims Data'!M933</f>
        <v>0</v>
      </c>
      <c r="H933" t="b">
        <f>'Claims Data'!L933</f>
        <v>0</v>
      </c>
      <c r="I933">
        <f t="shared" si="28"/>
        <v>0</v>
      </c>
      <c r="J933" t="str">
        <f t="shared" si="29"/>
        <v>Low Risk</v>
      </c>
    </row>
    <row r="934" spans="1:10" x14ac:dyDescent="0.2">
      <c r="A934" t="str">
        <f>'Claims Data'!A934</f>
        <v>CLM00933</v>
      </c>
      <c r="B934" t="str">
        <f>'Claims Data'!B934</f>
        <v>PAT0082</v>
      </c>
      <c r="C934" t="str">
        <f>'Claims Data'!C934</f>
        <v>PRV0001</v>
      </c>
      <c r="D934" s="1">
        <f>'Claims Data'!D934</f>
        <v>45031</v>
      </c>
      <c r="E934">
        <f>'Claims Data'!H934</f>
        <v>3.1</v>
      </c>
      <c r="F934">
        <f>'Claims Data'!J934</f>
        <v>244.1</v>
      </c>
      <c r="G934">
        <f>'Claims Data'!M934</f>
        <v>0</v>
      </c>
      <c r="H934" t="b">
        <f>'Claims Data'!L934</f>
        <v>0</v>
      </c>
      <c r="I934">
        <f t="shared" si="28"/>
        <v>0</v>
      </c>
      <c r="J934" t="str">
        <f t="shared" si="29"/>
        <v>Low Risk</v>
      </c>
    </row>
    <row r="935" spans="1:10" x14ac:dyDescent="0.2">
      <c r="A935" t="str">
        <f>'Claims Data'!A935</f>
        <v>CLM00934</v>
      </c>
      <c r="B935" t="str">
        <f>'Claims Data'!B935</f>
        <v>PAT0198</v>
      </c>
      <c r="C935" t="str">
        <f>'Claims Data'!C935</f>
        <v>PRV0047</v>
      </c>
      <c r="D935" s="1">
        <f>'Claims Data'!D935</f>
        <v>45317</v>
      </c>
      <c r="E935">
        <f>'Claims Data'!H935</f>
        <v>7</v>
      </c>
      <c r="F935">
        <f>'Claims Data'!J935</f>
        <v>226.22</v>
      </c>
      <c r="G935">
        <f>'Claims Data'!M935</f>
        <v>0</v>
      </c>
      <c r="H935" t="b">
        <f>'Claims Data'!L935</f>
        <v>0</v>
      </c>
      <c r="I935">
        <f t="shared" si="28"/>
        <v>0</v>
      </c>
      <c r="J935" t="str">
        <f t="shared" si="29"/>
        <v>Low Risk</v>
      </c>
    </row>
    <row r="936" spans="1:10" x14ac:dyDescent="0.2">
      <c r="A936" t="str">
        <f>'Claims Data'!A936</f>
        <v>CLM00935</v>
      </c>
      <c r="B936" t="str">
        <f>'Claims Data'!B936</f>
        <v>PAT0122</v>
      </c>
      <c r="C936" t="str">
        <f>'Claims Data'!C936</f>
        <v>PRV0002</v>
      </c>
      <c r="D936" s="1">
        <f>'Claims Data'!D936</f>
        <v>45018</v>
      </c>
      <c r="E936">
        <f>'Claims Data'!H936</f>
        <v>4.3</v>
      </c>
      <c r="F936">
        <f>'Claims Data'!J936</f>
        <v>359.04</v>
      </c>
      <c r="G936">
        <f>'Claims Data'!M936</f>
        <v>0</v>
      </c>
      <c r="H936" t="b">
        <f>'Claims Data'!L936</f>
        <v>0</v>
      </c>
      <c r="I936">
        <f t="shared" si="28"/>
        <v>0</v>
      </c>
      <c r="J936" t="str">
        <f t="shared" si="29"/>
        <v>Low Risk</v>
      </c>
    </row>
    <row r="937" spans="1:10" x14ac:dyDescent="0.2">
      <c r="A937" t="str">
        <f>'Claims Data'!A937</f>
        <v>CLM00936</v>
      </c>
      <c r="B937" t="str">
        <f>'Claims Data'!B937</f>
        <v>PAT0295</v>
      </c>
      <c r="C937" t="str">
        <f>'Claims Data'!C937</f>
        <v>PRV0028</v>
      </c>
      <c r="D937" s="1">
        <f>'Claims Data'!D937</f>
        <v>45585</v>
      </c>
      <c r="E937">
        <f>'Claims Data'!H937</f>
        <v>3.2</v>
      </c>
      <c r="F937">
        <f>'Claims Data'!J937</f>
        <v>221.18</v>
      </c>
      <c r="G937">
        <f>'Claims Data'!M937</f>
        <v>0</v>
      </c>
      <c r="H937" t="b">
        <f>'Claims Data'!L937</f>
        <v>0</v>
      </c>
      <c r="I937">
        <f t="shared" si="28"/>
        <v>0</v>
      </c>
      <c r="J937" t="str">
        <f t="shared" si="29"/>
        <v>Low Risk</v>
      </c>
    </row>
    <row r="938" spans="1:10" x14ac:dyDescent="0.2">
      <c r="A938" t="str">
        <f>'Claims Data'!A938</f>
        <v>CLM00937</v>
      </c>
      <c r="B938" t="str">
        <f>'Claims Data'!B938</f>
        <v>PAT0252</v>
      </c>
      <c r="C938" t="str">
        <f>'Claims Data'!C938</f>
        <v>PRV0058</v>
      </c>
      <c r="D938" s="1">
        <f>'Claims Data'!D938</f>
        <v>45634</v>
      </c>
      <c r="E938">
        <f>'Claims Data'!H938</f>
        <v>4.8</v>
      </c>
      <c r="F938">
        <f>'Claims Data'!J938</f>
        <v>316.26</v>
      </c>
      <c r="G938">
        <f>'Claims Data'!M938</f>
        <v>0</v>
      </c>
      <c r="H938" t="b">
        <f>'Claims Data'!L938</f>
        <v>0</v>
      </c>
      <c r="I938">
        <f t="shared" si="28"/>
        <v>0</v>
      </c>
      <c r="J938" t="str">
        <f t="shared" si="29"/>
        <v>Low Risk</v>
      </c>
    </row>
    <row r="939" spans="1:10" x14ac:dyDescent="0.2">
      <c r="A939" t="str">
        <f>'Claims Data'!A939</f>
        <v>CLM00938</v>
      </c>
      <c r="B939" t="str">
        <f>'Claims Data'!B939</f>
        <v>PAT0082</v>
      </c>
      <c r="C939" t="str">
        <f>'Claims Data'!C939</f>
        <v>PRV0059</v>
      </c>
      <c r="D939" s="1">
        <f>'Claims Data'!D939</f>
        <v>45330</v>
      </c>
      <c r="E939">
        <f>'Claims Data'!H939</f>
        <v>23</v>
      </c>
      <c r="F939">
        <f>'Claims Data'!J939</f>
        <v>1579.87</v>
      </c>
      <c r="G939" t="str">
        <f>'Claims Data'!M939</f>
        <v>inflated_hours</v>
      </c>
      <c r="H939" t="b">
        <f>'Claims Data'!L939</f>
        <v>1</v>
      </c>
      <c r="I939">
        <f t="shared" si="28"/>
        <v>50</v>
      </c>
      <c r="J939" t="str">
        <f t="shared" si="29"/>
        <v>Medium Risk</v>
      </c>
    </row>
    <row r="940" spans="1:10" x14ac:dyDescent="0.2">
      <c r="A940" t="str">
        <f>'Claims Data'!A940</f>
        <v>CLM00939</v>
      </c>
      <c r="B940" t="str">
        <f>'Claims Data'!B940</f>
        <v>PAT0163</v>
      </c>
      <c r="C940" t="str">
        <f>'Claims Data'!C940</f>
        <v>PRV0027</v>
      </c>
      <c r="D940" s="1">
        <f>'Claims Data'!D940</f>
        <v>45485</v>
      </c>
      <c r="E940">
        <f>'Claims Data'!H940</f>
        <v>3.5</v>
      </c>
      <c r="F940">
        <f>'Claims Data'!J940</f>
        <v>221.59</v>
      </c>
      <c r="G940">
        <f>'Claims Data'!M940</f>
        <v>0</v>
      </c>
      <c r="H940" t="b">
        <f>'Claims Data'!L940</f>
        <v>0</v>
      </c>
      <c r="I940">
        <f t="shared" si="28"/>
        <v>0</v>
      </c>
      <c r="J940" t="str">
        <f t="shared" si="29"/>
        <v>Low Risk</v>
      </c>
    </row>
    <row r="941" spans="1:10" x14ac:dyDescent="0.2">
      <c r="A941" t="str">
        <f>'Claims Data'!A941</f>
        <v>CLM00940</v>
      </c>
      <c r="B941" t="str">
        <f>'Claims Data'!B941</f>
        <v>PAT0243</v>
      </c>
      <c r="C941" t="str">
        <f>'Claims Data'!C941</f>
        <v>PRV0008</v>
      </c>
      <c r="D941" s="1">
        <f>'Claims Data'!D941</f>
        <v>45383</v>
      </c>
      <c r="E941">
        <f>'Claims Data'!H941</f>
        <v>7.3</v>
      </c>
      <c r="F941">
        <f>'Claims Data'!J941</f>
        <v>560.78</v>
      </c>
      <c r="G941">
        <f>'Claims Data'!M941</f>
        <v>0</v>
      </c>
      <c r="H941" t="b">
        <f>'Claims Data'!L941</f>
        <v>0</v>
      </c>
      <c r="I941">
        <f t="shared" si="28"/>
        <v>0</v>
      </c>
      <c r="J941" t="str">
        <f t="shared" si="29"/>
        <v>Low Risk</v>
      </c>
    </row>
    <row r="942" spans="1:10" x14ac:dyDescent="0.2">
      <c r="A942" t="str">
        <f>'Claims Data'!A942</f>
        <v>CLM00941</v>
      </c>
      <c r="B942" t="str">
        <f>'Claims Data'!B942</f>
        <v>PAT0149</v>
      </c>
      <c r="C942" t="str">
        <f>'Claims Data'!C942</f>
        <v>PRV0011</v>
      </c>
      <c r="D942" s="1">
        <f>'Claims Data'!D942</f>
        <v>45399</v>
      </c>
      <c r="E942">
        <f>'Claims Data'!H942</f>
        <v>3.4</v>
      </c>
      <c r="F942">
        <f>'Claims Data'!J942</f>
        <v>173.57</v>
      </c>
      <c r="G942">
        <f>'Claims Data'!M942</f>
        <v>0</v>
      </c>
      <c r="H942" t="b">
        <f>'Claims Data'!L942</f>
        <v>0</v>
      </c>
      <c r="I942">
        <f t="shared" si="28"/>
        <v>0</v>
      </c>
      <c r="J942" t="str">
        <f t="shared" si="29"/>
        <v>Low Risk</v>
      </c>
    </row>
    <row r="943" spans="1:10" x14ac:dyDescent="0.2">
      <c r="A943" t="str">
        <f>'Claims Data'!A943</f>
        <v>CLM00942</v>
      </c>
      <c r="B943" t="str">
        <f>'Claims Data'!B943</f>
        <v>PAT0051</v>
      </c>
      <c r="C943" t="str">
        <f>'Claims Data'!C943</f>
        <v>PRV0020</v>
      </c>
      <c r="D943" s="1">
        <f>'Claims Data'!D943</f>
        <v>45202</v>
      </c>
      <c r="E943">
        <f>'Claims Data'!H943</f>
        <v>6.8</v>
      </c>
      <c r="F943">
        <f>'Claims Data'!J943</f>
        <v>408.56</v>
      </c>
      <c r="G943">
        <f>'Claims Data'!M943</f>
        <v>0</v>
      </c>
      <c r="H943" t="b">
        <f>'Claims Data'!L943</f>
        <v>0</v>
      </c>
      <c r="I943">
        <f t="shared" si="28"/>
        <v>0</v>
      </c>
      <c r="J943" t="str">
        <f t="shared" si="29"/>
        <v>Low Risk</v>
      </c>
    </row>
    <row r="944" spans="1:10" x14ac:dyDescent="0.2">
      <c r="A944" t="str">
        <f>'Claims Data'!A944</f>
        <v>CLM00943</v>
      </c>
      <c r="B944" t="str">
        <f>'Claims Data'!B944</f>
        <v>PAT0086</v>
      </c>
      <c r="C944" t="str">
        <f>'Claims Data'!C944</f>
        <v>PRV0044</v>
      </c>
      <c r="D944" s="1">
        <f>'Claims Data'!D944</f>
        <v>45020</v>
      </c>
      <c r="E944">
        <f>'Claims Data'!H944</f>
        <v>45.4</v>
      </c>
      <c r="F944">
        <f>'Claims Data'!J944</f>
        <v>1250</v>
      </c>
      <c r="G944" t="str">
        <f>'Claims Data'!M944</f>
        <v>phantom_round_amount</v>
      </c>
      <c r="H944" t="b">
        <f>'Claims Data'!L944</f>
        <v>1</v>
      </c>
      <c r="I944">
        <f t="shared" si="28"/>
        <v>80</v>
      </c>
      <c r="J944" t="str">
        <f t="shared" si="29"/>
        <v>High Risk</v>
      </c>
    </row>
    <row r="945" spans="1:10" x14ac:dyDescent="0.2">
      <c r="A945" t="str">
        <f>'Claims Data'!A945</f>
        <v>CLM00944</v>
      </c>
      <c r="B945" t="str">
        <f>'Claims Data'!B945</f>
        <v>PAT0002</v>
      </c>
      <c r="C945" t="str">
        <f>'Claims Data'!C945</f>
        <v>PRV0038</v>
      </c>
      <c r="D945" s="1">
        <f>'Claims Data'!D945</f>
        <v>45599</v>
      </c>
      <c r="E945">
        <f>'Claims Data'!H945</f>
        <v>6.1</v>
      </c>
      <c r="F945">
        <f>'Claims Data'!J945</f>
        <v>209.23</v>
      </c>
      <c r="G945">
        <f>'Claims Data'!M945</f>
        <v>0</v>
      </c>
      <c r="H945" t="b">
        <f>'Claims Data'!L945</f>
        <v>0</v>
      </c>
      <c r="I945">
        <f t="shared" si="28"/>
        <v>0</v>
      </c>
      <c r="J945" t="str">
        <f t="shared" si="29"/>
        <v>Low Risk</v>
      </c>
    </row>
    <row r="946" spans="1:10" x14ac:dyDescent="0.2">
      <c r="A946" t="str">
        <f>'Claims Data'!A946</f>
        <v>CLM00945</v>
      </c>
      <c r="B946" t="str">
        <f>'Claims Data'!B946</f>
        <v>PAT0131</v>
      </c>
      <c r="C946" t="str">
        <f>'Claims Data'!C946</f>
        <v>PRV0047</v>
      </c>
      <c r="D946" s="1">
        <f>'Claims Data'!D946</f>
        <v>45340</v>
      </c>
      <c r="E946">
        <f>'Claims Data'!H946</f>
        <v>2.9</v>
      </c>
      <c r="F946">
        <f>'Claims Data'!J946</f>
        <v>88.4</v>
      </c>
      <c r="G946">
        <f>'Claims Data'!M946</f>
        <v>0</v>
      </c>
      <c r="H946" t="b">
        <f>'Claims Data'!L946</f>
        <v>0</v>
      </c>
      <c r="I946">
        <f t="shared" si="28"/>
        <v>0</v>
      </c>
      <c r="J946" t="str">
        <f t="shared" si="29"/>
        <v>Low Risk</v>
      </c>
    </row>
    <row r="947" spans="1:10" x14ac:dyDescent="0.2">
      <c r="A947" t="str">
        <f>'Claims Data'!A947</f>
        <v>CLM00946</v>
      </c>
      <c r="B947" t="str">
        <f>'Claims Data'!B947</f>
        <v>PAT0047</v>
      </c>
      <c r="C947" t="str">
        <f>'Claims Data'!C947</f>
        <v>PRV0026</v>
      </c>
      <c r="D947" s="1">
        <f>'Claims Data'!D947</f>
        <v>45279</v>
      </c>
      <c r="E947">
        <f>'Claims Data'!H947</f>
        <v>7.6</v>
      </c>
      <c r="F947">
        <f>'Claims Data'!J947</f>
        <v>644.62</v>
      </c>
      <c r="G947">
        <f>'Claims Data'!M947</f>
        <v>0</v>
      </c>
      <c r="H947" t="b">
        <f>'Claims Data'!L947</f>
        <v>0</v>
      </c>
      <c r="I947">
        <f t="shared" si="28"/>
        <v>0</v>
      </c>
      <c r="J947" t="str">
        <f t="shared" si="29"/>
        <v>Low Risk</v>
      </c>
    </row>
    <row r="948" spans="1:10" x14ac:dyDescent="0.2">
      <c r="A948" t="str">
        <f>'Claims Data'!A948</f>
        <v>CLM00947</v>
      </c>
      <c r="B948" t="str">
        <f>'Claims Data'!B948</f>
        <v>PAT0257</v>
      </c>
      <c r="C948" t="str">
        <f>'Claims Data'!C948</f>
        <v>PRV0017</v>
      </c>
      <c r="D948" s="1">
        <f>'Claims Data'!D948</f>
        <v>45221</v>
      </c>
      <c r="E948">
        <f>'Claims Data'!H948</f>
        <v>2.4</v>
      </c>
      <c r="F948">
        <f>'Claims Data'!J948</f>
        <v>152.82</v>
      </c>
      <c r="G948">
        <f>'Claims Data'!M948</f>
        <v>0</v>
      </c>
      <c r="H948" t="b">
        <f>'Claims Data'!L948</f>
        <v>0</v>
      </c>
      <c r="I948">
        <f t="shared" si="28"/>
        <v>0</v>
      </c>
      <c r="J948" t="str">
        <f t="shared" si="29"/>
        <v>Low Risk</v>
      </c>
    </row>
    <row r="949" spans="1:10" x14ac:dyDescent="0.2">
      <c r="A949" t="str">
        <f>'Claims Data'!A949</f>
        <v>CLM00948</v>
      </c>
      <c r="B949" t="str">
        <f>'Claims Data'!B949</f>
        <v>PAT0222</v>
      </c>
      <c r="C949" t="str">
        <f>'Claims Data'!C949</f>
        <v>PRV0010</v>
      </c>
      <c r="D949" s="1">
        <f>'Claims Data'!D949</f>
        <v>45090</v>
      </c>
      <c r="E949">
        <f>'Claims Data'!H949</f>
        <v>2.8</v>
      </c>
      <c r="F949">
        <f>'Claims Data'!J949</f>
        <v>109.09</v>
      </c>
      <c r="G949">
        <f>'Claims Data'!M949</f>
        <v>0</v>
      </c>
      <c r="H949" t="b">
        <f>'Claims Data'!L949</f>
        <v>0</v>
      </c>
      <c r="I949">
        <f t="shared" si="28"/>
        <v>0</v>
      </c>
      <c r="J949" t="str">
        <f t="shared" si="29"/>
        <v>Low Risk</v>
      </c>
    </row>
    <row r="950" spans="1:10" x14ac:dyDescent="0.2">
      <c r="A950" t="str">
        <f>'Claims Data'!A950</f>
        <v>CLM00949</v>
      </c>
      <c r="B950" t="str">
        <f>'Claims Data'!B950</f>
        <v>PAT0194</v>
      </c>
      <c r="C950" t="str">
        <f>'Claims Data'!C950</f>
        <v>PRV0038</v>
      </c>
      <c r="D950" s="1">
        <f>'Claims Data'!D950</f>
        <v>45620</v>
      </c>
      <c r="E950">
        <f>'Claims Data'!H950</f>
        <v>19.5</v>
      </c>
      <c r="F950">
        <f>'Claims Data'!J950</f>
        <v>1000</v>
      </c>
      <c r="G950" t="str">
        <f>'Claims Data'!M950</f>
        <v>phantom_round_amount</v>
      </c>
      <c r="H950" t="b">
        <f>'Claims Data'!L950</f>
        <v>1</v>
      </c>
      <c r="I950">
        <f t="shared" si="28"/>
        <v>80</v>
      </c>
      <c r="J950" t="str">
        <f t="shared" si="29"/>
        <v>High Risk</v>
      </c>
    </row>
    <row r="951" spans="1:10" x14ac:dyDescent="0.2">
      <c r="A951" t="str">
        <f>'Claims Data'!A951</f>
        <v>CLM00950</v>
      </c>
      <c r="B951" t="str">
        <f>'Claims Data'!B951</f>
        <v>PAT0031</v>
      </c>
      <c r="C951" t="str">
        <f>'Claims Data'!C951</f>
        <v>PRV0002</v>
      </c>
      <c r="D951" s="1">
        <f>'Claims Data'!D951</f>
        <v>45336</v>
      </c>
      <c r="E951">
        <f>'Claims Data'!H951</f>
        <v>6.1</v>
      </c>
      <c r="F951">
        <f>'Claims Data'!J951</f>
        <v>283.58999999999997</v>
      </c>
      <c r="G951">
        <f>'Claims Data'!M951</f>
        <v>0</v>
      </c>
      <c r="H951" t="b">
        <f>'Claims Data'!L951</f>
        <v>0</v>
      </c>
      <c r="I951">
        <f t="shared" si="28"/>
        <v>0</v>
      </c>
      <c r="J951" t="str">
        <f t="shared" si="29"/>
        <v>Low Risk</v>
      </c>
    </row>
    <row r="952" spans="1:10" x14ac:dyDescent="0.2">
      <c r="A952" t="str">
        <f>'Claims Data'!A952</f>
        <v>CLM00951</v>
      </c>
      <c r="B952" t="str">
        <f>'Claims Data'!B952</f>
        <v>PAT0156</v>
      </c>
      <c r="C952" t="str">
        <f>'Claims Data'!C952</f>
        <v>PRV0032</v>
      </c>
      <c r="D952" s="1">
        <f>'Claims Data'!D952</f>
        <v>45086</v>
      </c>
      <c r="E952">
        <f>'Claims Data'!H952</f>
        <v>7.4</v>
      </c>
      <c r="F952">
        <f>'Claims Data'!J952</f>
        <v>400.47</v>
      </c>
      <c r="G952">
        <f>'Claims Data'!M952</f>
        <v>0</v>
      </c>
      <c r="H952" t="b">
        <f>'Claims Data'!L952</f>
        <v>0</v>
      </c>
      <c r="I952">
        <f t="shared" si="28"/>
        <v>0</v>
      </c>
      <c r="J952" t="str">
        <f t="shared" si="29"/>
        <v>Low Risk</v>
      </c>
    </row>
    <row r="953" spans="1:10" x14ac:dyDescent="0.2">
      <c r="A953" t="str">
        <f>'Claims Data'!A953</f>
        <v>CLM00952</v>
      </c>
      <c r="B953" t="str">
        <f>'Claims Data'!B953</f>
        <v>PAT0146</v>
      </c>
      <c r="C953" t="str">
        <f>'Claims Data'!C953</f>
        <v>PRV0004</v>
      </c>
      <c r="D953" s="1">
        <f>'Claims Data'!D953</f>
        <v>45061</v>
      </c>
      <c r="E953">
        <f>'Claims Data'!H953</f>
        <v>5.3</v>
      </c>
      <c r="F953">
        <f>'Claims Data'!J953</f>
        <v>288.35000000000002</v>
      </c>
      <c r="G953">
        <f>'Claims Data'!M953</f>
        <v>0</v>
      </c>
      <c r="H953" t="b">
        <f>'Claims Data'!L953</f>
        <v>0</v>
      </c>
      <c r="I953">
        <f t="shared" si="28"/>
        <v>0</v>
      </c>
      <c r="J953" t="str">
        <f t="shared" si="29"/>
        <v>Low Risk</v>
      </c>
    </row>
    <row r="954" spans="1:10" x14ac:dyDescent="0.2">
      <c r="A954" t="str">
        <f>'Claims Data'!A954</f>
        <v>CLM00953</v>
      </c>
      <c r="B954" t="str">
        <f>'Claims Data'!B954</f>
        <v>PAT0270</v>
      </c>
      <c r="C954" t="str">
        <f>'Claims Data'!C954</f>
        <v>PRV0048</v>
      </c>
      <c r="D954" s="1">
        <f>'Claims Data'!D954</f>
        <v>45364</v>
      </c>
      <c r="E954">
        <f>'Claims Data'!H954</f>
        <v>5.3</v>
      </c>
      <c r="F954">
        <f>'Claims Data'!J954</f>
        <v>235.43</v>
      </c>
      <c r="G954">
        <f>'Claims Data'!M954</f>
        <v>0</v>
      </c>
      <c r="H954" t="b">
        <f>'Claims Data'!L954</f>
        <v>0</v>
      </c>
      <c r="I954">
        <f t="shared" si="28"/>
        <v>0</v>
      </c>
      <c r="J954" t="str">
        <f t="shared" si="29"/>
        <v>Low Risk</v>
      </c>
    </row>
    <row r="955" spans="1:10" x14ac:dyDescent="0.2">
      <c r="A955" t="str">
        <f>'Claims Data'!A955</f>
        <v>CLM00954</v>
      </c>
      <c r="B955" t="str">
        <f>'Claims Data'!B955</f>
        <v>PAT0194</v>
      </c>
      <c r="C955" t="str">
        <f>'Claims Data'!C955</f>
        <v>PRV0044</v>
      </c>
      <c r="D955" s="1">
        <f>'Claims Data'!D955</f>
        <v>45449</v>
      </c>
      <c r="E955">
        <f>'Claims Data'!H955</f>
        <v>7.2</v>
      </c>
      <c r="F955">
        <f>'Claims Data'!J955</f>
        <v>438.63</v>
      </c>
      <c r="G955">
        <f>'Claims Data'!M955</f>
        <v>0</v>
      </c>
      <c r="H955" t="b">
        <f>'Claims Data'!L955</f>
        <v>0</v>
      </c>
      <c r="I955">
        <f t="shared" si="28"/>
        <v>0</v>
      </c>
      <c r="J955" t="str">
        <f t="shared" si="29"/>
        <v>Low Risk</v>
      </c>
    </row>
    <row r="956" spans="1:10" x14ac:dyDescent="0.2">
      <c r="A956" t="str">
        <f>'Claims Data'!A956</f>
        <v>CLM00955</v>
      </c>
      <c r="B956" t="str">
        <f>'Claims Data'!B956</f>
        <v>PAT0034</v>
      </c>
      <c r="C956" t="str">
        <f>'Claims Data'!C956</f>
        <v>PRV0004</v>
      </c>
      <c r="D956" s="1">
        <f>'Claims Data'!D956</f>
        <v>45492</v>
      </c>
      <c r="E956">
        <f>'Claims Data'!H956</f>
        <v>2.4</v>
      </c>
      <c r="F956">
        <f>'Claims Data'!J956</f>
        <v>82.32</v>
      </c>
      <c r="G956">
        <f>'Claims Data'!M956</f>
        <v>0</v>
      </c>
      <c r="H956" t="b">
        <f>'Claims Data'!L956</f>
        <v>0</v>
      </c>
      <c r="I956">
        <f t="shared" si="28"/>
        <v>0</v>
      </c>
      <c r="J956" t="str">
        <f t="shared" si="29"/>
        <v>Low Risk</v>
      </c>
    </row>
    <row r="957" spans="1:10" x14ac:dyDescent="0.2">
      <c r="A957" t="str">
        <f>'Claims Data'!A957</f>
        <v>CLM00956</v>
      </c>
      <c r="B957" t="str">
        <f>'Claims Data'!B957</f>
        <v>PAT0182</v>
      </c>
      <c r="C957" t="str">
        <f>'Claims Data'!C957</f>
        <v>PRV0046</v>
      </c>
      <c r="D957" s="1">
        <f>'Claims Data'!D957</f>
        <v>45185</v>
      </c>
      <c r="E957">
        <f>'Claims Data'!H957</f>
        <v>5.2</v>
      </c>
      <c r="F957">
        <f>'Claims Data'!J957</f>
        <v>271.67</v>
      </c>
      <c r="G957">
        <f>'Claims Data'!M957</f>
        <v>0</v>
      </c>
      <c r="H957" t="b">
        <f>'Claims Data'!L957</f>
        <v>0</v>
      </c>
      <c r="I957">
        <f t="shared" si="28"/>
        <v>0</v>
      </c>
      <c r="J957" t="str">
        <f t="shared" si="29"/>
        <v>Low Risk</v>
      </c>
    </row>
    <row r="958" spans="1:10" x14ac:dyDescent="0.2">
      <c r="A958" t="str">
        <f>'Claims Data'!A958</f>
        <v>CLM00957</v>
      </c>
      <c r="B958" t="str">
        <f>'Claims Data'!B958</f>
        <v>PAT0041</v>
      </c>
      <c r="C958" t="str">
        <f>'Claims Data'!C958</f>
        <v>PRV0020</v>
      </c>
      <c r="D958" s="1">
        <f>'Claims Data'!D958</f>
        <v>45402</v>
      </c>
      <c r="E958">
        <f>'Claims Data'!H958</f>
        <v>6.4</v>
      </c>
      <c r="F958">
        <f>'Claims Data'!J958</f>
        <v>499.05</v>
      </c>
      <c r="G958">
        <f>'Claims Data'!M958</f>
        <v>0</v>
      </c>
      <c r="H958" t="b">
        <f>'Claims Data'!L958</f>
        <v>0</v>
      </c>
      <c r="I958">
        <f t="shared" si="28"/>
        <v>0</v>
      </c>
      <c r="J958" t="str">
        <f t="shared" si="29"/>
        <v>Low Risk</v>
      </c>
    </row>
    <row r="959" spans="1:10" x14ac:dyDescent="0.2">
      <c r="A959" t="str">
        <f>'Claims Data'!A959</f>
        <v>CLM00958</v>
      </c>
      <c r="B959" t="str">
        <f>'Claims Data'!B959</f>
        <v>PAT0077</v>
      </c>
      <c r="C959" t="str">
        <f>'Claims Data'!C959</f>
        <v>PRV0045</v>
      </c>
      <c r="D959" s="1">
        <f>'Claims Data'!D959</f>
        <v>44956</v>
      </c>
      <c r="E959">
        <f>'Claims Data'!H959</f>
        <v>6.7</v>
      </c>
      <c r="F959">
        <f>'Claims Data'!J959</f>
        <v>263.49</v>
      </c>
      <c r="G959">
        <f>'Claims Data'!M959</f>
        <v>0</v>
      </c>
      <c r="H959" t="b">
        <f>'Claims Data'!L959</f>
        <v>0</v>
      </c>
      <c r="I959">
        <f t="shared" si="28"/>
        <v>0</v>
      </c>
      <c r="J959" t="str">
        <f t="shared" si="29"/>
        <v>Low Risk</v>
      </c>
    </row>
    <row r="960" spans="1:10" x14ac:dyDescent="0.2">
      <c r="A960" t="str">
        <f>'Claims Data'!A960</f>
        <v>CLM00959</v>
      </c>
      <c r="B960" t="str">
        <f>'Claims Data'!B960</f>
        <v>PAT0044</v>
      </c>
      <c r="C960" t="str">
        <f>'Claims Data'!C960</f>
        <v>PRV0046</v>
      </c>
      <c r="D960" s="1">
        <f>'Claims Data'!D960</f>
        <v>45171</v>
      </c>
      <c r="E960">
        <f>'Claims Data'!H960</f>
        <v>5.9</v>
      </c>
      <c r="F960">
        <f>'Claims Data'!J960</f>
        <v>338.29</v>
      </c>
      <c r="G960">
        <f>'Claims Data'!M960</f>
        <v>0</v>
      </c>
      <c r="H960" t="b">
        <f>'Claims Data'!L960</f>
        <v>0</v>
      </c>
      <c r="I960">
        <f t="shared" si="28"/>
        <v>0</v>
      </c>
      <c r="J960" t="str">
        <f t="shared" si="29"/>
        <v>Low Risk</v>
      </c>
    </row>
    <row r="961" spans="1:10" x14ac:dyDescent="0.2">
      <c r="A961" t="str">
        <f>'Claims Data'!A961</f>
        <v>CLM00960</v>
      </c>
      <c r="B961" t="str">
        <f>'Claims Data'!B961</f>
        <v>PAT0155</v>
      </c>
      <c r="C961" t="str">
        <f>'Claims Data'!C961</f>
        <v>PRV0054</v>
      </c>
      <c r="D961" s="1">
        <f>'Claims Data'!D961</f>
        <v>45257</v>
      </c>
      <c r="E961">
        <f>'Claims Data'!H961</f>
        <v>20.7</v>
      </c>
      <c r="F961">
        <f>'Claims Data'!J961</f>
        <v>1135.4000000000001</v>
      </c>
      <c r="G961" t="str">
        <f>'Claims Data'!M961</f>
        <v>inflated_hours</v>
      </c>
      <c r="H961" t="b">
        <f>'Claims Data'!L961</f>
        <v>1</v>
      </c>
      <c r="I961">
        <f t="shared" si="28"/>
        <v>50</v>
      </c>
      <c r="J961" t="str">
        <f t="shared" si="29"/>
        <v>Medium Risk</v>
      </c>
    </row>
    <row r="962" spans="1:10" x14ac:dyDescent="0.2">
      <c r="A962" t="str">
        <f>'Claims Data'!A962</f>
        <v>CLM00961</v>
      </c>
      <c r="B962" t="str">
        <f>'Claims Data'!B962</f>
        <v>PAT0044</v>
      </c>
      <c r="C962" t="str">
        <f>'Claims Data'!C962</f>
        <v>PRV0017</v>
      </c>
      <c r="D962" s="1">
        <f>'Claims Data'!D962</f>
        <v>45618</v>
      </c>
      <c r="E962">
        <f>'Claims Data'!H962</f>
        <v>5.7</v>
      </c>
      <c r="F962">
        <f>'Claims Data'!J962</f>
        <v>252.83</v>
      </c>
      <c r="G962">
        <f>'Claims Data'!M962</f>
        <v>0</v>
      </c>
      <c r="H962" t="b">
        <f>'Claims Data'!L962</f>
        <v>0</v>
      </c>
      <c r="I962">
        <f t="shared" si="28"/>
        <v>0</v>
      </c>
      <c r="J962" t="str">
        <f t="shared" si="29"/>
        <v>Low Risk</v>
      </c>
    </row>
    <row r="963" spans="1:10" x14ac:dyDescent="0.2">
      <c r="A963" t="str">
        <f>'Claims Data'!A963</f>
        <v>CLM00962</v>
      </c>
      <c r="B963" t="str">
        <f>'Claims Data'!B963</f>
        <v>PAT0122</v>
      </c>
      <c r="C963" t="str">
        <f>'Claims Data'!C963</f>
        <v>PRV0048</v>
      </c>
      <c r="D963" s="1">
        <f>'Claims Data'!D963</f>
        <v>45400</v>
      </c>
      <c r="E963">
        <f>'Claims Data'!H963</f>
        <v>2.7</v>
      </c>
      <c r="F963">
        <f>'Claims Data'!J963</f>
        <v>152.26</v>
      </c>
      <c r="G963">
        <f>'Claims Data'!M963</f>
        <v>0</v>
      </c>
      <c r="H963" t="b">
        <f>'Claims Data'!L963</f>
        <v>0</v>
      </c>
      <c r="I963">
        <f t="shared" ref="I963:I1026" si="30">IF(E963&gt;16,40,0)+IF(MOD(F963,250)=0,30,0)+IF(H963=TRUE,10,0)</f>
        <v>0</v>
      </c>
      <c r="J963" t="str">
        <f t="shared" ref="J963:J1026" si="31">IF(I963&gt;=70,"High Risk",IF(I963&gt;=30,"Medium Risk","Low Risk"))</f>
        <v>Low Risk</v>
      </c>
    </row>
    <row r="964" spans="1:10" x14ac:dyDescent="0.2">
      <c r="A964" t="str">
        <f>'Claims Data'!A964</f>
        <v>CLM00963</v>
      </c>
      <c r="B964" t="str">
        <f>'Claims Data'!B964</f>
        <v>PAT0161</v>
      </c>
      <c r="C964" t="str">
        <f>'Claims Data'!C964</f>
        <v>PRV0025</v>
      </c>
      <c r="D964" s="1">
        <f>'Claims Data'!D964</f>
        <v>45456</v>
      </c>
      <c r="E964">
        <f>'Claims Data'!H964</f>
        <v>7</v>
      </c>
      <c r="F964">
        <f>'Claims Data'!J964</f>
        <v>229.51</v>
      </c>
      <c r="G964">
        <f>'Claims Data'!M964</f>
        <v>0</v>
      </c>
      <c r="H964" t="b">
        <f>'Claims Data'!L964</f>
        <v>0</v>
      </c>
      <c r="I964">
        <f t="shared" si="30"/>
        <v>0</v>
      </c>
      <c r="J964" t="str">
        <f t="shared" si="31"/>
        <v>Low Risk</v>
      </c>
    </row>
    <row r="965" spans="1:10" x14ac:dyDescent="0.2">
      <c r="A965" t="str">
        <f>'Claims Data'!A965</f>
        <v>CLM00964</v>
      </c>
      <c r="B965" t="str">
        <f>'Claims Data'!B965</f>
        <v>PAT0296</v>
      </c>
      <c r="C965" t="str">
        <f>'Claims Data'!C965</f>
        <v>PRV0038</v>
      </c>
      <c r="D965" s="1">
        <f>'Claims Data'!D965</f>
        <v>45524</v>
      </c>
      <c r="E965">
        <f>'Claims Data'!H965</f>
        <v>68.5</v>
      </c>
      <c r="F965">
        <f>'Claims Data'!J965</f>
        <v>2500</v>
      </c>
      <c r="G965" t="str">
        <f>'Claims Data'!M965</f>
        <v>phantom_round_amount</v>
      </c>
      <c r="H965" t="b">
        <f>'Claims Data'!L965</f>
        <v>1</v>
      </c>
      <c r="I965">
        <f t="shared" si="30"/>
        <v>80</v>
      </c>
      <c r="J965" t="str">
        <f t="shared" si="31"/>
        <v>High Risk</v>
      </c>
    </row>
    <row r="966" spans="1:10" x14ac:dyDescent="0.2">
      <c r="A966" t="str">
        <f>'Claims Data'!A966</f>
        <v>CLM00965</v>
      </c>
      <c r="B966" t="str">
        <f>'Claims Data'!B966</f>
        <v>PAT0281</v>
      </c>
      <c r="C966" t="str">
        <f>'Claims Data'!C966</f>
        <v>PRV0058</v>
      </c>
      <c r="D966" s="1">
        <f>'Claims Data'!D966</f>
        <v>45226</v>
      </c>
      <c r="E966">
        <f>'Claims Data'!H966</f>
        <v>5.9</v>
      </c>
      <c r="F966">
        <f>'Claims Data'!J966</f>
        <v>333.64</v>
      </c>
      <c r="G966">
        <f>'Claims Data'!M966</f>
        <v>0</v>
      </c>
      <c r="H966" t="b">
        <f>'Claims Data'!L966</f>
        <v>0</v>
      </c>
      <c r="I966">
        <f t="shared" si="30"/>
        <v>0</v>
      </c>
      <c r="J966" t="str">
        <f t="shared" si="31"/>
        <v>Low Risk</v>
      </c>
    </row>
    <row r="967" spans="1:10" x14ac:dyDescent="0.2">
      <c r="A967" t="str">
        <f>'Claims Data'!A967</f>
        <v>CLM00966</v>
      </c>
      <c r="B967" t="str">
        <f>'Claims Data'!B967</f>
        <v>PAT0194</v>
      </c>
      <c r="C967" t="str">
        <f>'Claims Data'!C967</f>
        <v>PRV0031</v>
      </c>
      <c r="D967" s="1">
        <f>'Claims Data'!D967</f>
        <v>45519</v>
      </c>
      <c r="E967">
        <f>'Claims Data'!H967</f>
        <v>2.2999999999999998</v>
      </c>
      <c r="F967">
        <f>'Claims Data'!J967</f>
        <v>87.96</v>
      </c>
      <c r="G967">
        <f>'Claims Data'!M967</f>
        <v>0</v>
      </c>
      <c r="H967" t="b">
        <f>'Claims Data'!L967</f>
        <v>0</v>
      </c>
      <c r="I967">
        <f t="shared" si="30"/>
        <v>0</v>
      </c>
      <c r="J967" t="str">
        <f t="shared" si="31"/>
        <v>Low Risk</v>
      </c>
    </row>
    <row r="968" spans="1:10" x14ac:dyDescent="0.2">
      <c r="A968" t="str">
        <f>'Claims Data'!A968</f>
        <v>CLM00967</v>
      </c>
      <c r="B968" t="str">
        <f>'Claims Data'!B968</f>
        <v>PAT0107</v>
      </c>
      <c r="C968" t="str">
        <f>'Claims Data'!C968</f>
        <v>PRV0053</v>
      </c>
      <c r="D968" s="1">
        <f>'Claims Data'!D968</f>
        <v>45124</v>
      </c>
      <c r="E968">
        <f>'Claims Data'!H968</f>
        <v>2.1</v>
      </c>
      <c r="F968">
        <f>'Claims Data'!J968</f>
        <v>168.55</v>
      </c>
      <c r="G968">
        <f>'Claims Data'!M968</f>
        <v>0</v>
      </c>
      <c r="H968" t="b">
        <f>'Claims Data'!L968</f>
        <v>0</v>
      </c>
      <c r="I968">
        <f t="shared" si="30"/>
        <v>0</v>
      </c>
      <c r="J968" t="str">
        <f t="shared" si="31"/>
        <v>Low Risk</v>
      </c>
    </row>
    <row r="969" spans="1:10" x14ac:dyDescent="0.2">
      <c r="A969" t="str">
        <f>'Claims Data'!A969</f>
        <v>CLM00968</v>
      </c>
      <c r="B969" t="str">
        <f>'Claims Data'!B969</f>
        <v>PAT0088</v>
      </c>
      <c r="C969" t="str">
        <f>'Claims Data'!C969</f>
        <v>PRV0044</v>
      </c>
      <c r="D969" s="1">
        <f>'Claims Data'!D969</f>
        <v>45140</v>
      </c>
      <c r="E969">
        <f>'Claims Data'!H969</f>
        <v>7.6</v>
      </c>
      <c r="F969">
        <f>'Claims Data'!J969</f>
        <v>569.42999999999995</v>
      </c>
      <c r="G969">
        <f>'Claims Data'!M969</f>
        <v>0</v>
      </c>
      <c r="H969" t="b">
        <f>'Claims Data'!L969</f>
        <v>0</v>
      </c>
      <c r="I969">
        <f t="shared" si="30"/>
        <v>0</v>
      </c>
      <c r="J969" t="str">
        <f t="shared" si="31"/>
        <v>Low Risk</v>
      </c>
    </row>
    <row r="970" spans="1:10" x14ac:dyDescent="0.2">
      <c r="A970" t="str">
        <f>'Claims Data'!A970</f>
        <v>CLM00969</v>
      </c>
      <c r="B970" t="str">
        <f>'Claims Data'!B970</f>
        <v>PAT0079</v>
      </c>
      <c r="C970" t="str">
        <f>'Claims Data'!C970</f>
        <v>PRV0033</v>
      </c>
      <c r="D970" s="1">
        <f>'Claims Data'!D970</f>
        <v>45572</v>
      </c>
      <c r="E970">
        <f>'Claims Data'!H970</f>
        <v>4.2</v>
      </c>
      <c r="F970">
        <f>'Claims Data'!J970</f>
        <v>292.36</v>
      </c>
      <c r="G970">
        <f>'Claims Data'!M970</f>
        <v>0</v>
      </c>
      <c r="H970" t="b">
        <f>'Claims Data'!L970</f>
        <v>0</v>
      </c>
      <c r="I970">
        <f t="shared" si="30"/>
        <v>0</v>
      </c>
      <c r="J970" t="str">
        <f t="shared" si="31"/>
        <v>Low Risk</v>
      </c>
    </row>
    <row r="971" spans="1:10" x14ac:dyDescent="0.2">
      <c r="A971" t="str">
        <f>'Claims Data'!A971</f>
        <v>CLM00970</v>
      </c>
      <c r="B971" t="str">
        <f>'Claims Data'!B971</f>
        <v>PAT0136</v>
      </c>
      <c r="C971" t="str">
        <f>'Claims Data'!C971</f>
        <v>PRV0054</v>
      </c>
      <c r="D971" s="1">
        <f>'Claims Data'!D971</f>
        <v>45082</v>
      </c>
      <c r="E971">
        <f>'Claims Data'!H971</f>
        <v>6.8</v>
      </c>
      <c r="F971">
        <f>'Claims Data'!J971</f>
        <v>193.79</v>
      </c>
      <c r="G971">
        <f>'Claims Data'!M971</f>
        <v>0</v>
      </c>
      <c r="H971" t="b">
        <f>'Claims Data'!L971</f>
        <v>0</v>
      </c>
      <c r="I971">
        <f t="shared" si="30"/>
        <v>0</v>
      </c>
      <c r="J971" t="str">
        <f t="shared" si="31"/>
        <v>Low Risk</v>
      </c>
    </row>
    <row r="972" spans="1:10" x14ac:dyDescent="0.2">
      <c r="A972" t="str">
        <f>'Claims Data'!A972</f>
        <v>CLM00971</v>
      </c>
      <c r="B972" t="str">
        <f>'Claims Data'!B972</f>
        <v>PAT0215</v>
      </c>
      <c r="C972" t="str">
        <f>'Claims Data'!C972</f>
        <v>PRV0016</v>
      </c>
      <c r="D972" s="1">
        <f>'Claims Data'!D972</f>
        <v>45574</v>
      </c>
      <c r="E972">
        <f>'Claims Data'!H972</f>
        <v>5.2</v>
      </c>
      <c r="F972">
        <f>'Claims Data'!J972</f>
        <v>359.1</v>
      </c>
      <c r="G972">
        <f>'Claims Data'!M972</f>
        <v>0</v>
      </c>
      <c r="H972" t="b">
        <f>'Claims Data'!L972</f>
        <v>0</v>
      </c>
      <c r="I972">
        <f t="shared" si="30"/>
        <v>0</v>
      </c>
      <c r="J972" t="str">
        <f t="shared" si="31"/>
        <v>Low Risk</v>
      </c>
    </row>
    <row r="973" spans="1:10" x14ac:dyDescent="0.2">
      <c r="A973" t="str">
        <f>'Claims Data'!A973</f>
        <v>CLM00972</v>
      </c>
      <c r="B973" t="str">
        <f>'Claims Data'!B973</f>
        <v>PAT0083</v>
      </c>
      <c r="C973" t="str">
        <f>'Claims Data'!C973</f>
        <v>PRV0023</v>
      </c>
      <c r="D973" s="1">
        <f>'Claims Data'!D973</f>
        <v>45165</v>
      </c>
      <c r="E973">
        <f>'Claims Data'!H973</f>
        <v>7.7</v>
      </c>
      <c r="F973">
        <f>'Claims Data'!J973</f>
        <v>636.29</v>
      </c>
      <c r="G973">
        <f>'Claims Data'!M973</f>
        <v>0</v>
      </c>
      <c r="H973" t="b">
        <f>'Claims Data'!L973</f>
        <v>0</v>
      </c>
      <c r="I973">
        <f t="shared" si="30"/>
        <v>0</v>
      </c>
      <c r="J973" t="str">
        <f t="shared" si="31"/>
        <v>Low Risk</v>
      </c>
    </row>
    <row r="974" spans="1:10" x14ac:dyDescent="0.2">
      <c r="A974" t="str">
        <f>'Claims Data'!A974</f>
        <v>CLM00973</v>
      </c>
      <c r="B974" t="str">
        <f>'Claims Data'!B974</f>
        <v>PAT0041</v>
      </c>
      <c r="C974" t="str">
        <f>'Claims Data'!C974</f>
        <v>PRV0025</v>
      </c>
      <c r="D974" s="1">
        <f>'Claims Data'!D974</f>
        <v>45289</v>
      </c>
      <c r="E974">
        <f>'Claims Data'!H974</f>
        <v>6.4</v>
      </c>
      <c r="F974">
        <f>'Claims Data'!J974</f>
        <v>364.16</v>
      </c>
      <c r="G974">
        <f>'Claims Data'!M974</f>
        <v>0</v>
      </c>
      <c r="H974" t="b">
        <f>'Claims Data'!L974</f>
        <v>0</v>
      </c>
      <c r="I974">
        <f t="shared" si="30"/>
        <v>0</v>
      </c>
      <c r="J974" t="str">
        <f t="shared" si="31"/>
        <v>Low Risk</v>
      </c>
    </row>
    <row r="975" spans="1:10" x14ac:dyDescent="0.2">
      <c r="A975" t="str">
        <f>'Claims Data'!A975</f>
        <v>CLM00974</v>
      </c>
      <c r="B975" t="str">
        <f>'Claims Data'!B975</f>
        <v>PAT0038</v>
      </c>
      <c r="C975" t="str">
        <f>'Claims Data'!C975</f>
        <v>PRV0029</v>
      </c>
      <c r="D975" s="1">
        <f>'Claims Data'!D975</f>
        <v>45016</v>
      </c>
      <c r="E975">
        <f>'Claims Data'!H975</f>
        <v>5.2</v>
      </c>
      <c r="F975">
        <f>'Claims Data'!J975</f>
        <v>207.61</v>
      </c>
      <c r="G975">
        <f>'Claims Data'!M975</f>
        <v>0</v>
      </c>
      <c r="H975" t="b">
        <f>'Claims Data'!L975</f>
        <v>0</v>
      </c>
      <c r="I975">
        <f t="shared" si="30"/>
        <v>0</v>
      </c>
      <c r="J975" t="str">
        <f t="shared" si="31"/>
        <v>Low Risk</v>
      </c>
    </row>
    <row r="976" spans="1:10" x14ac:dyDescent="0.2">
      <c r="A976" t="str">
        <f>'Claims Data'!A976</f>
        <v>CLM00975</v>
      </c>
      <c r="B976" t="str">
        <f>'Claims Data'!B976</f>
        <v>PAT0242</v>
      </c>
      <c r="C976" t="str">
        <f>'Claims Data'!C976</f>
        <v>PRV0001</v>
      </c>
      <c r="D976" s="1">
        <f>'Claims Data'!D976</f>
        <v>45463</v>
      </c>
      <c r="E976">
        <f>'Claims Data'!H976</f>
        <v>5.4</v>
      </c>
      <c r="F976">
        <f>'Claims Data'!J976</f>
        <v>315.83999999999997</v>
      </c>
      <c r="G976">
        <f>'Claims Data'!M976</f>
        <v>0</v>
      </c>
      <c r="H976" t="b">
        <f>'Claims Data'!L976</f>
        <v>0</v>
      </c>
      <c r="I976">
        <f t="shared" si="30"/>
        <v>0</v>
      </c>
      <c r="J976" t="str">
        <f t="shared" si="31"/>
        <v>Low Risk</v>
      </c>
    </row>
    <row r="977" spans="1:10" x14ac:dyDescent="0.2">
      <c r="A977" t="str">
        <f>'Claims Data'!A977</f>
        <v>CLM00976</v>
      </c>
      <c r="B977" t="str">
        <f>'Claims Data'!B977</f>
        <v>PAT0098</v>
      </c>
      <c r="C977" t="str">
        <f>'Claims Data'!C977</f>
        <v>PRV0014</v>
      </c>
      <c r="D977" s="1">
        <f>'Claims Data'!D977</f>
        <v>45240</v>
      </c>
      <c r="E977">
        <f>'Claims Data'!H977</f>
        <v>6.6</v>
      </c>
      <c r="F977">
        <f>'Claims Data'!J977</f>
        <v>393.32</v>
      </c>
      <c r="G977">
        <f>'Claims Data'!M977</f>
        <v>0</v>
      </c>
      <c r="H977" t="b">
        <f>'Claims Data'!L977</f>
        <v>0</v>
      </c>
      <c r="I977">
        <f t="shared" si="30"/>
        <v>0</v>
      </c>
      <c r="J977" t="str">
        <f t="shared" si="31"/>
        <v>Low Risk</v>
      </c>
    </row>
    <row r="978" spans="1:10" x14ac:dyDescent="0.2">
      <c r="A978" t="str">
        <f>'Claims Data'!A978</f>
        <v>CLM00977</v>
      </c>
      <c r="B978" t="str">
        <f>'Claims Data'!B978</f>
        <v>PAT0124</v>
      </c>
      <c r="C978" t="str">
        <f>'Claims Data'!C978</f>
        <v>PRV0020</v>
      </c>
      <c r="D978" s="1">
        <f>'Claims Data'!D978</f>
        <v>38694</v>
      </c>
      <c r="E978">
        <f>'Claims Data'!H978</f>
        <v>6.2</v>
      </c>
      <c r="F978">
        <f>'Claims Data'!J978</f>
        <v>313.87</v>
      </c>
      <c r="G978" t="str">
        <f>'Claims Data'!M978</f>
        <v>deceased_patient_billing</v>
      </c>
      <c r="H978" t="b">
        <f>'Claims Data'!L978</f>
        <v>1</v>
      </c>
      <c r="I978">
        <f t="shared" si="30"/>
        <v>10</v>
      </c>
      <c r="J978" t="str">
        <f t="shared" si="31"/>
        <v>Low Risk</v>
      </c>
    </row>
    <row r="979" spans="1:10" x14ac:dyDescent="0.2">
      <c r="A979" t="str">
        <f>'Claims Data'!A979</f>
        <v>CLM00978</v>
      </c>
      <c r="B979" t="str">
        <f>'Claims Data'!B979</f>
        <v>PAT0080</v>
      </c>
      <c r="C979" t="str">
        <f>'Claims Data'!C979</f>
        <v>PRV0016</v>
      </c>
      <c r="D979" s="1">
        <f>'Claims Data'!D979</f>
        <v>45437</v>
      </c>
      <c r="E979">
        <f>'Claims Data'!H979</f>
        <v>6.8</v>
      </c>
      <c r="F979">
        <f>'Claims Data'!J979</f>
        <v>394.39</v>
      </c>
      <c r="G979">
        <f>'Claims Data'!M979</f>
        <v>0</v>
      </c>
      <c r="H979" t="b">
        <f>'Claims Data'!L979</f>
        <v>0</v>
      </c>
      <c r="I979">
        <f t="shared" si="30"/>
        <v>0</v>
      </c>
      <c r="J979" t="str">
        <f t="shared" si="31"/>
        <v>Low Risk</v>
      </c>
    </row>
    <row r="980" spans="1:10" x14ac:dyDescent="0.2">
      <c r="A980" t="str">
        <f>'Claims Data'!A980</f>
        <v>CLM00979</v>
      </c>
      <c r="B980" t="str">
        <f>'Claims Data'!B980</f>
        <v>PAT0135</v>
      </c>
      <c r="C980" t="str">
        <f>'Claims Data'!C980</f>
        <v>PRV0032</v>
      </c>
      <c r="D980" s="1">
        <f>'Claims Data'!D980</f>
        <v>45154</v>
      </c>
      <c r="E980">
        <f>'Claims Data'!H980</f>
        <v>5.9</v>
      </c>
      <c r="F980">
        <f>'Claims Data'!J980</f>
        <v>336.5</v>
      </c>
      <c r="G980">
        <f>'Claims Data'!M980</f>
        <v>0</v>
      </c>
      <c r="H980" t="b">
        <f>'Claims Data'!L980</f>
        <v>0</v>
      </c>
      <c r="I980">
        <f t="shared" si="30"/>
        <v>0</v>
      </c>
      <c r="J980" t="str">
        <f t="shared" si="31"/>
        <v>Low Risk</v>
      </c>
    </row>
    <row r="981" spans="1:10" x14ac:dyDescent="0.2">
      <c r="A981" t="str">
        <f>'Claims Data'!A981</f>
        <v>CLM00980</v>
      </c>
      <c r="B981" t="str">
        <f>'Claims Data'!B981</f>
        <v>PAT0163</v>
      </c>
      <c r="C981" t="str">
        <f>'Claims Data'!C981</f>
        <v>PRV0032</v>
      </c>
      <c r="D981" s="1">
        <f>'Claims Data'!D981</f>
        <v>45114</v>
      </c>
      <c r="E981">
        <f>'Claims Data'!H981</f>
        <v>7.6</v>
      </c>
      <c r="F981">
        <f>'Claims Data'!J981</f>
        <v>601.53</v>
      </c>
      <c r="G981">
        <f>'Claims Data'!M981</f>
        <v>0</v>
      </c>
      <c r="H981" t="b">
        <f>'Claims Data'!L981</f>
        <v>0</v>
      </c>
      <c r="I981">
        <f t="shared" si="30"/>
        <v>0</v>
      </c>
      <c r="J981" t="str">
        <f t="shared" si="31"/>
        <v>Low Risk</v>
      </c>
    </row>
    <row r="982" spans="1:10" x14ac:dyDescent="0.2">
      <c r="A982" t="str">
        <f>'Claims Data'!A982</f>
        <v>CLM00981</v>
      </c>
      <c r="B982" t="str">
        <f>'Claims Data'!B982</f>
        <v>PAT0277</v>
      </c>
      <c r="C982" t="str">
        <f>'Claims Data'!C982</f>
        <v>PRV0044</v>
      </c>
      <c r="D982" s="1">
        <f>'Claims Data'!D982</f>
        <v>45522</v>
      </c>
      <c r="E982">
        <f>'Claims Data'!H982</f>
        <v>7.1</v>
      </c>
      <c r="F982">
        <f>'Claims Data'!J982</f>
        <v>353.16</v>
      </c>
      <c r="G982">
        <f>'Claims Data'!M982</f>
        <v>0</v>
      </c>
      <c r="H982" t="b">
        <f>'Claims Data'!L982</f>
        <v>0</v>
      </c>
      <c r="I982">
        <f t="shared" si="30"/>
        <v>0</v>
      </c>
      <c r="J982" t="str">
        <f t="shared" si="31"/>
        <v>Low Risk</v>
      </c>
    </row>
    <row r="983" spans="1:10" x14ac:dyDescent="0.2">
      <c r="A983" t="str">
        <f>'Claims Data'!A983</f>
        <v>CLM00982</v>
      </c>
      <c r="B983" t="str">
        <f>'Claims Data'!B983</f>
        <v>PAT0227</v>
      </c>
      <c r="C983" t="str">
        <f>'Claims Data'!C983</f>
        <v>PRV0002</v>
      </c>
      <c r="D983" s="1">
        <f>'Claims Data'!D983</f>
        <v>45168</v>
      </c>
      <c r="E983">
        <f>'Claims Data'!H983</f>
        <v>7</v>
      </c>
      <c r="F983">
        <f>'Claims Data'!J983</f>
        <v>310.85000000000002</v>
      </c>
      <c r="G983">
        <f>'Claims Data'!M983</f>
        <v>0</v>
      </c>
      <c r="H983" t="b">
        <f>'Claims Data'!L983</f>
        <v>0</v>
      </c>
      <c r="I983">
        <f t="shared" si="30"/>
        <v>0</v>
      </c>
      <c r="J983" t="str">
        <f t="shared" si="31"/>
        <v>Low Risk</v>
      </c>
    </row>
    <row r="984" spans="1:10" x14ac:dyDescent="0.2">
      <c r="A984" t="str">
        <f>'Claims Data'!A984</f>
        <v>CLM00983</v>
      </c>
      <c r="B984" t="str">
        <f>'Claims Data'!B984</f>
        <v>PAT0118</v>
      </c>
      <c r="C984" t="str">
        <f>'Claims Data'!C984</f>
        <v>PRV0009</v>
      </c>
      <c r="D984" s="1">
        <f>'Claims Data'!D984</f>
        <v>45572</v>
      </c>
      <c r="E984">
        <f>'Claims Data'!H984</f>
        <v>23.8</v>
      </c>
      <c r="F984">
        <f>'Claims Data'!J984</f>
        <v>1380.64</v>
      </c>
      <c r="G984" t="str">
        <f>'Claims Data'!M984</f>
        <v>inflated_hours</v>
      </c>
      <c r="H984" t="b">
        <f>'Claims Data'!L984</f>
        <v>1</v>
      </c>
      <c r="I984">
        <f t="shared" si="30"/>
        <v>50</v>
      </c>
      <c r="J984" t="str">
        <f t="shared" si="31"/>
        <v>Medium Risk</v>
      </c>
    </row>
    <row r="985" spans="1:10" x14ac:dyDescent="0.2">
      <c r="A985" t="str">
        <f>'Claims Data'!A985</f>
        <v>CLM00984</v>
      </c>
      <c r="B985" t="str">
        <f>'Claims Data'!B985</f>
        <v>PAT0112</v>
      </c>
      <c r="C985" t="str">
        <f>'Claims Data'!C985</f>
        <v>PRV0001</v>
      </c>
      <c r="D985" s="1">
        <f>'Claims Data'!D985</f>
        <v>45509</v>
      </c>
      <c r="E985">
        <f>'Claims Data'!H985</f>
        <v>4.2</v>
      </c>
      <c r="F985">
        <f>'Claims Data'!J985</f>
        <v>219.01</v>
      </c>
      <c r="G985">
        <f>'Claims Data'!M985</f>
        <v>0</v>
      </c>
      <c r="H985" t="b">
        <f>'Claims Data'!L985</f>
        <v>0</v>
      </c>
      <c r="I985">
        <f t="shared" si="30"/>
        <v>0</v>
      </c>
      <c r="J985" t="str">
        <f t="shared" si="31"/>
        <v>Low Risk</v>
      </c>
    </row>
    <row r="986" spans="1:10" x14ac:dyDescent="0.2">
      <c r="A986" t="str">
        <f>'Claims Data'!A986</f>
        <v>CLM00985</v>
      </c>
      <c r="B986" t="str">
        <f>'Claims Data'!B986</f>
        <v>PAT0215</v>
      </c>
      <c r="C986" t="str">
        <f>'Claims Data'!C986</f>
        <v>PRV0005</v>
      </c>
      <c r="D986" s="1">
        <f>'Claims Data'!D986</f>
        <v>44990</v>
      </c>
      <c r="E986">
        <f>'Claims Data'!H986</f>
        <v>6.4</v>
      </c>
      <c r="F986">
        <f>'Claims Data'!J986</f>
        <v>537.46</v>
      </c>
      <c r="G986">
        <f>'Claims Data'!M986</f>
        <v>0</v>
      </c>
      <c r="H986" t="b">
        <f>'Claims Data'!L986</f>
        <v>0</v>
      </c>
      <c r="I986">
        <f t="shared" si="30"/>
        <v>0</v>
      </c>
      <c r="J986" t="str">
        <f t="shared" si="31"/>
        <v>Low Risk</v>
      </c>
    </row>
    <row r="987" spans="1:10" x14ac:dyDescent="0.2">
      <c r="A987" t="str">
        <f>'Claims Data'!A987</f>
        <v>CLM00986</v>
      </c>
      <c r="B987" t="str">
        <f>'Claims Data'!B987</f>
        <v>PAT0123</v>
      </c>
      <c r="C987" t="str">
        <f>'Claims Data'!C987</f>
        <v>PRV0026</v>
      </c>
      <c r="D987" s="1">
        <f>'Claims Data'!D987</f>
        <v>45186</v>
      </c>
      <c r="E987">
        <f>'Claims Data'!H987</f>
        <v>5.0999999999999996</v>
      </c>
      <c r="F987">
        <f>'Claims Data'!J987</f>
        <v>431.48</v>
      </c>
      <c r="G987">
        <f>'Claims Data'!M987</f>
        <v>0</v>
      </c>
      <c r="H987" t="b">
        <f>'Claims Data'!L987</f>
        <v>0</v>
      </c>
      <c r="I987">
        <f t="shared" si="30"/>
        <v>0</v>
      </c>
      <c r="J987" t="str">
        <f t="shared" si="31"/>
        <v>Low Risk</v>
      </c>
    </row>
    <row r="988" spans="1:10" x14ac:dyDescent="0.2">
      <c r="A988" t="str">
        <f>'Claims Data'!A988</f>
        <v>CLM00987</v>
      </c>
      <c r="B988" t="str">
        <f>'Claims Data'!B988</f>
        <v>PAT0103</v>
      </c>
      <c r="C988" t="str">
        <f>'Claims Data'!C988</f>
        <v>PRV0030</v>
      </c>
      <c r="D988" s="1">
        <f>'Claims Data'!D988</f>
        <v>45441</v>
      </c>
      <c r="E988">
        <f>'Claims Data'!H988</f>
        <v>3.8</v>
      </c>
      <c r="F988">
        <f>'Claims Data'!J988</f>
        <v>145.59</v>
      </c>
      <c r="G988">
        <f>'Claims Data'!M988</f>
        <v>0</v>
      </c>
      <c r="H988" t="b">
        <f>'Claims Data'!L988</f>
        <v>0</v>
      </c>
      <c r="I988">
        <f t="shared" si="30"/>
        <v>0</v>
      </c>
      <c r="J988" t="str">
        <f t="shared" si="31"/>
        <v>Low Risk</v>
      </c>
    </row>
    <row r="989" spans="1:10" x14ac:dyDescent="0.2">
      <c r="A989" t="str">
        <f>'Claims Data'!A989</f>
        <v>CLM00988</v>
      </c>
      <c r="B989" t="str">
        <f>'Claims Data'!B989</f>
        <v>PAT0168</v>
      </c>
      <c r="C989" t="str">
        <f>'Claims Data'!C989</f>
        <v>PRV0014</v>
      </c>
      <c r="D989" s="1">
        <f>'Claims Data'!D989</f>
        <v>45594</v>
      </c>
      <c r="E989">
        <f>'Claims Data'!H989</f>
        <v>6.6</v>
      </c>
      <c r="F989">
        <f>'Claims Data'!J989</f>
        <v>538.57000000000005</v>
      </c>
      <c r="G989">
        <f>'Claims Data'!M989</f>
        <v>0</v>
      </c>
      <c r="H989" t="b">
        <f>'Claims Data'!L989</f>
        <v>0</v>
      </c>
      <c r="I989">
        <f t="shared" si="30"/>
        <v>0</v>
      </c>
      <c r="J989" t="str">
        <f t="shared" si="31"/>
        <v>Low Risk</v>
      </c>
    </row>
    <row r="990" spans="1:10" x14ac:dyDescent="0.2">
      <c r="A990" t="str">
        <f>'Claims Data'!A990</f>
        <v>CLM00989</v>
      </c>
      <c r="B990" t="str">
        <f>'Claims Data'!B990</f>
        <v>PAT0121</v>
      </c>
      <c r="C990" t="str">
        <f>'Claims Data'!C990</f>
        <v>PRV0047</v>
      </c>
      <c r="D990" s="1">
        <f>'Claims Data'!D990</f>
        <v>45368</v>
      </c>
      <c r="E990">
        <f>'Claims Data'!H990</f>
        <v>2.6</v>
      </c>
      <c r="F990">
        <f>'Claims Data'!J990</f>
        <v>136.82</v>
      </c>
      <c r="G990">
        <f>'Claims Data'!M990</f>
        <v>0</v>
      </c>
      <c r="H990" t="b">
        <f>'Claims Data'!L990</f>
        <v>0</v>
      </c>
      <c r="I990">
        <f t="shared" si="30"/>
        <v>0</v>
      </c>
      <c r="J990" t="str">
        <f t="shared" si="31"/>
        <v>Low Risk</v>
      </c>
    </row>
    <row r="991" spans="1:10" x14ac:dyDescent="0.2">
      <c r="A991" t="str">
        <f>'Claims Data'!A991</f>
        <v>CLM00990</v>
      </c>
      <c r="B991" t="str">
        <f>'Claims Data'!B991</f>
        <v>PAT0140</v>
      </c>
      <c r="C991" t="str">
        <f>'Claims Data'!C991</f>
        <v>PRV0053</v>
      </c>
      <c r="D991" s="1">
        <f>'Claims Data'!D991</f>
        <v>45006</v>
      </c>
      <c r="E991">
        <f>'Claims Data'!H991</f>
        <v>6.4</v>
      </c>
      <c r="F991">
        <f>'Claims Data'!J991</f>
        <v>500</v>
      </c>
      <c r="G991" t="str">
        <f>'Claims Data'!M991</f>
        <v>phantom_round_amount</v>
      </c>
      <c r="H991" t="b">
        <f>'Claims Data'!L991</f>
        <v>1</v>
      </c>
      <c r="I991">
        <f t="shared" si="30"/>
        <v>40</v>
      </c>
      <c r="J991" t="str">
        <f t="shared" si="31"/>
        <v>Medium Risk</v>
      </c>
    </row>
    <row r="992" spans="1:10" x14ac:dyDescent="0.2">
      <c r="A992" t="str">
        <f>'Claims Data'!A992</f>
        <v>CLM00991</v>
      </c>
      <c r="B992" t="str">
        <f>'Claims Data'!B992</f>
        <v>PAT0113</v>
      </c>
      <c r="C992" t="str">
        <f>'Claims Data'!C992</f>
        <v>PRV0044</v>
      </c>
      <c r="D992" s="1">
        <f>'Claims Data'!D992</f>
        <v>44972</v>
      </c>
      <c r="E992">
        <f>'Claims Data'!H992</f>
        <v>3.5</v>
      </c>
      <c r="F992">
        <f>'Claims Data'!J992</f>
        <v>150.56</v>
      </c>
      <c r="G992">
        <f>'Claims Data'!M992</f>
        <v>0</v>
      </c>
      <c r="H992" t="b">
        <f>'Claims Data'!L992</f>
        <v>0</v>
      </c>
      <c r="I992">
        <f t="shared" si="30"/>
        <v>0</v>
      </c>
      <c r="J992" t="str">
        <f t="shared" si="31"/>
        <v>Low Risk</v>
      </c>
    </row>
    <row r="993" spans="1:10" x14ac:dyDescent="0.2">
      <c r="A993" t="str">
        <f>'Claims Data'!A993</f>
        <v>CLM00992</v>
      </c>
      <c r="B993" t="str">
        <f>'Claims Data'!B993</f>
        <v>PAT0219</v>
      </c>
      <c r="C993" t="str">
        <f>'Claims Data'!C993</f>
        <v>PRV0002</v>
      </c>
      <c r="D993" s="1">
        <f>'Claims Data'!D993</f>
        <v>45583</v>
      </c>
      <c r="E993">
        <f>'Claims Data'!H993</f>
        <v>5.4</v>
      </c>
      <c r="F993">
        <f>'Claims Data'!J993</f>
        <v>205.45</v>
      </c>
      <c r="G993">
        <f>'Claims Data'!M993</f>
        <v>0</v>
      </c>
      <c r="H993" t="b">
        <f>'Claims Data'!L993</f>
        <v>0</v>
      </c>
      <c r="I993">
        <f t="shared" si="30"/>
        <v>0</v>
      </c>
      <c r="J993" t="str">
        <f t="shared" si="31"/>
        <v>Low Risk</v>
      </c>
    </row>
    <row r="994" spans="1:10" x14ac:dyDescent="0.2">
      <c r="A994" t="str">
        <f>'Claims Data'!A994</f>
        <v>CLM00993</v>
      </c>
      <c r="B994" t="str">
        <f>'Claims Data'!B994</f>
        <v>PAT0146</v>
      </c>
      <c r="C994" t="str">
        <f>'Claims Data'!C994</f>
        <v>PRV0001</v>
      </c>
      <c r="D994" s="1">
        <f>'Claims Data'!D994</f>
        <v>45329</v>
      </c>
      <c r="E994">
        <f>'Claims Data'!H994</f>
        <v>6.8</v>
      </c>
      <c r="F994">
        <f>'Claims Data'!J994</f>
        <v>240.54</v>
      </c>
      <c r="G994">
        <f>'Claims Data'!M994</f>
        <v>0</v>
      </c>
      <c r="H994" t="b">
        <f>'Claims Data'!L994</f>
        <v>0</v>
      </c>
      <c r="I994">
        <f t="shared" si="30"/>
        <v>0</v>
      </c>
      <c r="J994" t="str">
        <f t="shared" si="31"/>
        <v>Low Risk</v>
      </c>
    </row>
    <row r="995" spans="1:10" x14ac:dyDescent="0.2">
      <c r="A995" t="str">
        <f>'Claims Data'!A995</f>
        <v>CLM00994</v>
      </c>
      <c r="B995" t="str">
        <f>'Claims Data'!B995</f>
        <v>PAT0258</v>
      </c>
      <c r="C995" t="str">
        <f>'Claims Data'!C995</f>
        <v>PRV0035</v>
      </c>
      <c r="D995" s="1">
        <f>'Claims Data'!D995</f>
        <v>45250</v>
      </c>
      <c r="E995">
        <f>'Claims Data'!H995</f>
        <v>5.6</v>
      </c>
      <c r="F995">
        <f>'Claims Data'!J995</f>
        <v>240.93</v>
      </c>
      <c r="G995">
        <f>'Claims Data'!M995</f>
        <v>0</v>
      </c>
      <c r="H995" t="b">
        <f>'Claims Data'!L995</f>
        <v>0</v>
      </c>
      <c r="I995">
        <f t="shared" si="30"/>
        <v>0</v>
      </c>
      <c r="J995" t="str">
        <f t="shared" si="31"/>
        <v>Low Risk</v>
      </c>
    </row>
    <row r="996" spans="1:10" x14ac:dyDescent="0.2">
      <c r="A996" t="str">
        <f>'Claims Data'!A996</f>
        <v>CLM00995</v>
      </c>
      <c r="B996" t="str">
        <f>'Claims Data'!B996</f>
        <v>PAT0071</v>
      </c>
      <c r="C996" t="str">
        <f>'Claims Data'!C996</f>
        <v>PRV0050</v>
      </c>
      <c r="D996" s="1">
        <f>'Claims Data'!D996</f>
        <v>45248</v>
      </c>
      <c r="E996">
        <f>'Claims Data'!H996</f>
        <v>2.5</v>
      </c>
      <c r="F996">
        <f>'Claims Data'!J996</f>
        <v>70.89</v>
      </c>
      <c r="G996">
        <f>'Claims Data'!M996</f>
        <v>0</v>
      </c>
      <c r="H996" t="b">
        <f>'Claims Data'!L996</f>
        <v>0</v>
      </c>
      <c r="I996">
        <f t="shared" si="30"/>
        <v>0</v>
      </c>
      <c r="J996" t="str">
        <f t="shared" si="31"/>
        <v>Low Risk</v>
      </c>
    </row>
    <row r="997" spans="1:10" x14ac:dyDescent="0.2">
      <c r="A997" t="str">
        <f>'Claims Data'!A997</f>
        <v>CLM00996</v>
      </c>
      <c r="B997" t="str">
        <f>'Claims Data'!B997</f>
        <v>PAT0183</v>
      </c>
      <c r="C997" t="str">
        <f>'Claims Data'!C997</f>
        <v>PRV0012</v>
      </c>
      <c r="D997" s="1">
        <f>'Claims Data'!D997</f>
        <v>45372</v>
      </c>
      <c r="E997">
        <f>'Claims Data'!H997</f>
        <v>7.3</v>
      </c>
      <c r="F997">
        <f>'Claims Data'!J997</f>
        <v>372.73</v>
      </c>
      <c r="G997">
        <f>'Claims Data'!M997</f>
        <v>0</v>
      </c>
      <c r="H997" t="b">
        <f>'Claims Data'!L997</f>
        <v>0</v>
      </c>
      <c r="I997">
        <f t="shared" si="30"/>
        <v>0</v>
      </c>
      <c r="J997" t="str">
        <f t="shared" si="31"/>
        <v>Low Risk</v>
      </c>
    </row>
    <row r="998" spans="1:10" x14ac:dyDescent="0.2">
      <c r="A998" t="str">
        <f>'Claims Data'!A998</f>
        <v>CLM00997</v>
      </c>
      <c r="B998" t="str">
        <f>'Claims Data'!B998</f>
        <v>PAT0038</v>
      </c>
      <c r="C998" t="str">
        <f>'Claims Data'!C998</f>
        <v>PRV0002</v>
      </c>
      <c r="D998" s="1">
        <f>'Claims Data'!D998</f>
        <v>45200</v>
      </c>
      <c r="E998">
        <f>'Claims Data'!H998</f>
        <v>6.5</v>
      </c>
      <c r="F998">
        <f>'Claims Data'!J998</f>
        <v>493.8</v>
      </c>
      <c r="G998">
        <f>'Claims Data'!M998</f>
        <v>0</v>
      </c>
      <c r="H998" t="b">
        <f>'Claims Data'!L998</f>
        <v>0</v>
      </c>
      <c r="I998">
        <f t="shared" si="30"/>
        <v>0</v>
      </c>
      <c r="J998" t="str">
        <f t="shared" si="31"/>
        <v>Low Risk</v>
      </c>
    </row>
    <row r="999" spans="1:10" x14ac:dyDescent="0.2">
      <c r="A999" t="str">
        <f>'Claims Data'!A999</f>
        <v>CLM00998</v>
      </c>
      <c r="B999" t="str">
        <f>'Claims Data'!B999</f>
        <v>PAT0033</v>
      </c>
      <c r="C999" t="str">
        <f>'Claims Data'!C999</f>
        <v>PRV0049</v>
      </c>
      <c r="D999" s="1">
        <f>'Claims Data'!D999</f>
        <v>45631</v>
      </c>
      <c r="E999">
        <f>'Claims Data'!H999</f>
        <v>2.2999999999999998</v>
      </c>
      <c r="F999">
        <f>'Claims Data'!J999</f>
        <v>129.86000000000001</v>
      </c>
      <c r="G999">
        <f>'Claims Data'!M999</f>
        <v>0</v>
      </c>
      <c r="H999" t="b">
        <f>'Claims Data'!L999</f>
        <v>0</v>
      </c>
      <c r="I999">
        <f t="shared" si="30"/>
        <v>0</v>
      </c>
      <c r="J999" t="str">
        <f t="shared" si="31"/>
        <v>Low Risk</v>
      </c>
    </row>
    <row r="1000" spans="1:10" x14ac:dyDescent="0.2">
      <c r="A1000" t="str">
        <f>'Claims Data'!A1000</f>
        <v>CLM00999</v>
      </c>
      <c r="B1000" t="str">
        <f>'Claims Data'!B1000</f>
        <v>PAT0138</v>
      </c>
      <c r="C1000" t="str">
        <f>'Claims Data'!C1000</f>
        <v>PRV0051</v>
      </c>
      <c r="D1000" s="1">
        <f>'Claims Data'!D1000</f>
        <v>45614</v>
      </c>
      <c r="E1000">
        <f>'Claims Data'!H1000</f>
        <v>18.7</v>
      </c>
      <c r="F1000">
        <f>'Claims Data'!J1000</f>
        <v>1250</v>
      </c>
      <c r="G1000" t="str">
        <f>'Claims Data'!M1000</f>
        <v>phantom_round_amount</v>
      </c>
      <c r="H1000" t="b">
        <f>'Claims Data'!L1000</f>
        <v>1</v>
      </c>
      <c r="I1000">
        <f t="shared" si="30"/>
        <v>80</v>
      </c>
      <c r="J1000" t="str">
        <f t="shared" si="31"/>
        <v>High Risk</v>
      </c>
    </row>
    <row r="1001" spans="1:10" x14ac:dyDescent="0.2">
      <c r="A1001" t="str">
        <f>'Claims Data'!A1001</f>
        <v>CLM01000</v>
      </c>
      <c r="B1001" t="str">
        <f>'Claims Data'!B1001</f>
        <v>PAT0183</v>
      </c>
      <c r="C1001" t="str">
        <f>'Claims Data'!C1001</f>
        <v>PRV0042</v>
      </c>
      <c r="D1001" s="1">
        <f>'Claims Data'!D1001</f>
        <v>45338</v>
      </c>
      <c r="E1001">
        <f>'Claims Data'!H1001</f>
        <v>17.7</v>
      </c>
      <c r="F1001">
        <f>'Claims Data'!J1001</f>
        <v>1500</v>
      </c>
      <c r="G1001" t="str">
        <f>'Claims Data'!M1001</f>
        <v>phantom_round_amount</v>
      </c>
      <c r="H1001" t="b">
        <f>'Claims Data'!L1001</f>
        <v>1</v>
      </c>
      <c r="I1001">
        <f t="shared" si="30"/>
        <v>80</v>
      </c>
      <c r="J1001" t="str">
        <f t="shared" si="31"/>
        <v>High Risk</v>
      </c>
    </row>
    <row r="1002" spans="1:10" x14ac:dyDescent="0.2">
      <c r="A1002" t="str">
        <f>'Claims Data'!A1002</f>
        <v>CLM01001</v>
      </c>
      <c r="B1002" t="str">
        <f>'Claims Data'!B1002</f>
        <v>PAT0184</v>
      </c>
      <c r="C1002" t="str">
        <f>'Claims Data'!C1002</f>
        <v>PRV0035</v>
      </c>
      <c r="D1002" s="1">
        <f>'Claims Data'!D1002</f>
        <v>45027</v>
      </c>
      <c r="E1002">
        <f>'Claims Data'!H1002</f>
        <v>3.3</v>
      </c>
      <c r="F1002">
        <f>'Claims Data'!J1002</f>
        <v>139.88</v>
      </c>
      <c r="G1002">
        <f>'Claims Data'!M1002</f>
        <v>0</v>
      </c>
      <c r="H1002" t="b">
        <f>'Claims Data'!L1002</f>
        <v>0</v>
      </c>
      <c r="I1002">
        <f t="shared" si="30"/>
        <v>0</v>
      </c>
      <c r="J1002" t="str">
        <f t="shared" si="31"/>
        <v>Low Risk</v>
      </c>
    </row>
    <row r="1003" spans="1:10" x14ac:dyDescent="0.2">
      <c r="A1003" t="str">
        <f>'Claims Data'!A1003</f>
        <v>CLM01002</v>
      </c>
      <c r="B1003" t="str">
        <f>'Claims Data'!B1003</f>
        <v>PAT0170</v>
      </c>
      <c r="C1003" t="str">
        <f>'Claims Data'!C1003</f>
        <v>PRV0033</v>
      </c>
      <c r="D1003" s="1">
        <f>'Claims Data'!D1003</f>
        <v>45621</v>
      </c>
      <c r="E1003">
        <f>'Claims Data'!H1003</f>
        <v>2.8</v>
      </c>
      <c r="F1003">
        <f>'Claims Data'!J1003</f>
        <v>83.87</v>
      </c>
      <c r="G1003">
        <f>'Claims Data'!M1003</f>
        <v>0</v>
      </c>
      <c r="H1003" t="b">
        <f>'Claims Data'!L1003</f>
        <v>0</v>
      </c>
      <c r="I1003">
        <f t="shared" si="30"/>
        <v>0</v>
      </c>
      <c r="J1003" t="str">
        <f t="shared" si="31"/>
        <v>Low Risk</v>
      </c>
    </row>
    <row r="1004" spans="1:10" x14ac:dyDescent="0.2">
      <c r="A1004" t="str">
        <f>'Claims Data'!A1004</f>
        <v>CLM01003</v>
      </c>
      <c r="B1004" t="str">
        <f>'Claims Data'!B1004</f>
        <v>PAT0068</v>
      </c>
      <c r="C1004" t="str">
        <f>'Claims Data'!C1004</f>
        <v>PRV0054</v>
      </c>
      <c r="D1004" s="1">
        <f>'Claims Data'!D1004</f>
        <v>45347</v>
      </c>
      <c r="E1004">
        <f>'Claims Data'!H1004</f>
        <v>5.3</v>
      </c>
      <c r="F1004">
        <f>'Claims Data'!J1004</f>
        <v>215.99</v>
      </c>
      <c r="G1004" t="str">
        <f>'Claims Data'!M1004</f>
        <v>duplicate_claim</v>
      </c>
      <c r="H1004" t="b">
        <f>'Claims Data'!L1004</f>
        <v>1</v>
      </c>
      <c r="I1004">
        <f t="shared" si="30"/>
        <v>10</v>
      </c>
      <c r="J1004" t="str">
        <f t="shared" si="31"/>
        <v>Low Risk</v>
      </c>
    </row>
    <row r="1005" spans="1:10" x14ac:dyDescent="0.2">
      <c r="A1005" t="str">
        <f>'Claims Data'!A1005</f>
        <v>CLM01004</v>
      </c>
      <c r="B1005" t="str">
        <f>'Claims Data'!B1005</f>
        <v>PAT0070</v>
      </c>
      <c r="C1005" t="str">
        <f>'Claims Data'!C1005</f>
        <v>PRV0033</v>
      </c>
      <c r="D1005" s="1">
        <f>'Claims Data'!D1005</f>
        <v>44991</v>
      </c>
      <c r="E1005">
        <f>'Claims Data'!H1005</f>
        <v>6.6</v>
      </c>
      <c r="F1005">
        <f>'Claims Data'!J1005</f>
        <v>216.63</v>
      </c>
      <c r="G1005">
        <f>'Claims Data'!M1005</f>
        <v>0</v>
      </c>
      <c r="H1005" t="b">
        <f>'Claims Data'!L1005</f>
        <v>0</v>
      </c>
      <c r="I1005">
        <f t="shared" si="30"/>
        <v>0</v>
      </c>
      <c r="J1005" t="str">
        <f t="shared" si="31"/>
        <v>Low Risk</v>
      </c>
    </row>
    <row r="1006" spans="1:10" x14ac:dyDescent="0.2">
      <c r="A1006" t="str">
        <f>'Claims Data'!A1006</f>
        <v>CLM01005</v>
      </c>
      <c r="B1006" t="str">
        <f>'Claims Data'!B1006</f>
        <v>PAT0260</v>
      </c>
      <c r="C1006" t="str">
        <f>'Claims Data'!C1006</f>
        <v>PRV0050</v>
      </c>
      <c r="D1006" s="1">
        <f>'Claims Data'!D1006</f>
        <v>45400</v>
      </c>
      <c r="E1006">
        <f>'Claims Data'!H1006</f>
        <v>5.4</v>
      </c>
      <c r="F1006">
        <f>'Claims Data'!J1006</f>
        <v>293.07</v>
      </c>
      <c r="G1006">
        <f>'Claims Data'!M1006</f>
        <v>0</v>
      </c>
      <c r="H1006" t="b">
        <f>'Claims Data'!L1006</f>
        <v>0</v>
      </c>
      <c r="I1006">
        <f t="shared" si="30"/>
        <v>0</v>
      </c>
      <c r="J1006" t="str">
        <f t="shared" si="31"/>
        <v>Low Risk</v>
      </c>
    </row>
    <row r="1007" spans="1:10" x14ac:dyDescent="0.2">
      <c r="A1007" t="str">
        <f>'Claims Data'!A1007</f>
        <v>CLM01006</v>
      </c>
      <c r="B1007" t="str">
        <f>'Claims Data'!B1007</f>
        <v>PAT0021</v>
      </c>
      <c r="C1007" t="str">
        <f>'Claims Data'!C1007</f>
        <v>PRV0025</v>
      </c>
      <c r="D1007" s="1">
        <f>'Claims Data'!D1007</f>
        <v>45154</v>
      </c>
      <c r="E1007">
        <f>'Claims Data'!H1007</f>
        <v>5.4</v>
      </c>
      <c r="F1007">
        <f>'Claims Data'!J1007</f>
        <v>458.05</v>
      </c>
      <c r="G1007">
        <f>'Claims Data'!M1007</f>
        <v>0</v>
      </c>
      <c r="H1007" t="b">
        <f>'Claims Data'!L1007</f>
        <v>0</v>
      </c>
      <c r="I1007">
        <f t="shared" si="30"/>
        <v>0</v>
      </c>
      <c r="J1007" t="str">
        <f t="shared" si="31"/>
        <v>Low Risk</v>
      </c>
    </row>
    <row r="1008" spans="1:10" x14ac:dyDescent="0.2">
      <c r="A1008" t="str">
        <f>'Claims Data'!A1008</f>
        <v>CLM01007</v>
      </c>
      <c r="B1008" t="str">
        <f>'Claims Data'!B1008</f>
        <v>PAT0247</v>
      </c>
      <c r="C1008" t="str">
        <f>'Claims Data'!C1008</f>
        <v>PRV0056</v>
      </c>
      <c r="D1008" s="1">
        <f>'Claims Data'!D1008</f>
        <v>45252</v>
      </c>
      <c r="E1008">
        <f>'Claims Data'!H1008</f>
        <v>3.5</v>
      </c>
      <c r="F1008">
        <f>'Claims Data'!J1008</f>
        <v>143.41</v>
      </c>
      <c r="G1008">
        <f>'Claims Data'!M1008</f>
        <v>0</v>
      </c>
      <c r="H1008" t="b">
        <f>'Claims Data'!L1008</f>
        <v>0</v>
      </c>
      <c r="I1008">
        <f t="shared" si="30"/>
        <v>0</v>
      </c>
      <c r="J1008" t="str">
        <f t="shared" si="31"/>
        <v>Low Risk</v>
      </c>
    </row>
    <row r="1009" spans="1:10" x14ac:dyDescent="0.2">
      <c r="A1009" t="str">
        <f>'Claims Data'!A1009</f>
        <v>CLM01008</v>
      </c>
      <c r="B1009" t="str">
        <f>'Claims Data'!B1009</f>
        <v>PAT0275</v>
      </c>
      <c r="C1009" t="str">
        <f>'Claims Data'!C1009</f>
        <v>PRV0021</v>
      </c>
      <c r="D1009" s="1">
        <f>'Claims Data'!D1009</f>
        <v>45446</v>
      </c>
      <c r="E1009">
        <f>'Claims Data'!H1009</f>
        <v>33.6</v>
      </c>
      <c r="F1009">
        <f>'Claims Data'!J1009</f>
        <v>2000</v>
      </c>
      <c r="G1009" t="str">
        <f>'Claims Data'!M1009</f>
        <v>phantom_round_amount</v>
      </c>
      <c r="H1009" t="b">
        <f>'Claims Data'!L1009</f>
        <v>1</v>
      </c>
      <c r="I1009">
        <f t="shared" si="30"/>
        <v>80</v>
      </c>
      <c r="J1009" t="str">
        <f t="shared" si="31"/>
        <v>High Risk</v>
      </c>
    </row>
    <row r="1010" spans="1:10" x14ac:dyDescent="0.2">
      <c r="A1010" t="str">
        <f>'Claims Data'!A1010</f>
        <v>CLM01009</v>
      </c>
      <c r="B1010" t="str">
        <f>'Claims Data'!B1010</f>
        <v>PAT0059</v>
      </c>
      <c r="C1010" t="str">
        <f>'Claims Data'!C1010</f>
        <v>PRV0055</v>
      </c>
      <c r="D1010" s="1">
        <f>'Claims Data'!D1010</f>
        <v>45529</v>
      </c>
      <c r="E1010">
        <f>'Claims Data'!H1010</f>
        <v>4.5</v>
      </c>
      <c r="F1010">
        <f>'Claims Data'!J1010</f>
        <v>206.54</v>
      </c>
      <c r="G1010">
        <f>'Claims Data'!M1010</f>
        <v>0</v>
      </c>
      <c r="H1010" t="b">
        <f>'Claims Data'!L1010</f>
        <v>0</v>
      </c>
      <c r="I1010">
        <f t="shared" si="30"/>
        <v>0</v>
      </c>
      <c r="J1010" t="str">
        <f t="shared" si="31"/>
        <v>Low Risk</v>
      </c>
    </row>
    <row r="1011" spans="1:10" x14ac:dyDescent="0.2">
      <c r="A1011" t="str">
        <f>'Claims Data'!A1011</f>
        <v>CLM01010</v>
      </c>
      <c r="B1011" t="str">
        <f>'Claims Data'!B1011</f>
        <v>PAT0256</v>
      </c>
      <c r="C1011" t="str">
        <f>'Claims Data'!C1011</f>
        <v>PRV0055</v>
      </c>
      <c r="D1011" s="1">
        <f>'Claims Data'!D1011</f>
        <v>45144</v>
      </c>
      <c r="E1011">
        <f>'Claims Data'!H1011</f>
        <v>17.2</v>
      </c>
      <c r="F1011">
        <f>'Claims Data'!J1011</f>
        <v>454.94</v>
      </c>
      <c r="G1011" t="str">
        <f>'Claims Data'!M1011</f>
        <v>inflated_hours</v>
      </c>
      <c r="H1011" t="b">
        <f>'Claims Data'!L1011</f>
        <v>1</v>
      </c>
      <c r="I1011">
        <f t="shared" si="30"/>
        <v>50</v>
      </c>
      <c r="J1011" t="str">
        <f t="shared" si="31"/>
        <v>Medium Risk</v>
      </c>
    </row>
    <row r="1012" spans="1:10" x14ac:dyDescent="0.2">
      <c r="A1012" t="str">
        <f>'Claims Data'!A1012</f>
        <v>CLM01011</v>
      </c>
      <c r="B1012" t="str">
        <f>'Claims Data'!B1012</f>
        <v>PAT0259</v>
      </c>
      <c r="C1012" t="str">
        <f>'Claims Data'!C1012</f>
        <v>PRV0035</v>
      </c>
      <c r="D1012" s="1">
        <f>'Claims Data'!D1012</f>
        <v>45044</v>
      </c>
      <c r="E1012">
        <f>'Claims Data'!H1012</f>
        <v>7.9</v>
      </c>
      <c r="F1012">
        <f>'Claims Data'!J1012</f>
        <v>489.59</v>
      </c>
      <c r="G1012">
        <f>'Claims Data'!M1012</f>
        <v>0</v>
      </c>
      <c r="H1012" t="b">
        <f>'Claims Data'!L1012</f>
        <v>0</v>
      </c>
      <c r="I1012">
        <f t="shared" si="30"/>
        <v>0</v>
      </c>
      <c r="J1012" t="str">
        <f t="shared" si="31"/>
        <v>Low Risk</v>
      </c>
    </row>
    <row r="1013" spans="1:10" x14ac:dyDescent="0.2">
      <c r="A1013" t="str">
        <f>'Claims Data'!A1013</f>
        <v>CLM01012</v>
      </c>
      <c r="B1013" t="str">
        <f>'Claims Data'!B1013</f>
        <v>PAT0177</v>
      </c>
      <c r="C1013" t="str">
        <f>'Claims Data'!C1013</f>
        <v>PRV0039</v>
      </c>
      <c r="D1013" s="1">
        <f>'Claims Data'!D1013</f>
        <v>45343</v>
      </c>
      <c r="E1013">
        <f>'Claims Data'!H1013</f>
        <v>4.5999999999999996</v>
      </c>
      <c r="F1013">
        <f>'Claims Data'!J1013</f>
        <v>370.08</v>
      </c>
      <c r="G1013">
        <f>'Claims Data'!M1013</f>
        <v>0</v>
      </c>
      <c r="H1013" t="b">
        <f>'Claims Data'!L1013</f>
        <v>0</v>
      </c>
      <c r="I1013">
        <f t="shared" si="30"/>
        <v>0</v>
      </c>
      <c r="J1013" t="str">
        <f t="shared" si="31"/>
        <v>Low Risk</v>
      </c>
    </row>
    <row r="1014" spans="1:10" x14ac:dyDescent="0.2">
      <c r="A1014" t="str">
        <f>'Claims Data'!A1014</f>
        <v>CLM01013</v>
      </c>
      <c r="B1014" t="str">
        <f>'Claims Data'!B1014</f>
        <v>PAT0184</v>
      </c>
      <c r="C1014" t="str">
        <f>'Claims Data'!C1014</f>
        <v>PRV0010</v>
      </c>
      <c r="D1014" s="1">
        <f>'Claims Data'!D1014</f>
        <v>45273</v>
      </c>
      <c r="E1014">
        <f>'Claims Data'!H1014</f>
        <v>6.1</v>
      </c>
      <c r="F1014">
        <f>'Claims Data'!J1014</f>
        <v>209.59</v>
      </c>
      <c r="G1014">
        <f>'Claims Data'!M1014</f>
        <v>0</v>
      </c>
      <c r="H1014" t="b">
        <f>'Claims Data'!L1014</f>
        <v>0</v>
      </c>
      <c r="I1014">
        <f t="shared" si="30"/>
        <v>0</v>
      </c>
      <c r="J1014" t="str">
        <f t="shared" si="31"/>
        <v>Low Risk</v>
      </c>
    </row>
    <row r="1015" spans="1:10" x14ac:dyDescent="0.2">
      <c r="A1015" t="str">
        <f>'Claims Data'!A1015</f>
        <v>CLM01014</v>
      </c>
      <c r="B1015" t="str">
        <f>'Claims Data'!B1015</f>
        <v>PAT0083</v>
      </c>
      <c r="C1015" t="str">
        <f>'Claims Data'!C1015</f>
        <v>PRV0015</v>
      </c>
      <c r="D1015" s="1">
        <f>'Claims Data'!D1015</f>
        <v>45372</v>
      </c>
      <c r="E1015">
        <f>'Claims Data'!H1015</f>
        <v>2.7</v>
      </c>
      <c r="F1015">
        <f>'Claims Data'!J1015</f>
        <v>76.34</v>
      </c>
      <c r="G1015">
        <f>'Claims Data'!M1015</f>
        <v>0</v>
      </c>
      <c r="H1015" t="b">
        <f>'Claims Data'!L1015</f>
        <v>0</v>
      </c>
      <c r="I1015">
        <f t="shared" si="30"/>
        <v>0</v>
      </c>
      <c r="J1015" t="str">
        <f t="shared" si="31"/>
        <v>Low Risk</v>
      </c>
    </row>
    <row r="1016" spans="1:10" x14ac:dyDescent="0.2">
      <c r="A1016" t="str">
        <f>'Claims Data'!A1016</f>
        <v>CLM01015</v>
      </c>
      <c r="B1016" t="str">
        <f>'Claims Data'!B1016</f>
        <v>PAT0198</v>
      </c>
      <c r="C1016" t="str">
        <f>'Claims Data'!C1016</f>
        <v>PRV0024</v>
      </c>
      <c r="D1016" s="1">
        <f>'Claims Data'!D1016</f>
        <v>45155</v>
      </c>
      <c r="E1016">
        <f>'Claims Data'!H1016</f>
        <v>20.2</v>
      </c>
      <c r="F1016">
        <f>'Claims Data'!J1016</f>
        <v>1500</v>
      </c>
      <c r="G1016" t="str">
        <f>'Claims Data'!M1016</f>
        <v>phantom_round_amount</v>
      </c>
      <c r="H1016" t="b">
        <f>'Claims Data'!L1016</f>
        <v>1</v>
      </c>
      <c r="I1016">
        <f t="shared" si="30"/>
        <v>80</v>
      </c>
      <c r="J1016" t="str">
        <f t="shared" si="31"/>
        <v>High Risk</v>
      </c>
    </row>
    <row r="1017" spans="1:10" x14ac:dyDescent="0.2">
      <c r="A1017" t="str">
        <f>'Claims Data'!A1017</f>
        <v>CLM01016</v>
      </c>
      <c r="B1017" t="str">
        <f>'Claims Data'!B1017</f>
        <v>PAT0030</v>
      </c>
      <c r="C1017" t="str">
        <f>'Claims Data'!C1017</f>
        <v>PRV0047</v>
      </c>
      <c r="D1017" s="1">
        <f>'Claims Data'!D1017</f>
        <v>45522</v>
      </c>
      <c r="E1017">
        <f>'Claims Data'!H1017</f>
        <v>6.2</v>
      </c>
      <c r="F1017">
        <f>'Claims Data'!J1017</f>
        <v>196.4</v>
      </c>
      <c r="G1017">
        <f>'Claims Data'!M1017</f>
        <v>0</v>
      </c>
      <c r="H1017" t="b">
        <f>'Claims Data'!L1017</f>
        <v>0</v>
      </c>
      <c r="I1017">
        <f t="shared" si="30"/>
        <v>0</v>
      </c>
      <c r="J1017" t="str">
        <f t="shared" si="31"/>
        <v>Low Risk</v>
      </c>
    </row>
    <row r="1018" spans="1:10" x14ac:dyDescent="0.2">
      <c r="A1018" t="str">
        <f>'Claims Data'!A1018</f>
        <v>CLM01017</v>
      </c>
      <c r="B1018" t="str">
        <f>'Claims Data'!B1018</f>
        <v>PAT0037</v>
      </c>
      <c r="C1018" t="str">
        <f>'Claims Data'!C1018</f>
        <v>PRV0038</v>
      </c>
      <c r="D1018" s="1">
        <f>'Claims Data'!D1018</f>
        <v>45387</v>
      </c>
      <c r="E1018">
        <f>'Claims Data'!H1018</f>
        <v>2.1</v>
      </c>
      <c r="F1018">
        <f>'Claims Data'!J1018</f>
        <v>78.84</v>
      </c>
      <c r="G1018">
        <f>'Claims Data'!M1018</f>
        <v>0</v>
      </c>
      <c r="H1018" t="b">
        <f>'Claims Data'!L1018</f>
        <v>0</v>
      </c>
      <c r="I1018">
        <f t="shared" si="30"/>
        <v>0</v>
      </c>
      <c r="J1018" t="str">
        <f t="shared" si="31"/>
        <v>Low Risk</v>
      </c>
    </row>
    <row r="1019" spans="1:10" x14ac:dyDescent="0.2">
      <c r="A1019" t="str">
        <f>'Claims Data'!A1019</f>
        <v>CLM01018</v>
      </c>
      <c r="B1019" t="str">
        <f>'Claims Data'!B1019</f>
        <v>PAT0300</v>
      </c>
      <c r="C1019" t="str">
        <f>'Claims Data'!C1019</f>
        <v>PRV0047</v>
      </c>
      <c r="D1019" s="1">
        <f>'Claims Data'!D1019</f>
        <v>45261</v>
      </c>
      <c r="E1019">
        <f>'Claims Data'!H1019</f>
        <v>3.2</v>
      </c>
      <c r="F1019">
        <f>'Claims Data'!J1019</f>
        <v>180.47</v>
      </c>
      <c r="G1019">
        <f>'Claims Data'!M1019</f>
        <v>0</v>
      </c>
      <c r="H1019" t="b">
        <f>'Claims Data'!L1019</f>
        <v>0</v>
      </c>
      <c r="I1019">
        <f t="shared" si="30"/>
        <v>0</v>
      </c>
      <c r="J1019" t="str">
        <f t="shared" si="31"/>
        <v>Low Risk</v>
      </c>
    </row>
    <row r="1020" spans="1:10" x14ac:dyDescent="0.2">
      <c r="A1020" t="str">
        <f>'Claims Data'!A1020</f>
        <v>CLM01019</v>
      </c>
      <c r="B1020" t="str">
        <f>'Claims Data'!B1020</f>
        <v>PAT0264</v>
      </c>
      <c r="C1020" t="str">
        <f>'Claims Data'!C1020</f>
        <v>PRV0035</v>
      </c>
      <c r="D1020" s="1">
        <f>'Claims Data'!D1020</f>
        <v>44984</v>
      </c>
      <c r="E1020">
        <f>'Claims Data'!H1020</f>
        <v>5.7</v>
      </c>
      <c r="F1020">
        <f>'Claims Data'!J1020</f>
        <v>481.87</v>
      </c>
      <c r="G1020">
        <f>'Claims Data'!M1020</f>
        <v>0</v>
      </c>
      <c r="H1020" t="b">
        <f>'Claims Data'!L1020</f>
        <v>0</v>
      </c>
      <c r="I1020">
        <f t="shared" si="30"/>
        <v>0</v>
      </c>
      <c r="J1020" t="str">
        <f t="shared" si="31"/>
        <v>Low Risk</v>
      </c>
    </row>
    <row r="1021" spans="1:10" x14ac:dyDescent="0.2">
      <c r="A1021" t="str">
        <f>'Claims Data'!A1021</f>
        <v>CLM01020</v>
      </c>
      <c r="B1021" t="str">
        <f>'Claims Data'!B1021</f>
        <v>PAT0272</v>
      </c>
      <c r="C1021" t="str">
        <f>'Claims Data'!C1021</f>
        <v>PRV0043</v>
      </c>
      <c r="D1021" s="1">
        <f>'Claims Data'!D1021</f>
        <v>45573</v>
      </c>
      <c r="E1021">
        <f>'Claims Data'!H1021</f>
        <v>18.2</v>
      </c>
      <c r="F1021">
        <f>'Claims Data'!J1021</f>
        <v>1444.35</v>
      </c>
      <c r="G1021" t="str">
        <f>'Claims Data'!M1021</f>
        <v>inflated_hours</v>
      </c>
      <c r="H1021" t="b">
        <f>'Claims Data'!L1021</f>
        <v>1</v>
      </c>
      <c r="I1021">
        <f t="shared" si="30"/>
        <v>50</v>
      </c>
      <c r="J1021" t="str">
        <f t="shared" si="31"/>
        <v>Medium Risk</v>
      </c>
    </row>
    <row r="1022" spans="1:10" x14ac:dyDescent="0.2">
      <c r="A1022" t="str">
        <f>'Claims Data'!A1022</f>
        <v>CLM01021</v>
      </c>
      <c r="B1022" t="str">
        <f>'Claims Data'!B1022</f>
        <v>PAT0140</v>
      </c>
      <c r="C1022" t="str">
        <f>'Claims Data'!C1022</f>
        <v>PRV0026</v>
      </c>
      <c r="D1022" s="1">
        <f>'Claims Data'!D1022</f>
        <v>45175</v>
      </c>
      <c r="E1022">
        <f>'Claims Data'!H1022</f>
        <v>3.5</v>
      </c>
      <c r="F1022">
        <f>'Claims Data'!J1022</f>
        <v>100.12</v>
      </c>
      <c r="G1022">
        <f>'Claims Data'!M1022</f>
        <v>0</v>
      </c>
      <c r="H1022" t="b">
        <f>'Claims Data'!L1022</f>
        <v>0</v>
      </c>
      <c r="I1022">
        <f t="shared" si="30"/>
        <v>0</v>
      </c>
      <c r="J1022" t="str">
        <f t="shared" si="31"/>
        <v>Low Risk</v>
      </c>
    </row>
    <row r="1023" spans="1:10" x14ac:dyDescent="0.2">
      <c r="A1023" t="str">
        <f>'Claims Data'!A1023</f>
        <v>CLM01022</v>
      </c>
      <c r="B1023" t="str">
        <f>'Claims Data'!B1023</f>
        <v>PAT0049</v>
      </c>
      <c r="C1023" t="str">
        <f>'Claims Data'!C1023</f>
        <v>PRV0029</v>
      </c>
      <c r="D1023" s="1">
        <f>'Claims Data'!D1023</f>
        <v>45299</v>
      </c>
      <c r="E1023">
        <f>'Claims Data'!H1023</f>
        <v>2.2999999999999998</v>
      </c>
      <c r="F1023">
        <f>'Claims Data'!J1023</f>
        <v>147.86000000000001</v>
      </c>
      <c r="G1023">
        <f>'Claims Data'!M1023</f>
        <v>0</v>
      </c>
      <c r="H1023" t="b">
        <f>'Claims Data'!L1023</f>
        <v>0</v>
      </c>
      <c r="I1023">
        <f t="shared" si="30"/>
        <v>0</v>
      </c>
      <c r="J1023" t="str">
        <f t="shared" si="31"/>
        <v>Low Risk</v>
      </c>
    </row>
    <row r="1024" spans="1:10" x14ac:dyDescent="0.2">
      <c r="A1024" t="str">
        <f>'Claims Data'!A1024</f>
        <v>CLM01023</v>
      </c>
      <c r="B1024" t="str">
        <f>'Claims Data'!B1024</f>
        <v>PAT0152</v>
      </c>
      <c r="C1024" t="str">
        <f>'Claims Data'!C1024</f>
        <v>PRV0001</v>
      </c>
      <c r="D1024" s="1">
        <f>'Claims Data'!D1024</f>
        <v>45637</v>
      </c>
      <c r="E1024">
        <f>'Claims Data'!H1024</f>
        <v>4.3</v>
      </c>
      <c r="F1024">
        <f>'Claims Data'!J1024</f>
        <v>177.5</v>
      </c>
      <c r="G1024">
        <f>'Claims Data'!M1024</f>
        <v>0</v>
      </c>
      <c r="H1024" t="b">
        <f>'Claims Data'!L1024</f>
        <v>0</v>
      </c>
      <c r="I1024">
        <f t="shared" si="30"/>
        <v>0</v>
      </c>
      <c r="J1024" t="str">
        <f t="shared" si="31"/>
        <v>Low Risk</v>
      </c>
    </row>
    <row r="1025" spans="1:10" x14ac:dyDescent="0.2">
      <c r="A1025" t="str">
        <f>'Claims Data'!A1025</f>
        <v>CLM01024</v>
      </c>
      <c r="B1025" t="str">
        <f>'Claims Data'!B1025</f>
        <v>PAT0029</v>
      </c>
      <c r="C1025" t="str">
        <f>'Claims Data'!C1025</f>
        <v>PRV0052</v>
      </c>
      <c r="D1025" s="1">
        <f>'Claims Data'!D1025</f>
        <v>44967</v>
      </c>
      <c r="E1025">
        <f>'Claims Data'!H1025</f>
        <v>7.2</v>
      </c>
      <c r="F1025">
        <f>'Claims Data'!J1025</f>
        <v>188.24</v>
      </c>
      <c r="G1025">
        <f>'Claims Data'!M1025</f>
        <v>0</v>
      </c>
      <c r="H1025" t="b">
        <f>'Claims Data'!L1025</f>
        <v>0</v>
      </c>
      <c r="I1025">
        <f t="shared" si="30"/>
        <v>0</v>
      </c>
      <c r="J1025" t="str">
        <f t="shared" si="31"/>
        <v>Low Risk</v>
      </c>
    </row>
    <row r="1026" spans="1:10" x14ac:dyDescent="0.2">
      <c r="A1026" t="str">
        <f>'Claims Data'!A1026</f>
        <v>CLM01025</v>
      </c>
      <c r="B1026" t="str">
        <f>'Claims Data'!B1026</f>
        <v>PAT0160</v>
      </c>
      <c r="C1026" t="str">
        <f>'Claims Data'!C1026</f>
        <v>PRV0008</v>
      </c>
      <c r="D1026" s="1">
        <f>'Claims Data'!D1026</f>
        <v>45100</v>
      </c>
      <c r="E1026">
        <f>'Claims Data'!H1026</f>
        <v>3.4</v>
      </c>
      <c r="F1026">
        <f>'Claims Data'!J1026</f>
        <v>162.66</v>
      </c>
      <c r="G1026">
        <f>'Claims Data'!M1026</f>
        <v>0</v>
      </c>
      <c r="H1026" t="b">
        <f>'Claims Data'!L1026</f>
        <v>0</v>
      </c>
      <c r="I1026">
        <f t="shared" si="30"/>
        <v>0</v>
      </c>
      <c r="J1026" t="str">
        <f t="shared" si="31"/>
        <v>Low Risk</v>
      </c>
    </row>
    <row r="1027" spans="1:10" x14ac:dyDescent="0.2">
      <c r="A1027" t="str">
        <f>'Claims Data'!A1027</f>
        <v>CLM01026</v>
      </c>
      <c r="B1027" t="str">
        <f>'Claims Data'!B1027</f>
        <v>PAT0184</v>
      </c>
      <c r="C1027" t="str">
        <f>'Claims Data'!C1027</f>
        <v>PRV0047</v>
      </c>
      <c r="D1027" s="1">
        <f>'Claims Data'!D1027</f>
        <v>45349</v>
      </c>
      <c r="E1027">
        <f>'Claims Data'!H1027</f>
        <v>7.4</v>
      </c>
      <c r="F1027">
        <f>'Claims Data'!J1027</f>
        <v>400.19</v>
      </c>
      <c r="G1027">
        <f>'Claims Data'!M1027</f>
        <v>0</v>
      </c>
      <c r="H1027" t="b">
        <f>'Claims Data'!L1027</f>
        <v>0</v>
      </c>
      <c r="I1027">
        <f t="shared" ref="I1027:I1090" si="32">IF(E1027&gt;16,40,0)+IF(MOD(F1027,250)=0,30,0)+IF(H1027=TRUE,10,0)</f>
        <v>0</v>
      </c>
      <c r="J1027" t="str">
        <f t="shared" ref="J1027:J1090" si="33">IF(I1027&gt;=70,"High Risk",IF(I1027&gt;=30,"Medium Risk","Low Risk"))</f>
        <v>Low Risk</v>
      </c>
    </row>
    <row r="1028" spans="1:10" x14ac:dyDescent="0.2">
      <c r="A1028" t="str">
        <f>'Claims Data'!A1028</f>
        <v>CLM01027</v>
      </c>
      <c r="B1028" t="str">
        <f>'Claims Data'!B1028</f>
        <v>PAT0203</v>
      </c>
      <c r="C1028" t="str">
        <f>'Claims Data'!C1028</f>
        <v>PRV0008</v>
      </c>
      <c r="D1028" s="1">
        <f>'Claims Data'!D1028</f>
        <v>44985</v>
      </c>
      <c r="E1028">
        <f>'Claims Data'!H1028</f>
        <v>3.1</v>
      </c>
      <c r="F1028">
        <f>'Claims Data'!J1028</f>
        <v>170.62</v>
      </c>
      <c r="G1028">
        <f>'Claims Data'!M1028</f>
        <v>0</v>
      </c>
      <c r="H1028" t="b">
        <f>'Claims Data'!L1028</f>
        <v>0</v>
      </c>
      <c r="I1028">
        <f t="shared" si="32"/>
        <v>0</v>
      </c>
      <c r="J1028" t="str">
        <f t="shared" si="33"/>
        <v>Low Risk</v>
      </c>
    </row>
    <row r="1029" spans="1:10" x14ac:dyDescent="0.2">
      <c r="A1029" t="str">
        <f>'Claims Data'!A1029</f>
        <v>CLM01028</v>
      </c>
      <c r="B1029" t="str">
        <f>'Claims Data'!B1029</f>
        <v>PAT0293</v>
      </c>
      <c r="C1029" t="str">
        <f>'Claims Data'!C1029</f>
        <v>PRV0004</v>
      </c>
      <c r="D1029" s="1">
        <f>'Claims Data'!D1029</f>
        <v>45435</v>
      </c>
      <c r="E1029">
        <f>'Claims Data'!H1029</f>
        <v>2.2000000000000002</v>
      </c>
      <c r="F1029">
        <f>'Claims Data'!J1029</f>
        <v>176.74</v>
      </c>
      <c r="G1029">
        <f>'Claims Data'!M1029</f>
        <v>0</v>
      </c>
      <c r="H1029" t="b">
        <f>'Claims Data'!L1029</f>
        <v>0</v>
      </c>
      <c r="I1029">
        <f t="shared" si="32"/>
        <v>0</v>
      </c>
      <c r="J1029" t="str">
        <f t="shared" si="33"/>
        <v>Low Risk</v>
      </c>
    </row>
    <row r="1030" spans="1:10" x14ac:dyDescent="0.2">
      <c r="A1030" t="str">
        <f>'Claims Data'!A1030</f>
        <v>CLM01029</v>
      </c>
      <c r="B1030" t="str">
        <f>'Claims Data'!B1030</f>
        <v>PAT0019</v>
      </c>
      <c r="C1030" t="str">
        <f>'Claims Data'!C1030</f>
        <v>PRV0033</v>
      </c>
      <c r="D1030" s="1">
        <f>'Claims Data'!D1030</f>
        <v>45266</v>
      </c>
      <c r="E1030">
        <f>'Claims Data'!H1030</f>
        <v>19.600000000000001</v>
      </c>
      <c r="F1030">
        <f>'Claims Data'!J1030</f>
        <v>1365.34</v>
      </c>
      <c r="G1030" t="str">
        <f>'Claims Data'!M1030</f>
        <v>inflated_hours</v>
      </c>
      <c r="H1030" t="b">
        <f>'Claims Data'!L1030</f>
        <v>1</v>
      </c>
      <c r="I1030">
        <f t="shared" si="32"/>
        <v>50</v>
      </c>
      <c r="J1030" t="str">
        <f t="shared" si="33"/>
        <v>Medium Risk</v>
      </c>
    </row>
    <row r="1031" spans="1:10" x14ac:dyDescent="0.2">
      <c r="A1031" t="str">
        <f>'Claims Data'!A1031</f>
        <v>CLM01030</v>
      </c>
      <c r="B1031" t="str">
        <f>'Claims Data'!B1031</f>
        <v>PAT0007</v>
      </c>
      <c r="C1031" t="str">
        <f>'Claims Data'!C1031</f>
        <v>PRV0019</v>
      </c>
      <c r="D1031" s="1">
        <f>'Claims Data'!D1031</f>
        <v>45539</v>
      </c>
      <c r="E1031">
        <f>'Claims Data'!H1031</f>
        <v>6.1</v>
      </c>
      <c r="F1031">
        <f>'Claims Data'!J1031</f>
        <v>282.57</v>
      </c>
      <c r="G1031">
        <f>'Claims Data'!M1031</f>
        <v>0</v>
      </c>
      <c r="H1031" t="b">
        <f>'Claims Data'!L1031</f>
        <v>0</v>
      </c>
      <c r="I1031">
        <f t="shared" si="32"/>
        <v>0</v>
      </c>
      <c r="J1031" t="str">
        <f t="shared" si="33"/>
        <v>Low Risk</v>
      </c>
    </row>
    <row r="1032" spans="1:10" x14ac:dyDescent="0.2">
      <c r="A1032" t="str">
        <f>'Claims Data'!A1032</f>
        <v>CLM01031</v>
      </c>
      <c r="B1032" t="str">
        <f>'Claims Data'!B1032</f>
        <v>PAT0252</v>
      </c>
      <c r="C1032" t="str">
        <f>'Claims Data'!C1032</f>
        <v>PRV0042</v>
      </c>
      <c r="D1032" s="1">
        <f>'Claims Data'!D1032</f>
        <v>45306</v>
      </c>
      <c r="E1032">
        <f>'Claims Data'!H1032</f>
        <v>8</v>
      </c>
      <c r="F1032">
        <f>'Claims Data'!J1032</f>
        <v>669.72</v>
      </c>
      <c r="G1032">
        <f>'Claims Data'!M1032</f>
        <v>0</v>
      </c>
      <c r="H1032" t="b">
        <f>'Claims Data'!L1032</f>
        <v>0</v>
      </c>
      <c r="I1032">
        <f t="shared" si="32"/>
        <v>0</v>
      </c>
      <c r="J1032" t="str">
        <f t="shared" si="33"/>
        <v>Low Risk</v>
      </c>
    </row>
    <row r="1033" spans="1:10" x14ac:dyDescent="0.2">
      <c r="A1033" t="str">
        <f>'Claims Data'!A1033</f>
        <v>CLM01032</v>
      </c>
      <c r="B1033" t="str">
        <f>'Claims Data'!B1033</f>
        <v>PAT0135</v>
      </c>
      <c r="C1033" t="str">
        <f>'Claims Data'!C1033</f>
        <v>PRV0027</v>
      </c>
      <c r="D1033" s="1">
        <f>'Claims Data'!D1033</f>
        <v>45173</v>
      </c>
      <c r="E1033">
        <f>'Claims Data'!H1033</f>
        <v>5.8</v>
      </c>
      <c r="F1033">
        <f>'Claims Data'!J1033</f>
        <v>450.78</v>
      </c>
      <c r="G1033">
        <f>'Claims Data'!M1033</f>
        <v>0</v>
      </c>
      <c r="H1033" t="b">
        <f>'Claims Data'!L1033</f>
        <v>0</v>
      </c>
      <c r="I1033">
        <f t="shared" si="32"/>
        <v>0</v>
      </c>
      <c r="J1033" t="str">
        <f t="shared" si="33"/>
        <v>Low Risk</v>
      </c>
    </row>
    <row r="1034" spans="1:10" x14ac:dyDescent="0.2">
      <c r="A1034" t="str">
        <f>'Claims Data'!A1034</f>
        <v>CLM01033</v>
      </c>
      <c r="B1034" t="str">
        <f>'Claims Data'!B1034</f>
        <v>PAT0212</v>
      </c>
      <c r="C1034" t="str">
        <f>'Claims Data'!C1034</f>
        <v>PRV0048</v>
      </c>
      <c r="D1034" s="1">
        <f>'Claims Data'!D1034</f>
        <v>45034</v>
      </c>
      <c r="E1034">
        <f>'Claims Data'!H1034</f>
        <v>3.4</v>
      </c>
      <c r="F1034">
        <f>'Claims Data'!J1034</f>
        <v>154.72</v>
      </c>
      <c r="G1034">
        <f>'Claims Data'!M1034</f>
        <v>0</v>
      </c>
      <c r="H1034" t="b">
        <f>'Claims Data'!L1034</f>
        <v>0</v>
      </c>
      <c r="I1034">
        <f t="shared" si="32"/>
        <v>0</v>
      </c>
      <c r="J1034" t="str">
        <f t="shared" si="33"/>
        <v>Low Risk</v>
      </c>
    </row>
    <row r="1035" spans="1:10" x14ac:dyDescent="0.2">
      <c r="A1035" t="str">
        <f>'Claims Data'!A1035</f>
        <v>CLM01034</v>
      </c>
      <c r="B1035" t="str">
        <f>'Claims Data'!B1035</f>
        <v>PAT0175</v>
      </c>
      <c r="C1035" t="str">
        <f>'Claims Data'!C1035</f>
        <v>PRV0059</v>
      </c>
      <c r="D1035" s="1">
        <f>'Claims Data'!D1035</f>
        <v>45041</v>
      </c>
      <c r="E1035">
        <f>'Claims Data'!H1035</f>
        <v>2.5</v>
      </c>
      <c r="F1035">
        <f>'Claims Data'!J1035</f>
        <v>119.83</v>
      </c>
      <c r="G1035">
        <f>'Claims Data'!M1035</f>
        <v>0</v>
      </c>
      <c r="H1035" t="b">
        <f>'Claims Data'!L1035</f>
        <v>0</v>
      </c>
      <c r="I1035">
        <f t="shared" si="32"/>
        <v>0</v>
      </c>
      <c r="J1035" t="str">
        <f t="shared" si="33"/>
        <v>Low Risk</v>
      </c>
    </row>
    <row r="1036" spans="1:10" x14ac:dyDescent="0.2">
      <c r="A1036" t="str">
        <f>'Claims Data'!A1036</f>
        <v>CLM01035</v>
      </c>
      <c r="B1036" t="str">
        <f>'Claims Data'!B1036</f>
        <v>PAT0119</v>
      </c>
      <c r="C1036" t="str">
        <f>'Claims Data'!C1036</f>
        <v>PRV0052</v>
      </c>
      <c r="D1036" s="1">
        <f>'Claims Data'!D1036</f>
        <v>45655</v>
      </c>
      <c r="E1036">
        <f>'Claims Data'!H1036</f>
        <v>4.5</v>
      </c>
      <c r="F1036">
        <f>'Claims Data'!J1036</f>
        <v>267.18</v>
      </c>
      <c r="G1036">
        <f>'Claims Data'!M1036</f>
        <v>0</v>
      </c>
      <c r="H1036" t="b">
        <f>'Claims Data'!L1036</f>
        <v>0</v>
      </c>
      <c r="I1036">
        <f t="shared" si="32"/>
        <v>0</v>
      </c>
      <c r="J1036" t="str">
        <f t="shared" si="33"/>
        <v>Low Risk</v>
      </c>
    </row>
    <row r="1037" spans="1:10" x14ac:dyDescent="0.2">
      <c r="A1037" t="str">
        <f>'Claims Data'!A1037</f>
        <v>CLM01036</v>
      </c>
      <c r="B1037" t="str">
        <f>'Claims Data'!B1037</f>
        <v>PAT0198</v>
      </c>
      <c r="C1037" t="str">
        <f>'Claims Data'!C1037</f>
        <v>PRV0034</v>
      </c>
      <c r="D1037" s="1">
        <f>'Claims Data'!D1037</f>
        <v>45197</v>
      </c>
      <c r="E1037">
        <f>'Claims Data'!H1037</f>
        <v>7.5</v>
      </c>
      <c r="F1037">
        <f>'Claims Data'!J1037</f>
        <v>335.68</v>
      </c>
      <c r="G1037">
        <f>'Claims Data'!M1037</f>
        <v>0</v>
      </c>
      <c r="H1037" t="b">
        <f>'Claims Data'!L1037</f>
        <v>0</v>
      </c>
      <c r="I1037">
        <f t="shared" si="32"/>
        <v>0</v>
      </c>
      <c r="J1037" t="str">
        <f t="shared" si="33"/>
        <v>Low Risk</v>
      </c>
    </row>
    <row r="1038" spans="1:10" x14ac:dyDescent="0.2">
      <c r="A1038" t="str">
        <f>'Claims Data'!A1038</f>
        <v>CLM01037</v>
      </c>
      <c r="B1038" t="str">
        <f>'Claims Data'!B1038</f>
        <v>PAT0201</v>
      </c>
      <c r="C1038" t="str">
        <f>'Claims Data'!C1038</f>
        <v>PRV0053</v>
      </c>
      <c r="D1038" s="1">
        <f>'Claims Data'!D1038</f>
        <v>45388</v>
      </c>
      <c r="E1038">
        <f>'Claims Data'!H1038</f>
        <v>3.2</v>
      </c>
      <c r="F1038">
        <f>'Claims Data'!J1038</f>
        <v>106.61</v>
      </c>
      <c r="G1038">
        <f>'Claims Data'!M1038</f>
        <v>0</v>
      </c>
      <c r="H1038" t="b">
        <f>'Claims Data'!L1038</f>
        <v>0</v>
      </c>
      <c r="I1038">
        <f t="shared" si="32"/>
        <v>0</v>
      </c>
      <c r="J1038" t="str">
        <f t="shared" si="33"/>
        <v>Low Risk</v>
      </c>
    </row>
    <row r="1039" spans="1:10" x14ac:dyDescent="0.2">
      <c r="A1039" t="str">
        <f>'Claims Data'!A1039</f>
        <v>CLM01038</v>
      </c>
      <c r="B1039" t="str">
        <f>'Claims Data'!B1039</f>
        <v>PAT0232</v>
      </c>
      <c r="C1039" t="str">
        <f>'Claims Data'!C1039</f>
        <v>PRV0049</v>
      </c>
      <c r="D1039" s="1">
        <f>'Claims Data'!D1039</f>
        <v>45112</v>
      </c>
      <c r="E1039">
        <f>'Claims Data'!H1039</f>
        <v>7.2</v>
      </c>
      <c r="F1039">
        <f>'Claims Data'!J1039</f>
        <v>313.49</v>
      </c>
      <c r="G1039">
        <f>'Claims Data'!M1039</f>
        <v>0</v>
      </c>
      <c r="H1039" t="b">
        <f>'Claims Data'!L1039</f>
        <v>0</v>
      </c>
      <c r="I1039">
        <f t="shared" si="32"/>
        <v>0</v>
      </c>
      <c r="J1039" t="str">
        <f t="shared" si="33"/>
        <v>Low Risk</v>
      </c>
    </row>
    <row r="1040" spans="1:10" x14ac:dyDescent="0.2">
      <c r="A1040" t="str">
        <f>'Claims Data'!A1040</f>
        <v>CLM01039</v>
      </c>
      <c r="B1040" t="str">
        <f>'Claims Data'!B1040</f>
        <v>PAT0134</v>
      </c>
      <c r="C1040" t="str">
        <f>'Claims Data'!C1040</f>
        <v>PRV0017</v>
      </c>
      <c r="D1040" s="1">
        <f>'Claims Data'!D1040</f>
        <v>45439</v>
      </c>
      <c r="E1040">
        <f>'Claims Data'!H1040</f>
        <v>4.5999999999999996</v>
      </c>
      <c r="F1040">
        <f>'Claims Data'!J1040</f>
        <v>365.88</v>
      </c>
      <c r="G1040">
        <f>'Claims Data'!M1040</f>
        <v>0</v>
      </c>
      <c r="H1040" t="b">
        <f>'Claims Data'!L1040</f>
        <v>0</v>
      </c>
      <c r="I1040">
        <f t="shared" si="32"/>
        <v>0</v>
      </c>
      <c r="J1040" t="str">
        <f t="shared" si="33"/>
        <v>Low Risk</v>
      </c>
    </row>
    <row r="1041" spans="1:10" x14ac:dyDescent="0.2">
      <c r="A1041" t="str">
        <f>'Claims Data'!A1041</f>
        <v>CLM01040</v>
      </c>
      <c r="B1041" t="str">
        <f>'Claims Data'!B1041</f>
        <v>PAT0127</v>
      </c>
      <c r="C1041" t="str">
        <f>'Claims Data'!C1041</f>
        <v>PRV0006</v>
      </c>
      <c r="D1041" s="1">
        <f>'Claims Data'!D1041</f>
        <v>45592</v>
      </c>
      <c r="E1041">
        <f>'Claims Data'!H1041</f>
        <v>3.9</v>
      </c>
      <c r="F1041">
        <f>'Claims Data'!J1041</f>
        <v>227.92</v>
      </c>
      <c r="G1041">
        <f>'Claims Data'!M1041</f>
        <v>0</v>
      </c>
      <c r="H1041" t="b">
        <f>'Claims Data'!L1041</f>
        <v>0</v>
      </c>
      <c r="I1041">
        <f t="shared" si="32"/>
        <v>0</v>
      </c>
      <c r="J1041" t="str">
        <f t="shared" si="33"/>
        <v>Low Risk</v>
      </c>
    </row>
    <row r="1042" spans="1:10" x14ac:dyDescent="0.2">
      <c r="A1042" t="str">
        <f>'Claims Data'!A1042</f>
        <v>CLM01041</v>
      </c>
      <c r="B1042" t="str">
        <f>'Claims Data'!B1042</f>
        <v>PAT0220</v>
      </c>
      <c r="C1042" t="str">
        <f>'Claims Data'!C1042</f>
        <v>PRV0023</v>
      </c>
      <c r="D1042" s="1">
        <f>'Claims Data'!D1042</f>
        <v>45401</v>
      </c>
      <c r="E1042">
        <f>'Claims Data'!H1042</f>
        <v>3.1</v>
      </c>
      <c r="F1042">
        <f>'Claims Data'!J1042</f>
        <v>233.65</v>
      </c>
      <c r="G1042">
        <f>'Claims Data'!M1042</f>
        <v>0</v>
      </c>
      <c r="H1042" t="b">
        <f>'Claims Data'!L1042</f>
        <v>0</v>
      </c>
      <c r="I1042">
        <f t="shared" si="32"/>
        <v>0</v>
      </c>
      <c r="J1042" t="str">
        <f t="shared" si="33"/>
        <v>Low Risk</v>
      </c>
    </row>
    <row r="1043" spans="1:10" x14ac:dyDescent="0.2">
      <c r="A1043" t="str">
        <f>'Claims Data'!A1043</f>
        <v>CLM01042</v>
      </c>
      <c r="B1043" t="str">
        <f>'Claims Data'!B1043</f>
        <v>PAT0021</v>
      </c>
      <c r="C1043" t="str">
        <f>'Claims Data'!C1043</f>
        <v>PRV0059</v>
      </c>
      <c r="D1043" s="1">
        <f>'Claims Data'!D1043</f>
        <v>45212</v>
      </c>
      <c r="E1043">
        <f>'Claims Data'!H1043</f>
        <v>22.2</v>
      </c>
      <c r="F1043">
        <f>'Claims Data'!J1043</f>
        <v>1727.38</v>
      </c>
      <c r="G1043" t="str">
        <f>'Claims Data'!M1043</f>
        <v>inflated_hours</v>
      </c>
      <c r="H1043" t="b">
        <f>'Claims Data'!L1043</f>
        <v>1</v>
      </c>
      <c r="I1043">
        <f t="shared" si="32"/>
        <v>50</v>
      </c>
      <c r="J1043" t="str">
        <f t="shared" si="33"/>
        <v>Medium Risk</v>
      </c>
    </row>
    <row r="1044" spans="1:10" x14ac:dyDescent="0.2">
      <c r="A1044" t="str">
        <f>'Claims Data'!A1044</f>
        <v>CLM01043</v>
      </c>
      <c r="B1044" t="str">
        <f>'Claims Data'!B1044</f>
        <v>PAT0193</v>
      </c>
      <c r="C1044" t="str">
        <f>'Claims Data'!C1044</f>
        <v>PRV0012</v>
      </c>
      <c r="D1044" s="1">
        <f>'Claims Data'!D1044</f>
        <v>45291</v>
      </c>
      <c r="E1044">
        <f>'Claims Data'!H1044</f>
        <v>3.8</v>
      </c>
      <c r="F1044">
        <f>'Claims Data'!J1044</f>
        <v>265</v>
      </c>
      <c r="G1044">
        <f>'Claims Data'!M1044</f>
        <v>0</v>
      </c>
      <c r="H1044" t="b">
        <f>'Claims Data'!L1044</f>
        <v>0</v>
      </c>
      <c r="I1044">
        <f t="shared" si="32"/>
        <v>0</v>
      </c>
      <c r="J1044" t="str">
        <f t="shared" si="33"/>
        <v>Low Risk</v>
      </c>
    </row>
    <row r="1045" spans="1:10" x14ac:dyDescent="0.2">
      <c r="A1045" t="str">
        <f>'Claims Data'!A1045</f>
        <v>CLM01044</v>
      </c>
      <c r="B1045" t="str">
        <f>'Claims Data'!B1045</f>
        <v>PAT0091</v>
      </c>
      <c r="C1045" t="str">
        <f>'Claims Data'!C1045</f>
        <v>PRV0043</v>
      </c>
      <c r="D1045" s="1">
        <f>'Claims Data'!D1045</f>
        <v>45046</v>
      </c>
      <c r="E1045">
        <f>'Claims Data'!H1045</f>
        <v>2.9</v>
      </c>
      <c r="F1045">
        <f>'Claims Data'!J1045</f>
        <v>105.2</v>
      </c>
      <c r="G1045">
        <f>'Claims Data'!M1045</f>
        <v>0</v>
      </c>
      <c r="H1045" t="b">
        <f>'Claims Data'!L1045</f>
        <v>0</v>
      </c>
      <c r="I1045">
        <f t="shared" si="32"/>
        <v>0</v>
      </c>
      <c r="J1045" t="str">
        <f t="shared" si="33"/>
        <v>Low Risk</v>
      </c>
    </row>
    <row r="1046" spans="1:10" x14ac:dyDescent="0.2">
      <c r="A1046" t="str">
        <f>'Claims Data'!A1046</f>
        <v>CLM01045</v>
      </c>
      <c r="B1046" t="str">
        <f>'Claims Data'!B1046</f>
        <v>PAT0061</v>
      </c>
      <c r="C1046" t="str">
        <f>'Claims Data'!C1046</f>
        <v>PRV0009</v>
      </c>
      <c r="D1046" s="1">
        <f>'Claims Data'!D1046</f>
        <v>45354</v>
      </c>
      <c r="E1046">
        <f>'Claims Data'!H1046</f>
        <v>2.2000000000000002</v>
      </c>
      <c r="F1046">
        <f>'Claims Data'!J1046</f>
        <v>185.15</v>
      </c>
      <c r="G1046">
        <f>'Claims Data'!M1046</f>
        <v>0</v>
      </c>
      <c r="H1046" t="b">
        <f>'Claims Data'!L1046</f>
        <v>0</v>
      </c>
      <c r="I1046">
        <f t="shared" si="32"/>
        <v>0</v>
      </c>
      <c r="J1046" t="str">
        <f t="shared" si="33"/>
        <v>Low Risk</v>
      </c>
    </row>
    <row r="1047" spans="1:10" x14ac:dyDescent="0.2">
      <c r="A1047" t="str">
        <f>'Claims Data'!A1047</f>
        <v>CLM01046</v>
      </c>
      <c r="B1047" t="str">
        <f>'Claims Data'!B1047</f>
        <v>PAT0265</v>
      </c>
      <c r="C1047" t="str">
        <f>'Claims Data'!C1047</f>
        <v>PRV0016</v>
      </c>
      <c r="D1047" s="1">
        <f>'Claims Data'!D1047</f>
        <v>45528</v>
      </c>
      <c r="E1047">
        <f>'Claims Data'!H1047</f>
        <v>5.6</v>
      </c>
      <c r="F1047">
        <f>'Claims Data'!J1047</f>
        <v>345.75</v>
      </c>
      <c r="G1047">
        <f>'Claims Data'!M1047</f>
        <v>0</v>
      </c>
      <c r="H1047" t="b">
        <f>'Claims Data'!L1047</f>
        <v>0</v>
      </c>
      <c r="I1047">
        <f t="shared" si="32"/>
        <v>0</v>
      </c>
      <c r="J1047" t="str">
        <f t="shared" si="33"/>
        <v>Low Risk</v>
      </c>
    </row>
    <row r="1048" spans="1:10" x14ac:dyDescent="0.2">
      <c r="A1048" t="str">
        <f>'Claims Data'!A1048</f>
        <v>CLM01047</v>
      </c>
      <c r="B1048" t="str">
        <f>'Claims Data'!B1048</f>
        <v>PAT0080</v>
      </c>
      <c r="C1048" t="str">
        <f>'Claims Data'!C1048</f>
        <v>PRV0011</v>
      </c>
      <c r="D1048" s="1">
        <f>'Claims Data'!D1048</f>
        <v>45532</v>
      </c>
      <c r="E1048">
        <f>'Claims Data'!H1048</f>
        <v>3.4</v>
      </c>
      <c r="F1048">
        <f>'Claims Data'!J1048</f>
        <v>90.32</v>
      </c>
      <c r="G1048">
        <f>'Claims Data'!M1048</f>
        <v>0</v>
      </c>
      <c r="H1048" t="b">
        <f>'Claims Data'!L1048</f>
        <v>0</v>
      </c>
      <c r="I1048">
        <f t="shared" si="32"/>
        <v>0</v>
      </c>
      <c r="J1048" t="str">
        <f t="shared" si="33"/>
        <v>Low Risk</v>
      </c>
    </row>
    <row r="1049" spans="1:10" x14ac:dyDescent="0.2">
      <c r="A1049" t="str">
        <f>'Claims Data'!A1049</f>
        <v>CLM01048</v>
      </c>
      <c r="B1049" t="str">
        <f>'Claims Data'!B1049</f>
        <v>PAT0013</v>
      </c>
      <c r="C1049" t="str">
        <f>'Claims Data'!C1049</f>
        <v>PRV0029</v>
      </c>
      <c r="D1049" s="1">
        <f>'Claims Data'!D1049</f>
        <v>45153</v>
      </c>
      <c r="E1049">
        <f>'Claims Data'!H1049</f>
        <v>2.8</v>
      </c>
      <c r="F1049">
        <f>'Claims Data'!J1049</f>
        <v>212.15</v>
      </c>
      <c r="G1049" t="str">
        <f>'Claims Data'!M1049</f>
        <v>duplicate_claim</v>
      </c>
      <c r="H1049" t="b">
        <f>'Claims Data'!L1049</f>
        <v>1</v>
      </c>
      <c r="I1049">
        <f t="shared" si="32"/>
        <v>10</v>
      </c>
      <c r="J1049" t="str">
        <f t="shared" si="33"/>
        <v>Low Risk</v>
      </c>
    </row>
    <row r="1050" spans="1:10" x14ac:dyDescent="0.2">
      <c r="A1050" t="str">
        <f>'Claims Data'!A1050</f>
        <v>CLM01049</v>
      </c>
      <c r="B1050" t="str">
        <f>'Claims Data'!B1050</f>
        <v>PAT0126</v>
      </c>
      <c r="C1050" t="str">
        <f>'Claims Data'!C1050</f>
        <v>PRV0002</v>
      </c>
      <c r="D1050" s="1">
        <f>'Claims Data'!D1050</f>
        <v>45497</v>
      </c>
      <c r="E1050">
        <f>'Claims Data'!H1050</f>
        <v>3.1</v>
      </c>
      <c r="F1050">
        <f>'Claims Data'!J1050</f>
        <v>149.57</v>
      </c>
      <c r="G1050">
        <f>'Claims Data'!M1050</f>
        <v>0</v>
      </c>
      <c r="H1050" t="b">
        <f>'Claims Data'!L1050</f>
        <v>0</v>
      </c>
      <c r="I1050">
        <f t="shared" si="32"/>
        <v>0</v>
      </c>
      <c r="J1050" t="str">
        <f t="shared" si="33"/>
        <v>Low Risk</v>
      </c>
    </row>
    <row r="1051" spans="1:10" x14ac:dyDescent="0.2">
      <c r="A1051" t="str">
        <f>'Claims Data'!A1051</f>
        <v>CLM01050</v>
      </c>
      <c r="B1051" t="str">
        <f>'Claims Data'!B1051</f>
        <v>PAT0138</v>
      </c>
      <c r="C1051" t="str">
        <f>'Claims Data'!C1051</f>
        <v>PRV0014</v>
      </c>
      <c r="D1051" s="1">
        <f>'Claims Data'!D1051</f>
        <v>45650</v>
      </c>
      <c r="E1051">
        <f>'Claims Data'!H1051</f>
        <v>3</v>
      </c>
      <c r="F1051">
        <f>'Claims Data'!J1051</f>
        <v>115.73</v>
      </c>
      <c r="G1051">
        <f>'Claims Data'!M1051</f>
        <v>0</v>
      </c>
      <c r="H1051" t="b">
        <f>'Claims Data'!L1051</f>
        <v>0</v>
      </c>
      <c r="I1051">
        <f t="shared" si="32"/>
        <v>0</v>
      </c>
      <c r="J1051" t="str">
        <f t="shared" si="33"/>
        <v>Low Risk</v>
      </c>
    </row>
    <row r="1052" spans="1:10" x14ac:dyDescent="0.2">
      <c r="A1052" t="str">
        <f>'Claims Data'!A1052</f>
        <v>CLM01051</v>
      </c>
      <c r="B1052" t="str">
        <f>'Claims Data'!B1052</f>
        <v>PAT0276</v>
      </c>
      <c r="C1052" t="str">
        <f>'Claims Data'!C1052</f>
        <v>PRV0020</v>
      </c>
      <c r="D1052" s="1">
        <f>'Claims Data'!D1052</f>
        <v>45642</v>
      </c>
      <c r="E1052">
        <f>'Claims Data'!H1052</f>
        <v>7.6</v>
      </c>
      <c r="F1052">
        <f>'Claims Data'!J1052</f>
        <v>623.29</v>
      </c>
      <c r="G1052">
        <f>'Claims Data'!M1052</f>
        <v>0</v>
      </c>
      <c r="H1052" t="b">
        <f>'Claims Data'!L1052</f>
        <v>0</v>
      </c>
      <c r="I1052">
        <f t="shared" si="32"/>
        <v>0</v>
      </c>
      <c r="J1052" t="str">
        <f t="shared" si="33"/>
        <v>Low Risk</v>
      </c>
    </row>
    <row r="1053" spans="1:10" x14ac:dyDescent="0.2">
      <c r="A1053" t="str">
        <f>'Claims Data'!A1053</f>
        <v>CLM01052</v>
      </c>
      <c r="B1053" t="str">
        <f>'Claims Data'!B1053</f>
        <v>PAT0131</v>
      </c>
      <c r="C1053" t="str">
        <f>'Claims Data'!C1053</f>
        <v>PRV0012</v>
      </c>
      <c r="D1053" s="1">
        <f>'Claims Data'!D1053</f>
        <v>38383</v>
      </c>
      <c r="E1053">
        <f>'Claims Data'!H1053</f>
        <v>6.5</v>
      </c>
      <c r="F1053">
        <f>'Claims Data'!J1053</f>
        <v>188.29</v>
      </c>
      <c r="G1053" t="str">
        <f>'Claims Data'!M1053</f>
        <v>deceased_patient_billing</v>
      </c>
      <c r="H1053" t="b">
        <f>'Claims Data'!L1053</f>
        <v>1</v>
      </c>
      <c r="I1053">
        <f t="shared" si="32"/>
        <v>10</v>
      </c>
      <c r="J1053" t="str">
        <f t="shared" si="33"/>
        <v>Low Risk</v>
      </c>
    </row>
    <row r="1054" spans="1:10" x14ac:dyDescent="0.2">
      <c r="A1054" t="str">
        <f>'Claims Data'!A1054</f>
        <v>CLM01053</v>
      </c>
      <c r="B1054" t="str">
        <f>'Claims Data'!B1054</f>
        <v>PAT0221</v>
      </c>
      <c r="C1054" t="str">
        <f>'Claims Data'!C1054</f>
        <v>PRV0042</v>
      </c>
      <c r="D1054" s="1">
        <f>'Claims Data'!D1054</f>
        <v>45274</v>
      </c>
      <c r="E1054">
        <f>'Claims Data'!H1054</f>
        <v>6.5</v>
      </c>
      <c r="F1054">
        <f>'Claims Data'!J1054</f>
        <v>500</v>
      </c>
      <c r="G1054" t="str">
        <f>'Claims Data'!M1054</f>
        <v>phantom_round_amount</v>
      </c>
      <c r="H1054" t="b">
        <f>'Claims Data'!L1054</f>
        <v>1</v>
      </c>
      <c r="I1054">
        <f t="shared" si="32"/>
        <v>40</v>
      </c>
      <c r="J1054" t="str">
        <f t="shared" si="33"/>
        <v>Medium Risk</v>
      </c>
    </row>
    <row r="1055" spans="1:10" x14ac:dyDescent="0.2">
      <c r="A1055" t="str">
        <f>'Claims Data'!A1055</f>
        <v>CLM01054</v>
      </c>
      <c r="B1055" t="str">
        <f>'Claims Data'!B1055</f>
        <v>PAT0245</v>
      </c>
      <c r="C1055" t="str">
        <f>'Claims Data'!C1055</f>
        <v>PRV0037</v>
      </c>
      <c r="D1055" s="1">
        <f>'Claims Data'!D1055</f>
        <v>45528</v>
      </c>
      <c r="E1055">
        <f>'Claims Data'!H1055</f>
        <v>45.4</v>
      </c>
      <c r="F1055">
        <f>'Claims Data'!J1055</f>
        <v>1250</v>
      </c>
      <c r="G1055" t="str">
        <f>'Claims Data'!M1055</f>
        <v>phantom_round_amount</v>
      </c>
      <c r="H1055" t="b">
        <f>'Claims Data'!L1055</f>
        <v>1</v>
      </c>
      <c r="I1055">
        <f t="shared" si="32"/>
        <v>80</v>
      </c>
      <c r="J1055" t="str">
        <f t="shared" si="33"/>
        <v>High Risk</v>
      </c>
    </row>
    <row r="1056" spans="1:10" x14ac:dyDescent="0.2">
      <c r="A1056" t="str">
        <f>'Claims Data'!A1056</f>
        <v>CLM01055</v>
      </c>
      <c r="B1056" t="str">
        <f>'Claims Data'!B1056</f>
        <v>PAT0252</v>
      </c>
      <c r="C1056" t="str">
        <f>'Claims Data'!C1056</f>
        <v>PRV0033</v>
      </c>
      <c r="D1056" s="1">
        <f>'Claims Data'!D1056</f>
        <v>45117</v>
      </c>
      <c r="E1056">
        <f>'Claims Data'!H1056</f>
        <v>22.3</v>
      </c>
      <c r="F1056">
        <f>'Claims Data'!J1056</f>
        <v>1084.9000000000001</v>
      </c>
      <c r="G1056" t="str">
        <f>'Claims Data'!M1056</f>
        <v>inflated_hours</v>
      </c>
      <c r="H1056" t="b">
        <f>'Claims Data'!L1056</f>
        <v>1</v>
      </c>
      <c r="I1056">
        <f t="shared" si="32"/>
        <v>50</v>
      </c>
      <c r="J1056" t="str">
        <f t="shared" si="33"/>
        <v>Medium Risk</v>
      </c>
    </row>
    <row r="1057" spans="1:10" x14ac:dyDescent="0.2">
      <c r="A1057" t="str">
        <f>'Claims Data'!A1057</f>
        <v>CLM01056</v>
      </c>
      <c r="B1057" t="str">
        <f>'Claims Data'!B1057</f>
        <v>PAT0137</v>
      </c>
      <c r="C1057" t="str">
        <f>'Claims Data'!C1057</f>
        <v>PRV0018</v>
      </c>
      <c r="D1057" s="1">
        <f>'Claims Data'!D1057</f>
        <v>45605</v>
      </c>
      <c r="E1057">
        <f>'Claims Data'!H1057</f>
        <v>38.4</v>
      </c>
      <c r="F1057">
        <f>'Claims Data'!J1057</f>
        <v>2000</v>
      </c>
      <c r="G1057" t="str">
        <f>'Claims Data'!M1057</f>
        <v>phantom_round_amount</v>
      </c>
      <c r="H1057" t="b">
        <f>'Claims Data'!L1057</f>
        <v>1</v>
      </c>
      <c r="I1057">
        <f t="shared" si="32"/>
        <v>80</v>
      </c>
      <c r="J1057" t="str">
        <f t="shared" si="33"/>
        <v>High Risk</v>
      </c>
    </row>
    <row r="1058" spans="1:10" x14ac:dyDescent="0.2">
      <c r="A1058" t="str">
        <f>'Claims Data'!A1058</f>
        <v>CLM01057</v>
      </c>
      <c r="B1058" t="str">
        <f>'Claims Data'!B1058</f>
        <v>PAT0143</v>
      </c>
      <c r="C1058" t="str">
        <f>'Claims Data'!C1058</f>
        <v>PRV0015</v>
      </c>
      <c r="D1058" s="1">
        <f>'Claims Data'!D1058</f>
        <v>45252</v>
      </c>
      <c r="E1058">
        <f>'Claims Data'!H1058</f>
        <v>5.0999999999999996</v>
      </c>
      <c r="F1058">
        <f>'Claims Data'!J1058</f>
        <v>248.56</v>
      </c>
      <c r="G1058">
        <f>'Claims Data'!M1058</f>
        <v>0</v>
      </c>
      <c r="H1058" t="b">
        <f>'Claims Data'!L1058</f>
        <v>0</v>
      </c>
      <c r="I1058">
        <f t="shared" si="32"/>
        <v>0</v>
      </c>
      <c r="J1058" t="str">
        <f t="shared" si="33"/>
        <v>Low Risk</v>
      </c>
    </row>
    <row r="1059" spans="1:10" x14ac:dyDescent="0.2">
      <c r="A1059" t="str">
        <f>'Claims Data'!A1059</f>
        <v>CLM01058</v>
      </c>
      <c r="B1059" t="str">
        <f>'Claims Data'!B1059</f>
        <v>PAT0010</v>
      </c>
      <c r="C1059" t="str">
        <f>'Claims Data'!C1059</f>
        <v>PRV0023</v>
      </c>
      <c r="D1059" s="1">
        <f>'Claims Data'!D1059</f>
        <v>45278</v>
      </c>
      <c r="E1059">
        <f>'Claims Data'!H1059</f>
        <v>5.3</v>
      </c>
      <c r="F1059">
        <f>'Claims Data'!J1059</f>
        <v>296.63</v>
      </c>
      <c r="G1059">
        <f>'Claims Data'!M1059</f>
        <v>0</v>
      </c>
      <c r="H1059" t="b">
        <f>'Claims Data'!L1059</f>
        <v>0</v>
      </c>
      <c r="I1059">
        <f t="shared" si="32"/>
        <v>0</v>
      </c>
      <c r="J1059" t="str">
        <f t="shared" si="33"/>
        <v>Low Risk</v>
      </c>
    </row>
    <row r="1060" spans="1:10" x14ac:dyDescent="0.2">
      <c r="A1060" t="str">
        <f>'Claims Data'!A1060</f>
        <v>CLM01059</v>
      </c>
      <c r="B1060" t="str">
        <f>'Claims Data'!B1060</f>
        <v>PAT0221</v>
      </c>
      <c r="C1060" t="str">
        <f>'Claims Data'!C1060</f>
        <v>PRV0037</v>
      </c>
      <c r="D1060" s="1">
        <f>'Claims Data'!D1060</f>
        <v>45621</v>
      </c>
      <c r="E1060">
        <f>'Claims Data'!H1060</f>
        <v>3.1</v>
      </c>
      <c r="F1060">
        <f>'Claims Data'!J1060</f>
        <v>159.26</v>
      </c>
      <c r="G1060">
        <f>'Claims Data'!M1060</f>
        <v>0</v>
      </c>
      <c r="H1060" t="b">
        <f>'Claims Data'!L1060</f>
        <v>0</v>
      </c>
      <c r="I1060">
        <f t="shared" si="32"/>
        <v>0</v>
      </c>
      <c r="J1060" t="str">
        <f t="shared" si="33"/>
        <v>Low Risk</v>
      </c>
    </row>
    <row r="1061" spans="1:10" x14ac:dyDescent="0.2">
      <c r="A1061" t="str">
        <f>'Claims Data'!A1061</f>
        <v>CLM01060</v>
      </c>
      <c r="B1061" t="str">
        <f>'Claims Data'!B1061</f>
        <v>PAT0162</v>
      </c>
      <c r="C1061" t="str">
        <f>'Claims Data'!C1061</f>
        <v>PRV0015</v>
      </c>
      <c r="D1061" s="1">
        <f>'Claims Data'!D1061</f>
        <v>44936</v>
      </c>
      <c r="E1061">
        <f>'Claims Data'!H1061</f>
        <v>4.8</v>
      </c>
      <c r="F1061">
        <f>'Claims Data'!J1061</f>
        <v>241.67</v>
      </c>
      <c r="G1061">
        <f>'Claims Data'!M1061</f>
        <v>0</v>
      </c>
      <c r="H1061" t="b">
        <f>'Claims Data'!L1061</f>
        <v>0</v>
      </c>
      <c r="I1061">
        <f t="shared" si="32"/>
        <v>0</v>
      </c>
      <c r="J1061" t="str">
        <f t="shared" si="33"/>
        <v>Low Risk</v>
      </c>
    </row>
    <row r="1062" spans="1:10" x14ac:dyDescent="0.2">
      <c r="A1062" t="str">
        <f>'Claims Data'!A1062</f>
        <v>CLM01061</v>
      </c>
      <c r="B1062" t="str">
        <f>'Claims Data'!B1062</f>
        <v>PAT0298</v>
      </c>
      <c r="C1062" t="str">
        <f>'Claims Data'!C1062</f>
        <v>PRV0060</v>
      </c>
      <c r="D1062" s="1">
        <f>'Claims Data'!D1062</f>
        <v>44988</v>
      </c>
      <c r="E1062">
        <f>'Claims Data'!H1062</f>
        <v>6.1</v>
      </c>
      <c r="F1062">
        <f>'Claims Data'!J1062</f>
        <v>483.25</v>
      </c>
      <c r="G1062">
        <f>'Claims Data'!M1062</f>
        <v>0</v>
      </c>
      <c r="H1062" t="b">
        <f>'Claims Data'!L1062</f>
        <v>0</v>
      </c>
      <c r="I1062">
        <f t="shared" si="32"/>
        <v>0</v>
      </c>
      <c r="J1062" t="str">
        <f t="shared" si="33"/>
        <v>Low Risk</v>
      </c>
    </row>
    <row r="1063" spans="1:10" x14ac:dyDescent="0.2">
      <c r="A1063" t="str">
        <f>'Claims Data'!A1063</f>
        <v>CLM01062</v>
      </c>
      <c r="B1063" t="str">
        <f>'Claims Data'!B1063</f>
        <v>PAT0166</v>
      </c>
      <c r="C1063" t="str">
        <f>'Claims Data'!C1063</f>
        <v>PRV0052</v>
      </c>
      <c r="D1063" s="1">
        <f>'Claims Data'!D1063</f>
        <v>45563</v>
      </c>
      <c r="E1063">
        <f>'Claims Data'!H1063</f>
        <v>2.5</v>
      </c>
      <c r="F1063">
        <f>'Claims Data'!J1063</f>
        <v>137.6</v>
      </c>
      <c r="G1063">
        <f>'Claims Data'!M1063</f>
        <v>0</v>
      </c>
      <c r="H1063" t="b">
        <f>'Claims Data'!L1063</f>
        <v>0</v>
      </c>
      <c r="I1063">
        <f t="shared" si="32"/>
        <v>0</v>
      </c>
      <c r="J1063" t="str">
        <f t="shared" si="33"/>
        <v>Low Risk</v>
      </c>
    </row>
    <row r="1064" spans="1:10" x14ac:dyDescent="0.2">
      <c r="A1064" t="str">
        <f>'Claims Data'!A1064</f>
        <v>CLM01063</v>
      </c>
      <c r="B1064" t="str">
        <f>'Claims Data'!B1064</f>
        <v>PAT0131</v>
      </c>
      <c r="C1064" t="str">
        <f>'Claims Data'!C1064</f>
        <v>PRV0048</v>
      </c>
      <c r="D1064" s="1">
        <f>'Claims Data'!D1064</f>
        <v>45077</v>
      </c>
      <c r="E1064">
        <f>'Claims Data'!H1064</f>
        <v>4.4000000000000004</v>
      </c>
      <c r="F1064">
        <f>'Claims Data'!J1064</f>
        <v>195.39</v>
      </c>
      <c r="G1064">
        <f>'Claims Data'!M1064</f>
        <v>0</v>
      </c>
      <c r="H1064" t="b">
        <f>'Claims Data'!L1064</f>
        <v>0</v>
      </c>
      <c r="I1064">
        <f t="shared" si="32"/>
        <v>0</v>
      </c>
      <c r="J1064" t="str">
        <f t="shared" si="33"/>
        <v>Low Risk</v>
      </c>
    </row>
    <row r="1065" spans="1:10" x14ac:dyDescent="0.2">
      <c r="A1065" t="str">
        <f>'Claims Data'!A1065</f>
        <v>CLM01064</v>
      </c>
      <c r="B1065" t="str">
        <f>'Claims Data'!B1065</f>
        <v>PAT0036</v>
      </c>
      <c r="C1065" t="str">
        <f>'Claims Data'!C1065</f>
        <v>PRV0026</v>
      </c>
      <c r="D1065" s="1">
        <f>'Claims Data'!D1065</f>
        <v>45642</v>
      </c>
      <c r="E1065">
        <f>'Claims Data'!H1065</f>
        <v>4.7</v>
      </c>
      <c r="F1065">
        <f>'Claims Data'!J1065</f>
        <v>370.35</v>
      </c>
      <c r="G1065">
        <f>'Claims Data'!M1065</f>
        <v>0</v>
      </c>
      <c r="H1065" t="b">
        <f>'Claims Data'!L1065</f>
        <v>0</v>
      </c>
      <c r="I1065">
        <f t="shared" si="32"/>
        <v>0</v>
      </c>
      <c r="J1065" t="str">
        <f t="shared" si="33"/>
        <v>Low Risk</v>
      </c>
    </row>
    <row r="1066" spans="1:10" x14ac:dyDescent="0.2">
      <c r="A1066" t="str">
        <f>'Claims Data'!A1066</f>
        <v>CLM01065</v>
      </c>
      <c r="B1066" t="str">
        <f>'Claims Data'!B1066</f>
        <v>PAT0233</v>
      </c>
      <c r="C1066" t="str">
        <f>'Claims Data'!C1066</f>
        <v>PRV0050</v>
      </c>
      <c r="D1066" s="1">
        <f>'Claims Data'!D1066</f>
        <v>45560</v>
      </c>
      <c r="E1066">
        <f>'Claims Data'!H1066</f>
        <v>2.5</v>
      </c>
      <c r="F1066">
        <f>'Claims Data'!J1066</f>
        <v>111.11</v>
      </c>
      <c r="G1066">
        <f>'Claims Data'!M1066</f>
        <v>0</v>
      </c>
      <c r="H1066" t="b">
        <f>'Claims Data'!L1066</f>
        <v>0</v>
      </c>
      <c r="I1066">
        <f t="shared" si="32"/>
        <v>0</v>
      </c>
      <c r="J1066" t="str">
        <f t="shared" si="33"/>
        <v>Low Risk</v>
      </c>
    </row>
    <row r="1067" spans="1:10" x14ac:dyDescent="0.2">
      <c r="A1067" t="str">
        <f>'Claims Data'!A1067</f>
        <v>CLM01066</v>
      </c>
      <c r="B1067" t="str">
        <f>'Claims Data'!B1067</f>
        <v>PAT0202</v>
      </c>
      <c r="C1067" t="str">
        <f>'Claims Data'!C1067</f>
        <v>PRV0038</v>
      </c>
      <c r="D1067" s="1">
        <f>'Claims Data'!D1067</f>
        <v>45390</v>
      </c>
      <c r="E1067">
        <f>'Claims Data'!H1067</f>
        <v>6.3</v>
      </c>
      <c r="F1067">
        <f>'Claims Data'!J1067</f>
        <v>204.2</v>
      </c>
      <c r="G1067">
        <f>'Claims Data'!M1067</f>
        <v>0</v>
      </c>
      <c r="H1067" t="b">
        <f>'Claims Data'!L1067</f>
        <v>0</v>
      </c>
      <c r="I1067">
        <f t="shared" si="32"/>
        <v>0</v>
      </c>
      <c r="J1067" t="str">
        <f t="shared" si="33"/>
        <v>Low Risk</v>
      </c>
    </row>
    <row r="1068" spans="1:10" x14ac:dyDescent="0.2">
      <c r="A1068" t="str">
        <f>'Claims Data'!A1068</f>
        <v>CLM01067</v>
      </c>
      <c r="B1068" t="str">
        <f>'Claims Data'!B1068</f>
        <v>PAT0146</v>
      </c>
      <c r="C1068" t="str">
        <f>'Claims Data'!C1068</f>
        <v>PRV0055</v>
      </c>
      <c r="D1068" s="1">
        <f>'Claims Data'!D1068</f>
        <v>44945</v>
      </c>
      <c r="E1068">
        <f>'Claims Data'!H1068</f>
        <v>17.899999999999999</v>
      </c>
      <c r="F1068">
        <f>'Claims Data'!J1068</f>
        <v>539.15</v>
      </c>
      <c r="G1068" t="str">
        <f>'Claims Data'!M1068</f>
        <v>inflated_hours</v>
      </c>
      <c r="H1068" t="b">
        <f>'Claims Data'!L1068</f>
        <v>1</v>
      </c>
      <c r="I1068">
        <f t="shared" si="32"/>
        <v>50</v>
      </c>
      <c r="J1068" t="str">
        <f t="shared" si="33"/>
        <v>Medium Risk</v>
      </c>
    </row>
    <row r="1069" spans="1:10" x14ac:dyDescent="0.2">
      <c r="A1069" t="str">
        <f>'Claims Data'!A1069</f>
        <v>CLM01068</v>
      </c>
      <c r="B1069" t="str">
        <f>'Claims Data'!B1069</f>
        <v>PAT0298</v>
      </c>
      <c r="C1069" t="str">
        <f>'Claims Data'!C1069</f>
        <v>PRV0001</v>
      </c>
      <c r="D1069" s="1">
        <f>'Claims Data'!D1069</f>
        <v>45507</v>
      </c>
      <c r="E1069">
        <f>'Claims Data'!H1069</f>
        <v>6.4</v>
      </c>
      <c r="F1069">
        <f>'Claims Data'!J1069</f>
        <v>534.47</v>
      </c>
      <c r="G1069">
        <f>'Claims Data'!M1069</f>
        <v>0</v>
      </c>
      <c r="H1069" t="b">
        <f>'Claims Data'!L1069</f>
        <v>0</v>
      </c>
      <c r="I1069">
        <f t="shared" si="32"/>
        <v>0</v>
      </c>
      <c r="J1069" t="str">
        <f t="shared" si="33"/>
        <v>Low Risk</v>
      </c>
    </row>
    <row r="1070" spans="1:10" x14ac:dyDescent="0.2">
      <c r="A1070" t="str">
        <f>'Claims Data'!A1070</f>
        <v>CLM01069</v>
      </c>
      <c r="B1070" t="str">
        <f>'Claims Data'!B1070</f>
        <v>PAT0194</v>
      </c>
      <c r="C1070" t="str">
        <f>'Claims Data'!C1070</f>
        <v>PRV0035</v>
      </c>
      <c r="D1070" s="1">
        <f>'Claims Data'!D1070</f>
        <v>45394</v>
      </c>
      <c r="E1070">
        <f>'Claims Data'!H1070</f>
        <v>4.3</v>
      </c>
      <c r="F1070">
        <f>'Claims Data'!J1070</f>
        <v>205.7</v>
      </c>
      <c r="G1070">
        <f>'Claims Data'!M1070</f>
        <v>0</v>
      </c>
      <c r="H1070" t="b">
        <f>'Claims Data'!L1070</f>
        <v>0</v>
      </c>
      <c r="I1070">
        <f t="shared" si="32"/>
        <v>0</v>
      </c>
      <c r="J1070" t="str">
        <f t="shared" si="33"/>
        <v>Low Risk</v>
      </c>
    </row>
    <row r="1071" spans="1:10" x14ac:dyDescent="0.2">
      <c r="A1071" t="str">
        <f>'Claims Data'!A1071</f>
        <v>CLM01070</v>
      </c>
      <c r="B1071" t="str">
        <f>'Claims Data'!B1071</f>
        <v>PAT0124</v>
      </c>
      <c r="C1071" t="str">
        <f>'Claims Data'!C1071</f>
        <v>PRV0041</v>
      </c>
      <c r="D1071" s="1">
        <f>'Claims Data'!D1071</f>
        <v>44962</v>
      </c>
      <c r="E1071">
        <f>'Claims Data'!H1071</f>
        <v>5.4</v>
      </c>
      <c r="F1071">
        <f>'Claims Data'!J1071</f>
        <v>348.69</v>
      </c>
      <c r="G1071">
        <f>'Claims Data'!M1071</f>
        <v>0</v>
      </c>
      <c r="H1071" t="b">
        <f>'Claims Data'!L1071</f>
        <v>0</v>
      </c>
      <c r="I1071">
        <f t="shared" si="32"/>
        <v>0</v>
      </c>
      <c r="J1071" t="str">
        <f t="shared" si="33"/>
        <v>Low Risk</v>
      </c>
    </row>
    <row r="1072" spans="1:10" x14ac:dyDescent="0.2">
      <c r="A1072" t="str">
        <f>'Claims Data'!A1072</f>
        <v>CLM01071</v>
      </c>
      <c r="B1072" t="str">
        <f>'Claims Data'!B1072</f>
        <v>PAT0043</v>
      </c>
      <c r="C1072" t="str">
        <f>'Claims Data'!C1072</f>
        <v>PRV0057</v>
      </c>
      <c r="D1072" s="1">
        <f>'Claims Data'!D1072</f>
        <v>45057</v>
      </c>
      <c r="E1072">
        <f>'Claims Data'!H1072</f>
        <v>7.2</v>
      </c>
      <c r="F1072">
        <f>'Claims Data'!J1072</f>
        <v>257.27</v>
      </c>
      <c r="G1072">
        <f>'Claims Data'!M1072</f>
        <v>0</v>
      </c>
      <c r="H1072" t="b">
        <f>'Claims Data'!L1072</f>
        <v>0</v>
      </c>
      <c r="I1072">
        <f t="shared" si="32"/>
        <v>0</v>
      </c>
      <c r="J1072" t="str">
        <f t="shared" si="33"/>
        <v>Low Risk</v>
      </c>
    </row>
    <row r="1073" spans="1:10" x14ac:dyDescent="0.2">
      <c r="A1073" t="str">
        <f>'Claims Data'!A1073</f>
        <v>CLM01072</v>
      </c>
      <c r="B1073" t="str">
        <f>'Claims Data'!B1073</f>
        <v>PAT0026</v>
      </c>
      <c r="C1073" t="str">
        <f>'Claims Data'!C1073</f>
        <v>PRV0001</v>
      </c>
      <c r="D1073" s="1">
        <f>'Claims Data'!D1073</f>
        <v>44971</v>
      </c>
      <c r="E1073">
        <f>'Claims Data'!H1073</f>
        <v>4.5</v>
      </c>
      <c r="F1073">
        <f>'Claims Data'!J1073</f>
        <v>196.07</v>
      </c>
      <c r="G1073">
        <f>'Claims Data'!M1073</f>
        <v>0</v>
      </c>
      <c r="H1073" t="b">
        <f>'Claims Data'!L1073</f>
        <v>0</v>
      </c>
      <c r="I1073">
        <f t="shared" si="32"/>
        <v>0</v>
      </c>
      <c r="J1073" t="str">
        <f t="shared" si="33"/>
        <v>Low Risk</v>
      </c>
    </row>
    <row r="1074" spans="1:10" x14ac:dyDescent="0.2">
      <c r="A1074" t="str">
        <f>'Claims Data'!A1074</f>
        <v>CLM01073</v>
      </c>
      <c r="B1074" t="str">
        <f>'Claims Data'!B1074</f>
        <v>PAT0052</v>
      </c>
      <c r="C1074" t="str">
        <f>'Claims Data'!C1074</f>
        <v>PRV0007</v>
      </c>
      <c r="D1074" s="1">
        <f>'Claims Data'!D1074</f>
        <v>45464</v>
      </c>
      <c r="E1074">
        <f>'Claims Data'!H1074</f>
        <v>78</v>
      </c>
      <c r="F1074">
        <f>'Claims Data'!J1074</f>
        <v>2500</v>
      </c>
      <c r="G1074" t="str">
        <f>'Claims Data'!M1074</f>
        <v>phantom_round_amount</v>
      </c>
      <c r="H1074" t="b">
        <f>'Claims Data'!L1074</f>
        <v>1</v>
      </c>
      <c r="I1074">
        <f t="shared" si="32"/>
        <v>80</v>
      </c>
      <c r="J1074" t="str">
        <f t="shared" si="33"/>
        <v>High Risk</v>
      </c>
    </row>
    <row r="1075" spans="1:10" x14ac:dyDescent="0.2">
      <c r="A1075" t="str">
        <f>'Claims Data'!A1075</f>
        <v>CLM01074</v>
      </c>
      <c r="B1075" t="str">
        <f>'Claims Data'!B1075</f>
        <v>PAT0173</v>
      </c>
      <c r="C1075" t="str">
        <f>'Claims Data'!C1075</f>
        <v>PRV0002</v>
      </c>
      <c r="D1075" s="1">
        <f>'Claims Data'!D1075</f>
        <v>45006</v>
      </c>
      <c r="E1075">
        <f>'Claims Data'!H1075</f>
        <v>2</v>
      </c>
      <c r="F1075">
        <f>'Claims Data'!J1075</f>
        <v>141.85</v>
      </c>
      <c r="G1075">
        <f>'Claims Data'!M1075</f>
        <v>0</v>
      </c>
      <c r="H1075" t="b">
        <f>'Claims Data'!L1075</f>
        <v>0</v>
      </c>
      <c r="I1075">
        <f t="shared" si="32"/>
        <v>0</v>
      </c>
      <c r="J1075" t="str">
        <f t="shared" si="33"/>
        <v>Low Risk</v>
      </c>
    </row>
    <row r="1076" spans="1:10" x14ac:dyDescent="0.2">
      <c r="A1076" t="str">
        <f>'Claims Data'!A1076</f>
        <v>CLM01075</v>
      </c>
      <c r="B1076" t="str">
        <f>'Claims Data'!B1076</f>
        <v>PAT0187</v>
      </c>
      <c r="C1076" t="str">
        <f>'Claims Data'!C1076</f>
        <v>PRV0012</v>
      </c>
      <c r="D1076" s="1">
        <f>'Claims Data'!D1076</f>
        <v>45441</v>
      </c>
      <c r="E1076">
        <f>'Claims Data'!H1076</f>
        <v>5</v>
      </c>
      <c r="F1076">
        <f>'Claims Data'!J1076</f>
        <v>274.58999999999997</v>
      </c>
      <c r="G1076">
        <f>'Claims Data'!M1076</f>
        <v>0</v>
      </c>
      <c r="H1076" t="b">
        <f>'Claims Data'!L1076</f>
        <v>0</v>
      </c>
      <c r="I1076">
        <f t="shared" si="32"/>
        <v>0</v>
      </c>
      <c r="J1076" t="str">
        <f t="shared" si="33"/>
        <v>Low Risk</v>
      </c>
    </row>
    <row r="1077" spans="1:10" x14ac:dyDescent="0.2">
      <c r="A1077" t="str">
        <f>'Claims Data'!A1077</f>
        <v>CLM01076</v>
      </c>
      <c r="B1077" t="str">
        <f>'Claims Data'!B1077</f>
        <v>PAT0277</v>
      </c>
      <c r="C1077" t="str">
        <f>'Claims Data'!C1077</f>
        <v>PRV0038</v>
      </c>
      <c r="D1077" s="1">
        <f>'Claims Data'!D1077</f>
        <v>45102</v>
      </c>
      <c r="E1077">
        <f>'Claims Data'!H1077</f>
        <v>3.4</v>
      </c>
      <c r="F1077">
        <f>'Claims Data'!J1077</f>
        <v>205.13</v>
      </c>
      <c r="G1077">
        <f>'Claims Data'!M1077</f>
        <v>0</v>
      </c>
      <c r="H1077" t="b">
        <f>'Claims Data'!L1077</f>
        <v>0</v>
      </c>
      <c r="I1077">
        <f t="shared" si="32"/>
        <v>0</v>
      </c>
      <c r="J1077" t="str">
        <f t="shared" si="33"/>
        <v>Low Risk</v>
      </c>
    </row>
    <row r="1078" spans="1:10" x14ac:dyDescent="0.2">
      <c r="A1078" t="str">
        <f>'Claims Data'!A1078</f>
        <v>CLM01077</v>
      </c>
      <c r="B1078" t="str">
        <f>'Claims Data'!B1078</f>
        <v>PAT0160</v>
      </c>
      <c r="C1078" t="str">
        <f>'Claims Data'!C1078</f>
        <v>PRV0055</v>
      </c>
      <c r="D1078" s="1">
        <f>'Claims Data'!D1078</f>
        <v>45617</v>
      </c>
      <c r="E1078">
        <f>'Claims Data'!H1078</f>
        <v>4.5</v>
      </c>
      <c r="F1078">
        <f>'Claims Data'!J1078</f>
        <v>133.94</v>
      </c>
      <c r="G1078">
        <f>'Claims Data'!M1078</f>
        <v>0</v>
      </c>
      <c r="H1078" t="b">
        <f>'Claims Data'!L1078</f>
        <v>0</v>
      </c>
      <c r="I1078">
        <f t="shared" si="32"/>
        <v>0</v>
      </c>
      <c r="J1078" t="str">
        <f t="shared" si="33"/>
        <v>Low Risk</v>
      </c>
    </row>
    <row r="1079" spans="1:10" x14ac:dyDescent="0.2">
      <c r="A1079" t="str">
        <f>'Claims Data'!A1079</f>
        <v>CLM01078</v>
      </c>
      <c r="B1079" t="str">
        <f>'Claims Data'!B1079</f>
        <v>PAT0179</v>
      </c>
      <c r="C1079" t="str">
        <f>'Claims Data'!C1079</f>
        <v>PRV0008</v>
      </c>
      <c r="D1079" s="1">
        <f>'Claims Data'!D1079</f>
        <v>45270</v>
      </c>
      <c r="E1079">
        <f>'Claims Data'!H1079</f>
        <v>3.5</v>
      </c>
      <c r="F1079">
        <f>'Claims Data'!J1079</f>
        <v>202.44</v>
      </c>
      <c r="G1079">
        <f>'Claims Data'!M1079</f>
        <v>0</v>
      </c>
      <c r="H1079" t="b">
        <f>'Claims Data'!L1079</f>
        <v>0</v>
      </c>
      <c r="I1079">
        <f t="shared" si="32"/>
        <v>0</v>
      </c>
      <c r="J1079" t="str">
        <f t="shared" si="33"/>
        <v>Low Risk</v>
      </c>
    </row>
    <row r="1080" spans="1:10" x14ac:dyDescent="0.2">
      <c r="A1080" t="str">
        <f>'Claims Data'!A1080</f>
        <v>CLM01079</v>
      </c>
      <c r="B1080" t="str">
        <f>'Claims Data'!B1080</f>
        <v>PAT0031</v>
      </c>
      <c r="C1080" t="str">
        <f>'Claims Data'!C1080</f>
        <v>PRV0031</v>
      </c>
      <c r="D1080" s="1">
        <f>'Claims Data'!D1080</f>
        <v>45423</v>
      </c>
      <c r="E1080">
        <f>'Claims Data'!H1080</f>
        <v>2.2999999999999998</v>
      </c>
      <c r="F1080">
        <f>'Claims Data'!J1080</f>
        <v>77.959999999999994</v>
      </c>
      <c r="G1080" t="str">
        <f>'Claims Data'!M1080</f>
        <v>duplicate_claim</v>
      </c>
      <c r="H1080" t="b">
        <f>'Claims Data'!L1080</f>
        <v>1</v>
      </c>
      <c r="I1080">
        <f t="shared" si="32"/>
        <v>10</v>
      </c>
      <c r="J1080" t="str">
        <f t="shared" si="33"/>
        <v>Low Risk</v>
      </c>
    </row>
    <row r="1081" spans="1:10" x14ac:dyDescent="0.2">
      <c r="A1081" t="str">
        <f>'Claims Data'!A1081</f>
        <v>CLM01080</v>
      </c>
      <c r="B1081" t="str">
        <f>'Claims Data'!B1081</f>
        <v>PAT0114</v>
      </c>
      <c r="C1081" t="str">
        <f>'Claims Data'!C1081</f>
        <v>PRV0006</v>
      </c>
      <c r="D1081" s="1">
        <f>'Claims Data'!D1081</f>
        <v>45116</v>
      </c>
      <c r="E1081">
        <f>'Claims Data'!H1081</f>
        <v>2.2000000000000002</v>
      </c>
      <c r="F1081">
        <f>'Claims Data'!J1081</f>
        <v>167.71</v>
      </c>
      <c r="G1081">
        <f>'Claims Data'!M1081</f>
        <v>0</v>
      </c>
      <c r="H1081" t="b">
        <f>'Claims Data'!L1081</f>
        <v>0</v>
      </c>
      <c r="I1081">
        <f t="shared" si="32"/>
        <v>0</v>
      </c>
      <c r="J1081" t="str">
        <f t="shared" si="33"/>
        <v>Low Risk</v>
      </c>
    </row>
    <row r="1082" spans="1:10" x14ac:dyDescent="0.2">
      <c r="A1082" t="str">
        <f>'Claims Data'!A1082</f>
        <v>CLM01081</v>
      </c>
      <c r="B1082" t="str">
        <f>'Claims Data'!B1082</f>
        <v>PAT0057</v>
      </c>
      <c r="C1082" t="str">
        <f>'Claims Data'!C1082</f>
        <v>PRV0041</v>
      </c>
      <c r="D1082" s="1">
        <f>'Claims Data'!D1082</f>
        <v>45079</v>
      </c>
      <c r="E1082">
        <f>'Claims Data'!H1082</f>
        <v>4</v>
      </c>
      <c r="F1082">
        <f>'Claims Data'!J1082</f>
        <v>121.05</v>
      </c>
      <c r="G1082">
        <f>'Claims Data'!M1082</f>
        <v>0</v>
      </c>
      <c r="H1082" t="b">
        <f>'Claims Data'!L1082</f>
        <v>0</v>
      </c>
      <c r="I1082">
        <f t="shared" si="32"/>
        <v>0</v>
      </c>
      <c r="J1082" t="str">
        <f t="shared" si="33"/>
        <v>Low Risk</v>
      </c>
    </row>
    <row r="1083" spans="1:10" x14ac:dyDescent="0.2">
      <c r="A1083" t="str">
        <f>'Claims Data'!A1083</f>
        <v>CLM01082</v>
      </c>
      <c r="B1083" t="str">
        <f>'Claims Data'!B1083</f>
        <v>PAT0001</v>
      </c>
      <c r="C1083" t="str">
        <f>'Claims Data'!C1083</f>
        <v>PRV0051</v>
      </c>
      <c r="D1083" s="1">
        <f>'Claims Data'!D1083</f>
        <v>45602</v>
      </c>
      <c r="E1083">
        <f>'Claims Data'!H1083</f>
        <v>43.3</v>
      </c>
      <c r="F1083">
        <f>'Claims Data'!J1083</f>
        <v>1500</v>
      </c>
      <c r="G1083" t="str">
        <f>'Claims Data'!M1083</f>
        <v>phantom_round_amount</v>
      </c>
      <c r="H1083" t="b">
        <f>'Claims Data'!L1083</f>
        <v>1</v>
      </c>
      <c r="I1083">
        <f t="shared" si="32"/>
        <v>80</v>
      </c>
      <c r="J1083" t="str">
        <f t="shared" si="33"/>
        <v>High Risk</v>
      </c>
    </row>
    <row r="1084" spans="1:10" x14ac:dyDescent="0.2">
      <c r="A1084" t="str">
        <f>'Claims Data'!A1084</f>
        <v>CLM01083</v>
      </c>
      <c r="B1084" t="str">
        <f>'Claims Data'!B1084</f>
        <v>PAT0042</v>
      </c>
      <c r="C1084" t="str">
        <f>'Claims Data'!C1084</f>
        <v>PRV0022</v>
      </c>
      <c r="D1084" s="1">
        <f>'Claims Data'!D1084</f>
        <v>45305</v>
      </c>
      <c r="E1084">
        <f>'Claims Data'!H1084</f>
        <v>7.8</v>
      </c>
      <c r="F1084">
        <f>'Claims Data'!J1084</f>
        <v>545.69000000000005</v>
      </c>
      <c r="G1084">
        <f>'Claims Data'!M1084</f>
        <v>0</v>
      </c>
      <c r="H1084" t="b">
        <f>'Claims Data'!L1084</f>
        <v>0</v>
      </c>
      <c r="I1084">
        <f t="shared" si="32"/>
        <v>0</v>
      </c>
      <c r="J1084" t="str">
        <f t="shared" si="33"/>
        <v>Low Risk</v>
      </c>
    </row>
    <row r="1085" spans="1:10" x14ac:dyDescent="0.2">
      <c r="A1085" t="str">
        <f>'Claims Data'!A1085</f>
        <v>CLM01084</v>
      </c>
      <c r="B1085" t="str">
        <f>'Claims Data'!B1085</f>
        <v>PAT0106</v>
      </c>
      <c r="C1085" t="str">
        <f>'Claims Data'!C1085</f>
        <v>PRV0059</v>
      </c>
      <c r="D1085" s="1">
        <f>'Claims Data'!D1085</f>
        <v>45650</v>
      </c>
      <c r="E1085">
        <f>'Claims Data'!H1085</f>
        <v>2.6</v>
      </c>
      <c r="F1085">
        <f>'Claims Data'!J1085</f>
        <v>111.69</v>
      </c>
      <c r="G1085" t="str">
        <f>'Claims Data'!M1085</f>
        <v>duplicate_claim</v>
      </c>
      <c r="H1085" t="b">
        <f>'Claims Data'!L1085</f>
        <v>1</v>
      </c>
      <c r="I1085">
        <f t="shared" si="32"/>
        <v>10</v>
      </c>
      <c r="J1085" t="str">
        <f t="shared" si="33"/>
        <v>Low Risk</v>
      </c>
    </row>
    <row r="1086" spans="1:10" x14ac:dyDescent="0.2">
      <c r="A1086" t="str">
        <f>'Claims Data'!A1086</f>
        <v>CLM01085</v>
      </c>
      <c r="B1086" t="str">
        <f>'Claims Data'!B1086</f>
        <v>PAT0054</v>
      </c>
      <c r="C1086" t="str">
        <f>'Claims Data'!C1086</f>
        <v>PRV0001</v>
      </c>
      <c r="D1086" s="1">
        <f>'Claims Data'!D1086</f>
        <v>45468</v>
      </c>
      <c r="E1086">
        <f>'Claims Data'!H1086</f>
        <v>6.9</v>
      </c>
      <c r="F1086">
        <f>'Claims Data'!J1086</f>
        <v>486.49</v>
      </c>
      <c r="G1086">
        <f>'Claims Data'!M1086</f>
        <v>0</v>
      </c>
      <c r="H1086" t="b">
        <f>'Claims Data'!L1086</f>
        <v>0</v>
      </c>
      <c r="I1086">
        <f t="shared" si="32"/>
        <v>0</v>
      </c>
      <c r="J1086" t="str">
        <f t="shared" si="33"/>
        <v>Low Risk</v>
      </c>
    </row>
    <row r="1087" spans="1:10" x14ac:dyDescent="0.2">
      <c r="A1087" t="str">
        <f>'Claims Data'!A1087</f>
        <v>CLM01086</v>
      </c>
      <c r="B1087" t="str">
        <f>'Claims Data'!B1087</f>
        <v>PAT0180</v>
      </c>
      <c r="C1087" t="str">
        <f>'Claims Data'!C1087</f>
        <v>PRV0046</v>
      </c>
      <c r="D1087" s="1">
        <f>'Claims Data'!D1087</f>
        <v>45572</v>
      </c>
      <c r="E1087">
        <f>'Claims Data'!H1087</f>
        <v>3.8</v>
      </c>
      <c r="F1087">
        <f>'Claims Data'!J1087</f>
        <v>125.68</v>
      </c>
      <c r="G1087">
        <f>'Claims Data'!M1087</f>
        <v>0</v>
      </c>
      <c r="H1087" t="b">
        <f>'Claims Data'!L1087</f>
        <v>0</v>
      </c>
      <c r="I1087">
        <f t="shared" si="32"/>
        <v>0</v>
      </c>
      <c r="J1087" t="str">
        <f t="shared" si="33"/>
        <v>Low Risk</v>
      </c>
    </row>
    <row r="1088" spans="1:10" x14ac:dyDescent="0.2">
      <c r="A1088" t="str">
        <f>'Claims Data'!A1088</f>
        <v>CLM01087</v>
      </c>
      <c r="B1088" t="str">
        <f>'Claims Data'!B1088</f>
        <v>PAT0103</v>
      </c>
      <c r="C1088" t="str">
        <f>'Claims Data'!C1088</f>
        <v>PRV0031</v>
      </c>
      <c r="D1088" s="1">
        <f>'Claims Data'!D1088</f>
        <v>45140</v>
      </c>
      <c r="E1088">
        <f>'Claims Data'!H1088</f>
        <v>4</v>
      </c>
      <c r="F1088">
        <f>'Claims Data'!J1088</f>
        <v>199.3</v>
      </c>
      <c r="G1088">
        <f>'Claims Data'!M1088</f>
        <v>0</v>
      </c>
      <c r="H1088" t="b">
        <f>'Claims Data'!L1088</f>
        <v>0</v>
      </c>
      <c r="I1088">
        <f t="shared" si="32"/>
        <v>0</v>
      </c>
      <c r="J1088" t="str">
        <f t="shared" si="33"/>
        <v>Low Risk</v>
      </c>
    </row>
    <row r="1089" spans="1:10" x14ac:dyDescent="0.2">
      <c r="A1089" t="str">
        <f>'Claims Data'!A1089</f>
        <v>CLM01088</v>
      </c>
      <c r="B1089" t="str">
        <f>'Claims Data'!B1089</f>
        <v>PAT0124</v>
      </c>
      <c r="C1089" t="str">
        <f>'Claims Data'!C1089</f>
        <v>PRV0047</v>
      </c>
      <c r="D1089" s="1">
        <f>'Claims Data'!D1089</f>
        <v>45126</v>
      </c>
      <c r="E1089">
        <f>'Claims Data'!H1089</f>
        <v>5.7</v>
      </c>
      <c r="F1089">
        <f>'Claims Data'!J1089</f>
        <v>179.88</v>
      </c>
      <c r="G1089">
        <f>'Claims Data'!M1089</f>
        <v>0</v>
      </c>
      <c r="H1089" t="b">
        <f>'Claims Data'!L1089</f>
        <v>0</v>
      </c>
      <c r="I1089">
        <f t="shared" si="32"/>
        <v>0</v>
      </c>
      <c r="J1089" t="str">
        <f t="shared" si="33"/>
        <v>Low Risk</v>
      </c>
    </row>
    <row r="1090" spans="1:10" x14ac:dyDescent="0.2">
      <c r="A1090" t="str">
        <f>'Claims Data'!A1090</f>
        <v>CLM01089</v>
      </c>
      <c r="B1090" t="str">
        <f>'Claims Data'!B1090</f>
        <v>PAT0133</v>
      </c>
      <c r="C1090" t="str">
        <f>'Claims Data'!C1090</f>
        <v>PRV0044</v>
      </c>
      <c r="D1090" s="1">
        <f>'Claims Data'!D1090</f>
        <v>45240</v>
      </c>
      <c r="E1090">
        <f>'Claims Data'!H1090</f>
        <v>4.9000000000000004</v>
      </c>
      <c r="F1090">
        <f>'Claims Data'!J1090</f>
        <v>324.95999999999998</v>
      </c>
      <c r="G1090" t="str">
        <f>'Claims Data'!M1090</f>
        <v>duplicate_claim</v>
      </c>
      <c r="H1090" t="b">
        <f>'Claims Data'!L1090</f>
        <v>1</v>
      </c>
      <c r="I1090">
        <f t="shared" si="32"/>
        <v>10</v>
      </c>
      <c r="J1090" t="str">
        <f t="shared" si="33"/>
        <v>Low Risk</v>
      </c>
    </row>
    <row r="1091" spans="1:10" x14ac:dyDescent="0.2">
      <c r="A1091" t="str">
        <f>'Claims Data'!A1091</f>
        <v>CLM01090</v>
      </c>
      <c r="B1091" t="str">
        <f>'Claims Data'!B1091</f>
        <v>PAT0291</v>
      </c>
      <c r="C1091" t="str">
        <f>'Claims Data'!C1091</f>
        <v>PRV0044</v>
      </c>
      <c r="D1091" s="1">
        <f>'Claims Data'!D1091</f>
        <v>45033</v>
      </c>
      <c r="E1091">
        <f>'Claims Data'!H1091</f>
        <v>4.5999999999999996</v>
      </c>
      <c r="F1091">
        <f>'Claims Data'!J1091</f>
        <v>348.99</v>
      </c>
      <c r="G1091">
        <f>'Claims Data'!M1091</f>
        <v>0</v>
      </c>
      <c r="H1091" t="b">
        <f>'Claims Data'!L1091</f>
        <v>0</v>
      </c>
      <c r="I1091">
        <f t="shared" ref="I1091:I1154" si="34">IF(E1091&gt;16,40,0)+IF(MOD(F1091,250)=0,30,0)+IF(H1091=TRUE,10,0)</f>
        <v>0</v>
      </c>
      <c r="J1091" t="str">
        <f t="shared" ref="J1091:J1154" si="35">IF(I1091&gt;=70,"High Risk",IF(I1091&gt;=30,"Medium Risk","Low Risk"))</f>
        <v>Low Risk</v>
      </c>
    </row>
    <row r="1092" spans="1:10" x14ac:dyDescent="0.2">
      <c r="A1092" t="str">
        <f>'Claims Data'!A1092</f>
        <v>CLM01091</v>
      </c>
      <c r="B1092" t="str">
        <f>'Claims Data'!B1092</f>
        <v>PAT0008</v>
      </c>
      <c r="C1092" t="str">
        <f>'Claims Data'!C1092</f>
        <v>PRV0049</v>
      </c>
      <c r="D1092" s="1">
        <f>'Claims Data'!D1092</f>
        <v>45243</v>
      </c>
      <c r="E1092">
        <f>'Claims Data'!H1092</f>
        <v>19.8</v>
      </c>
      <c r="F1092">
        <f>'Claims Data'!J1092</f>
        <v>1224.83</v>
      </c>
      <c r="G1092" t="str">
        <f>'Claims Data'!M1092</f>
        <v>inflated_hours</v>
      </c>
      <c r="H1092" t="b">
        <f>'Claims Data'!L1092</f>
        <v>1</v>
      </c>
      <c r="I1092">
        <f t="shared" si="34"/>
        <v>50</v>
      </c>
      <c r="J1092" t="str">
        <f t="shared" si="35"/>
        <v>Medium Risk</v>
      </c>
    </row>
    <row r="1093" spans="1:10" x14ac:dyDescent="0.2">
      <c r="A1093" t="str">
        <f>'Claims Data'!A1093</f>
        <v>CLM01092</v>
      </c>
      <c r="B1093" t="str">
        <f>'Claims Data'!B1093</f>
        <v>PAT0181</v>
      </c>
      <c r="C1093" t="str">
        <f>'Claims Data'!C1093</f>
        <v>PRV0036</v>
      </c>
      <c r="D1093" s="1">
        <f>'Claims Data'!D1093</f>
        <v>45210</v>
      </c>
      <c r="E1093">
        <f>'Claims Data'!H1093</f>
        <v>5</v>
      </c>
      <c r="F1093">
        <f>'Claims Data'!J1093</f>
        <v>178.97</v>
      </c>
      <c r="G1093">
        <f>'Claims Data'!M1093</f>
        <v>0</v>
      </c>
      <c r="H1093" t="b">
        <f>'Claims Data'!L1093</f>
        <v>0</v>
      </c>
      <c r="I1093">
        <f t="shared" si="34"/>
        <v>0</v>
      </c>
      <c r="J1093" t="str">
        <f t="shared" si="35"/>
        <v>Low Risk</v>
      </c>
    </row>
    <row r="1094" spans="1:10" x14ac:dyDescent="0.2">
      <c r="A1094" t="str">
        <f>'Claims Data'!A1094</f>
        <v>CLM01093</v>
      </c>
      <c r="B1094" t="str">
        <f>'Claims Data'!B1094</f>
        <v>PAT0034</v>
      </c>
      <c r="C1094" t="str">
        <f>'Claims Data'!C1094</f>
        <v>PRV0054</v>
      </c>
      <c r="D1094" s="1">
        <f>'Claims Data'!D1094</f>
        <v>45529</v>
      </c>
      <c r="E1094">
        <f>'Claims Data'!H1094</f>
        <v>6.3</v>
      </c>
      <c r="F1094">
        <f>'Claims Data'!J1094</f>
        <v>527.66</v>
      </c>
      <c r="G1094">
        <f>'Claims Data'!M1094</f>
        <v>0</v>
      </c>
      <c r="H1094" t="b">
        <f>'Claims Data'!L1094</f>
        <v>0</v>
      </c>
      <c r="I1094">
        <f t="shared" si="34"/>
        <v>0</v>
      </c>
      <c r="J1094" t="str">
        <f t="shared" si="35"/>
        <v>Low Risk</v>
      </c>
    </row>
    <row r="1095" spans="1:10" x14ac:dyDescent="0.2">
      <c r="A1095" t="str">
        <f>'Claims Data'!A1095</f>
        <v>CLM01094</v>
      </c>
      <c r="B1095" t="str">
        <f>'Claims Data'!B1095</f>
        <v>PAT0188</v>
      </c>
      <c r="C1095" t="str">
        <f>'Claims Data'!C1095</f>
        <v>PRV0021</v>
      </c>
      <c r="D1095" s="1">
        <f>'Claims Data'!D1095</f>
        <v>45255</v>
      </c>
      <c r="E1095">
        <f>'Claims Data'!H1095</f>
        <v>2.1</v>
      </c>
      <c r="F1095">
        <f>'Claims Data'!J1095</f>
        <v>131.31</v>
      </c>
      <c r="G1095">
        <f>'Claims Data'!M1095</f>
        <v>0</v>
      </c>
      <c r="H1095" t="b">
        <f>'Claims Data'!L1095</f>
        <v>0</v>
      </c>
      <c r="I1095">
        <f t="shared" si="34"/>
        <v>0</v>
      </c>
      <c r="J1095" t="str">
        <f t="shared" si="35"/>
        <v>Low Risk</v>
      </c>
    </row>
    <row r="1096" spans="1:10" x14ac:dyDescent="0.2">
      <c r="A1096" t="str">
        <f>'Claims Data'!A1096</f>
        <v>CLM01095</v>
      </c>
      <c r="B1096" t="str">
        <f>'Claims Data'!B1096</f>
        <v>PAT0186</v>
      </c>
      <c r="C1096" t="str">
        <f>'Claims Data'!C1096</f>
        <v>PRV0014</v>
      </c>
      <c r="D1096" s="1">
        <f>'Claims Data'!D1096</f>
        <v>45145</v>
      </c>
      <c r="E1096">
        <f>'Claims Data'!H1096</f>
        <v>8.8000000000000007</v>
      </c>
      <c r="F1096">
        <f>'Claims Data'!J1096</f>
        <v>750</v>
      </c>
      <c r="G1096" t="str">
        <f>'Claims Data'!M1096</f>
        <v>phantom_round_amount</v>
      </c>
      <c r="H1096" t="b">
        <f>'Claims Data'!L1096</f>
        <v>1</v>
      </c>
      <c r="I1096">
        <f t="shared" si="34"/>
        <v>40</v>
      </c>
      <c r="J1096" t="str">
        <f t="shared" si="35"/>
        <v>Medium Risk</v>
      </c>
    </row>
    <row r="1097" spans="1:10" x14ac:dyDescent="0.2">
      <c r="A1097" t="str">
        <f>'Claims Data'!A1097</f>
        <v>CLM01096</v>
      </c>
      <c r="B1097" t="str">
        <f>'Claims Data'!B1097</f>
        <v>PAT0155</v>
      </c>
      <c r="C1097" t="str">
        <f>'Claims Data'!C1097</f>
        <v>PRV0019</v>
      </c>
      <c r="D1097" s="1">
        <f>'Claims Data'!D1097</f>
        <v>45288</v>
      </c>
      <c r="E1097">
        <f>'Claims Data'!H1097</f>
        <v>4</v>
      </c>
      <c r="F1097">
        <f>'Claims Data'!J1097</f>
        <v>234.5</v>
      </c>
      <c r="G1097">
        <f>'Claims Data'!M1097</f>
        <v>0</v>
      </c>
      <c r="H1097" t="b">
        <f>'Claims Data'!L1097</f>
        <v>0</v>
      </c>
      <c r="I1097">
        <f t="shared" si="34"/>
        <v>0</v>
      </c>
      <c r="J1097" t="str">
        <f t="shared" si="35"/>
        <v>Low Risk</v>
      </c>
    </row>
    <row r="1098" spans="1:10" x14ac:dyDescent="0.2">
      <c r="A1098" t="str">
        <f>'Claims Data'!A1098</f>
        <v>CLM01097</v>
      </c>
      <c r="B1098" t="str">
        <f>'Claims Data'!B1098</f>
        <v>PAT0175</v>
      </c>
      <c r="C1098" t="str">
        <f>'Claims Data'!C1098</f>
        <v>PRV0057</v>
      </c>
      <c r="D1098" s="1">
        <f>'Claims Data'!D1098</f>
        <v>45610</v>
      </c>
      <c r="E1098">
        <f>'Claims Data'!H1098</f>
        <v>2.1</v>
      </c>
      <c r="F1098">
        <f>'Claims Data'!J1098</f>
        <v>77.849999999999994</v>
      </c>
      <c r="G1098">
        <f>'Claims Data'!M1098</f>
        <v>0</v>
      </c>
      <c r="H1098" t="b">
        <f>'Claims Data'!L1098</f>
        <v>0</v>
      </c>
      <c r="I1098">
        <f t="shared" si="34"/>
        <v>0</v>
      </c>
      <c r="J1098" t="str">
        <f t="shared" si="35"/>
        <v>Low Risk</v>
      </c>
    </row>
    <row r="1099" spans="1:10" x14ac:dyDescent="0.2">
      <c r="A1099" t="str">
        <f>'Claims Data'!A1099</f>
        <v>CLM01098</v>
      </c>
      <c r="B1099" t="str">
        <f>'Claims Data'!B1099</f>
        <v>PAT0183</v>
      </c>
      <c r="C1099" t="str">
        <f>'Claims Data'!C1099</f>
        <v>PRV0054</v>
      </c>
      <c r="D1099" s="1">
        <f>'Claims Data'!D1099</f>
        <v>45110</v>
      </c>
      <c r="E1099">
        <f>'Claims Data'!H1099</f>
        <v>6.7</v>
      </c>
      <c r="F1099">
        <f>'Claims Data'!J1099</f>
        <v>291.22000000000003</v>
      </c>
      <c r="G1099">
        <f>'Claims Data'!M1099</f>
        <v>0</v>
      </c>
      <c r="H1099" t="b">
        <f>'Claims Data'!L1099</f>
        <v>0</v>
      </c>
      <c r="I1099">
        <f t="shared" si="34"/>
        <v>0</v>
      </c>
      <c r="J1099" t="str">
        <f t="shared" si="35"/>
        <v>Low Risk</v>
      </c>
    </row>
    <row r="1100" spans="1:10" x14ac:dyDescent="0.2">
      <c r="A1100" t="str">
        <f>'Claims Data'!A1100</f>
        <v>CLM01099</v>
      </c>
      <c r="B1100" t="str">
        <f>'Claims Data'!B1100</f>
        <v>PAT0188</v>
      </c>
      <c r="C1100" t="str">
        <f>'Claims Data'!C1100</f>
        <v>PRV0043</v>
      </c>
      <c r="D1100" s="1">
        <f>'Claims Data'!D1100</f>
        <v>45594</v>
      </c>
      <c r="E1100">
        <f>'Claims Data'!H1100</f>
        <v>6.6</v>
      </c>
      <c r="F1100">
        <f>'Claims Data'!J1100</f>
        <v>210.08</v>
      </c>
      <c r="G1100">
        <f>'Claims Data'!M1100</f>
        <v>0</v>
      </c>
      <c r="H1100" t="b">
        <f>'Claims Data'!L1100</f>
        <v>0</v>
      </c>
      <c r="I1100">
        <f t="shared" si="34"/>
        <v>0</v>
      </c>
      <c r="J1100" t="str">
        <f t="shared" si="35"/>
        <v>Low Risk</v>
      </c>
    </row>
    <row r="1101" spans="1:10" x14ac:dyDescent="0.2">
      <c r="A1101" t="str">
        <f>'Claims Data'!A1101</f>
        <v>CLM01100</v>
      </c>
      <c r="B1101" t="str">
        <f>'Claims Data'!B1101</f>
        <v>PAT0300</v>
      </c>
      <c r="C1101" t="str">
        <f>'Claims Data'!C1101</f>
        <v>PRV0022</v>
      </c>
      <c r="D1101" s="1">
        <f>'Claims Data'!D1101</f>
        <v>45191</v>
      </c>
      <c r="E1101">
        <f>'Claims Data'!H1101</f>
        <v>4.4000000000000004</v>
      </c>
      <c r="F1101">
        <f>'Claims Data'!J1101</f>
        <v>260.2</v>
      </c>
      <c r="G1101">
        <f>'Claims Data'!M1101</f>
        <v>0</v>
      </c>
      <c r="H1101" t="b">
        <f>'Claims Data'!L1101</f>
        <v>0</v>
      </c>
      <c r="I1101">
        <f t="shared" si="34"/>
        <v>0</v>
      </c>
      <c r="J1101" t="str">
        <f t="shared" si="35"/>
        <v>Low Risk</v>
      </c>
    </row>
    <row r="1102" spans="1:10" x14ac:dyDescent="0.2">
      <c r="A1102" t="str">
        <f>'Claims Data'!A1102</f>
        <v>CLM01101</v>
      </c>
      <c r="B1102" t="str">
        <f>'Claims Data'!B1102</f>
        <v>PAT0252</v>
      </c>
      <c r="C1102" t="str">
        <f>'Claims Data'!C1102</f>
        <v>PRV0059</v>
      </c>
      <c r="D1102" s="1">
        <f>'Claims Data'!D1102</f>
        <v>45050</v>
      </c>
      <c r="E1102">
        <f>'Claims Data'!H1102</f>
        <v>3.2</v>
      </c>
      <c r="F1102">
        <f>'Claims Data'!J1102</f>
        <v>240.09</v>
      </c>
      <c r="G1102">
        <f>'Claims Data'!M1102</f>
        <v>0</v>
      </c>
      <c r="H1102" t="b">
        <f>'Claims Data'!L1102</f>
        <v>0</v>
      </c>
      <c r="I1102">
        <f t="shared" si="34"/>
        <v>0</v>
      </c>
      <c r="J1102" t="str">
        <f t="shared" si="35"/>
        <v>Low Risk</v>
      </c>
    </row>
    <row r="1103" spans="1:10" x14ac:dyDescent="0.2">
      <c r="A1103" t="str">
        <f>'Claims Data'!A1103</f>
        <v>CLM01102</v>
      </c>
      <c r="B1103" t="str">
        <f>'Claims Data'!B1103</f>
        <v>PAT0085</v>
      </c>
      <c r="C1103" t="str">
        <f>'Claims Data'!C1103</f>
        <v>PRV0022</v>
      </c>
      <c r="D1103" s="1">
        <f>'Claims Data'!D1103</f>
        <v>45535</v>
      </c>
      <c r="E1103">
        <f>'Claims Data'!H1103</f>
        <v>7.5</v>
      </c>
      <c r="F1103">
        <f>'Claims Data'!J1103</f>
        <v>546.26</v>
      </c>
      <c r="G1103">
        <f>'Claims Data'!M1103</f>
        <v>0</v>
      </c>
      <c r="H1103" t="b">
        <f>'Claims Data'!L1103</f>
        <v>0</v>
      </c>
      <c r="I1103">
        <f t="shared" si="34"/>
        <v>0</v>
      </c>
      <c r="J1103" t="str">
        <f t="shared" si="35"/>
        <v>Low Risk</v>
      </c>
    </row>
    <row r="1104" spans="1:10" x14ac:dyDescent="0.2">
      <c r="A1104" t="str">
        <f>'Claims Data'!A1104</f>
        <v>CLM01103</v>
      </c>
      <c r="B1104" t="str">
        <f>'Claims Data'!B1104</f>
        <v>PAT0045</v>
      </c>
      <c r="C1104" t="str">
        <f>'Claims Data'!C1104</f>
        <v>PRV0035</v>
      </c>
      <c r="D1104" s="1">
        <f>'Claims Data'!D1104</f>
        <v>44979</v>
      </c>
      <c r="E1104">
        <f>'Claims Data'!H1104</f>
        <v>4.9000000000000004</v>
      </c>
      <c r="F1104">
        <f>'Claims Data'!J1104</f>
        <v>306.89999999999998</v>
      </c>
      <c r="G1104">
        <f>'Claims Data'!M1104</f>
        <v>0</v>
      </c>
      <c r="H1104" t="b">
        <f>'Claims Data'!L1104</f>
        <v>0</v>
      </c>
      <c r="I1104">
        <f t="shared" si="34"/>
        <v>0</v>
      </c>
      <c r="J1104" t="str">
        <f t="shared" si="35"/>
        <v>Low Risk</v>
      </c>
    </row>
    <row r="1105" spans="1:10" x14ac:dyDescent="0.2">
      <c r="A1105" t="str">
        <f>'Claims Data'!A1105</f>
        <v>CLM01104</v>
      </c>
      <c r="B1105" t="str">
        <f>'Claims Data'!B1105</f>
        <v>PAT0152</v>
      </c>
      <c r="C1105" t="str">
        <f>'Claims Data'!C1105</f>
        <v>PRV0054</v>
      </c>
      <c r="D1105" s="1">
        <f>'Claims Data'!D1105</f>
        <v>45378</v>
      </c>
      <c r="E1105">
        <f>'Claims Data'!H1105</f>
        <v>4.8</v>
      </c>
      <c r="F1105">
        <f>'Claims Data'!J1105</f>
        <v>354.48</v>
      </c>
      <c r="G1105">
        <f>'Claims Data'!M1105</f>
        <v>0</v>
      </c>
      <c r="H1105" t="b">
        <f>'Claims Data'!L1105</f>
        <v>0</v>
      </c>
      <c r="I1105">
        <f t="shared" si="34"/>
        <v>0</v>
      </c>
      <c r="J1105" t="str">
        <f t="shared" si="35"/>
        <v>Low Risk</v>
      </c>
    </row>
    <row r="1106" spans="1:10" x14ac:dyDescent="0.2">
      <c r="A1106" t="str">
        <f>'Claims Data'!A1106</f>
        <v>CLM01105</v>
      </c>
      <c r="B1106" t="str">
        <f>'Claims Data'!B1106</f>
        <v>PAT0106</v>
      </c>
      <c r="C1106" t="str">
        <f>'Claims Data'!C1106</f>
        <v>PRV0036</v>
      </c>
      <c r="D1106" s="1">
        <f>'Claims Data'!D1106</f>
        <v>45481</v>
      </c>
      <c r="E1106">
        <f>'Claims Data'!H1106</f>
        <v>29.1</v>
      </c>
      <c r="F1106">
        <f>'Claims Data'!J1106</f>
        <v>1250</v>
      </c>
      <c r="G1106" t="str">
        <f>'Claims Data'!M1106</f>
        <v>phantom_round_amount</v>
      </c>
      <c r="H1106" t="b">
        <f>'Claims Data'!L1106</f>
        <v>1</v>
      </c>
      <c r="I1106">
        <f t="shared" si="34"/>
        <v>80</v>
      </c>
      <c r="J1106" t="str">
        <f t="shared" si="35"/>
        <v>High Risk</v>
      </c>
    </row>
    <row r="1107" spans="1:10" x14ac:dyDescent="0.2">
      <c r="A1107" t="str">
        <f>'Claims Data'!A1107</f>
        <v>CLM01106</v>
      </c>
      <c r="B1107" t="str">
        <f>'Claims Data'!B1107</f>
        <v>PAT0120</v>
      </c>
      <c r="C1107" t="str">
        <f>'Claims Data'!C1107</f>
        <v>PRV0057</v>
      </c>
      <c r="D1107" s="1">
        <f>'Claims Data'!D1107</f>
        <v>45392</v>
      </c>
      <c r="E1107">
        <f>'Claims Data'!H1107</f>
        <v>5.3</v>
      </c>
      <c r="F1107">
        <f>'Claims Data'!J1107</f>
        <v>138.44999999999999</v>
      </c>
      <c r="G1107">
        <f>'Claims Data'!M1107</f>
        <v>0</v>
      </c>
      <c r="H1107" t="b">
        <f>'Claims Data'!L1107</f>
        <v>0</v>
      </c>
      <c r="I1107">
        <f t="shared" si="34"/>
        <v>0</v>
      </c>
      <c r="J1107" t="str">
        <f t="shared" si="35"/>
        <v>Low Risk</v>
      </c>
    </row>
    <row r="1108" spans="1:10" x14ac:dyDescent="0.2">
      <c r="A1108" t="str">
        <f>'Claims Data'!A1108</f>
        <v>CLM01107</v>
      </c>
      <c r="B1108" t="str">
        <f>'Claims Data'!B1108</f>
        <v>PAT0281</v>
      </c>
      <c r="C1108" t="str">
        <f>'Claims Data'!C1108</f>
        <v>PRV0020</v>
      </c>
      <c r="D1108" s="1">
        <f>'Claims Data'!D1108</f>
        <v>45000</v>
      </c>
      <c r="E1108">
        <f>'Claims Data'!H1108</f>
        <v>6.8</v>
      </c>
      <c r="F1108">
        <f>'Claims Data'!J1108</f>
        <v>532.32000000000005</v>
      </c>
      <c r="G1108">
        <f>'Claims Data'!M1108</f>
        <v>0</v>
      </c>
      <c r="H1108" t="b">
        <f>'Claims Data'!L1108</f>
        <v>0</v>
      </c>
      <c r="I1108">
        <f t="shared" si="34"/>
        <v>0</v>
      </c>
      <c r="J1108" t="str">
        <f t="shared" si="35"/>
        <v>Low Risk</v>
      </c>
    </row>
    <row r="1109" spans="1:10" x14ac:dyDescent="0.2">
      <c r="A1109" t="str">
        <f>'Claims Data'!A1109</f>
        <v>CLM01108</v>
      </c>
      <c r="B1109" t="str">
        <f>'Claims Data'!B1109</f>
        <v>PAT0250</v>
      </c>
      <c r="C1109" t="str">
        <f>'Claims Data'!C1109</f>
        <v>PRV0009</v>
      </c>
      <c r="D1109" s="1">
        <f>'Claims Data'!D1109</f>
        <v>45156</v>
      </c>
      <c r="E1109">
        <f>'Claims Data'!H1109</f>
        <v>7.8</v>
      </c>
      <c r="F1109">
        <f>'Claims Data'!J1109</f>
        <v>326.26</v>
      </c>
      <c r="G1109">
        <f>'Claims Data'!M1109</f>
        <v>0</v>
      </c>
      <c r="H1109" t="b">
        <f>'Claims Data'!L1109</f>
        <v>0</v>
      </c>
      <c r="I1109">
        <f t="shared" si="34"/>
        <v>0</v>
      </c>
      <c r="J1109" t="str">
        <f t="shared" si="35"/>
        <v>Low Risk</v>
      </c>
    </row>
    <row r="1110" spans="1:10" x14ac:dyDescent="0.2">
      <c r="A1110" t="str">
        <f>'Claims Data'!A1110</f>
        <v>CLM01109</v>
      </c>
      <c r="B1110" t="str">
        <f>'Claims Data'!B1110</f>
        <v>PAT0103</v>
      </c>
      <c r="C1110" t="str">
        <f>'Claims Data'!C1110</f>
        <v>PRV0018</v>
      </c>
      <c r="D1110" s="1">
        <f>'Claims Data'!D1110</f>
        <v>45399</v>
      </c>
      <c r="E1110">
        <f>'Claims Data'!H1110</f>
        <v>7.9</v>
      </c>
      <c r="F1110">
        <f>'Claims Data'!J1110</f>
        <v>494.47</v>
      </c>
      <c r="G1110">
        <f>'Claims Data'!M1110</f>
        <v>0</v>
      </c>
      <c r="H1110" t="b">
        <f>'Claims Data'!L1110</f>
        <v>0</v>
      </c>
      <c r="I1110">
        <f t="shared" si="34"/>
        <v>0</v>
      </c>
      <c r="J1110" t="str">
        <f t="shared" si="35"/>
        <v>Low Risk</v>
      </c>
    </row>
    <row r="1111" spans="1:10" x14ac:dyDescent="0.2">
      <c r="A1111" t="str">
        <f>'Claims Data'!A1111</f>
        <v>CLM01110</v>
      </c>
      <c r="B1111" t="str">
        <f>'Claims Data'!B1111</f>
        <v>PAT0275</v>
      </c>
      <c r="C1111" t="str">
        <f>'Claims Data'!C1111</f>
        <v>PRV0050</v>
      </c>
      <c r="D1111" s="1">
        <f>'Claims Data'!D1111</f>
        <v>45610</v>
      </c>
      <c r="E1111">
        <f>'Claims Data'!H1111</f>
        <v>3.1</v>
      </c>
      <c r="F1111">
        <f>'Claims Data'!J1111</f>
        <v>99.23</v>
      </c>
      <c r="G1111">
        <f>'Claims Data'!M1111</f>
        <v>0</v>
      </c>
      <c r="H1111" t="b">
        <f>'Claims Data'!L1111</f>
        <v>0</v>
      </c>
      <c r="I1111">
        <f t="shared" si="34"/>
        <v>0</v>
      </c>
      <c r="J1111" t="str">
        <f t="shared" si="35"/>
        <v>Low Risk</v>
      </c>
    </row>
    <row r="1112" spans="1:10" x14ac:dyDescent="0.2">
      <c r="A1112" t="str">
        <f>'Claims Data'!A1112</f>
        <v>CLM01111</v>
      </c>
      <c r="B1112" t="str">
        <f>'Claims Data'!B1112</f>
        <v>PAT0025</v>
      </c>
      <c r="C1112" t="str">
        <f>'Claims Data'!C1112</f>
        <v>PRV0014</v>
      </c>
      <c r="D1112" s="1">
        <f>'Claims Data'!D1112</f>
        <v>44927</v>
      </c>
      <c r="E1112">
        <f>'Claims Data'!H1112</f>
        <v>6.3</v>
      </c>
      <c r="F1112">
        <f>'Claims Data'!J1112</f>
        <v>260.13</v>
      </c>
      <c r="G1112">
        <f>'Claims Data'!M1112</f>
        <v>0</v>
      </c>
      <c r="H1112" t="b">
        <f>'Claims Data'!L1112</f>
        <v>0</v>
      </c>
      <c r="I1112">
        <f t="shared" si="34"/>
        <v>0</v>
      </c>
      <c r="J1112" t="str">
        <f t="shared" si="35"/>
        <v>Low Risk</v>
      </c>
    </row>
    <row r="1113" spans="1:10" x14ac:dyDescent="0.2">
      <c r="A1113" t="str">
        <f>'Claims Data'!A1113</f>
        <v>CLM01112</v>
      </c>
      <c r="B1113" t="str">
        <f>'Claims Data'!B1113</f>
        <v>PAT0123</v>
      </c>
      <c r="C1113" t="str">
        <f>'Claims Data'!C1113</f>
        <v>PRV0019</v>
      </c>
      <c r="D1113" s="1">
        <f>'Claims Data'!D1113</f>
        <v>45083</v>
      </c>
      <c r="E1113">
        <f>'Claims Data'!H1113</f>
        <v>7.3</v>
      </c>
      <c r="F1113">
        <f>'Claims Data'!J1113</f>
        <v>345.25</v>
      </c>
      <c r="G1113">
        <f>'Claims Data'!M1113</f>
        <v>0</v>
      </c>
      <c r="H1113" t="b">
        <f>'Claims Data'!L1113</f>
        <v>0</v>
      </c>
      <c r="I1113">
        <f t="shared" si="34"/>
        <v>0</v>
      </c>
      <c r="J1113" t="str">
        <f t="shared" si="35"/>
        <v>Low Risk</v>
      </c>
    </row>
    <row r="1114" spans="1:10" x14ac:dyDescent="0.2">
      <c r="A1114" t="str">
        <f>'Claims Data'!A1114</f>
        <v>CLM01113</v>
      </c>
      <c r="B1114" t="str">
        <f>'Claims Data'!B1114</f>
        <v>PAT0119</v>
      </c>
      <c r="C1114" t="str">
        <f>'Claims Data'!C1114</f>
        <v>PRV0033</v>
      </c>
      <c r="D1114" s="1">
        <f>'Claims Data'!D1114</f>
        <v>45302</v>
      </c>
      <c r="E1114">
        <f>'Claims Data'!H1114</f>
        <v>5.2</v>
      </c>
      <c r="F1114">
        <f>'Claims Data'!J1114</f>
        <v>184.6</v>
      </c>
      <c r="G1114">
        <f>'Claims Data'!M1114</f>
        <v>0</v>
      </c>
      <c r="H1114" t="b">
        <f>'Claims Data'!L1114</f>
        <v>0</v>
      </c>
      <c r="I1114">
        <f t="shared" si="34"/>
        <v>0</v>
      </c>
      <c r="J1114" t="str">
        <f t="shared" si="35"/>
        <v>Low Risk</v>
      </c>
    </row>
    <row r="1115" spans="1:10" x14ac:dyDescent="0.2">
      <c r="A1115" t="str">
        <f>'Claims Data'!A1115</f>
        <v>CLM01114</v>
      </c>
      <c r="B1115" t="str">
        <f>'Claims Data'!B1115</f>
        <v>PAT0123</v>
      </c>
      <c r="C1115" t="str">
        <f>'Claims Data'!C1115</f>
        <v>PRV0021</v>
      </c>
      <c r="D1115" s="1">
        <f>'Claims Data'!D1115</f>
        <v>45544</v>
      </c>
      <c r="E1115">
        <f>'Claims Data'!H1115</f>
        <v>6.7</v>
      </c>
      <c r="F1115">
        <f>'Claims Data'!J1115</f>
        <v>534.66999999999996</v>
      </c>
      <c r="G1115">
        <f>'Claims Data'!M1115</f>
        <v>0</v>
      </c>
      <c r="H1115" t="b">
        <f>'Claims Data'!L1115</f>
        <v>0</v>
      </c>
      <c r="I1115">
        <f t="shared" si="34"/>
        <v>0</v>
      </c>
      <c r="J1115" t="str">
        <f t="shared" si="35"/>
        <v>Low Risk</v>
      </c>
    </row>
    <row r="1116" spans="1:10" x14ac:dyDescent="0.2">
      <c r="A1116" t="str">
        <f>'Claims Data'!A1116</f>
        <v>CLM01115</v>
      </c>
      <c r="B1116" t="str">
        <f>'Claims Data'!B1116</f>
        <v>PAT0263</v>
      </c>
      <c r="C1116" t="str">
        <f>'Claims Data'!C1116</f>
        <v>PRV0039</v>
      </c>
      <c r="D1116" s="1">
        <f>'Claims Data'!D1116</f>
        <v>45333</v>
      </c>
      <c r="E1116">
        <f>'Claims Data'!H1116</f>
        <v>6.8</v>
      </c>
      <c r="F1116">
        <f>'Claims Data'!J1116</f>
        <v>539.22</v>
      </c>
      <c r="G1116">
        <f>'Claims Data'!M1116</f>
        <v>0</v>
      </c>
      <c r="H1116" t="b">
        <f>'Claims Data'!L1116</f>
        <v>0</v>
      </c>
      <c r="I1116">
        <f t="shared" si="34"/>
        <v>0</v>
      </c>
      <c r="J1116" t="str">
        <f t="shared" si="35"/>
        <v>Low Risk</v>
      </c>
    </row>
    <row r="1117" spans="1:10" x14ac:dyDescent="0.2">
      <c r="A1117" t="str">
        <f>'Claims Data'!A1117</f>
        <v>CLM01116</v>
      </c>
      <c r="B1117" t="str">
        <f>'Claims Data'!B1117</f>
        <v>PAT0035</v>
      </c>
      <c r="C1117" t="str">
        <f>'Claims Data'!C1117</f>
        <v>PRV0045</v>
      </c>
      <c r="D1117" s="1">
        <f>'Claims Data'!D1117</f>
        <v>45263</v>
      </c>
      <c r="E1117">
        <f>'Claims Data'!H1117</f>
        <v>4</v>
      </c>
      <c r="F1117">
        <f>'Claims Data'!J1117</f>
        <v>216.03</v>
      </c>
      <c r="G1117">
        <f>'Claims Data'!M1117</f>
        <v>0</v>
      </c>
      <c r="H1117" t="b">
        <f>'Claims Data'!L1117</f>
        <v>0</v>
      </c>
      <c r="I1117">
        <f t="shared" si="34"/>
        <v>0</v>
      </c>
      <c r="J1117" t="str">
        <f t="shared" si="35"/>
        <v>Low Risk</v>
      </c>
    </row>
    <row r="1118" spans="1:10" x14ac:dyDescent="0.2">
      <c r="A1118" t="str">
        <f>'Claims Data'!A1118</f>
        <v>CLM01117</v>
      </c>
      <c r="B1118" t="str">
        <f>'Claims Data'!B1118</f>
        <v>PAT0057</v>
      </c>
      <c r="C1118" t="str">
        <f>'Claims Data'!C1118</f>
        <v>PRV0032</v>
      </c>
      <c r="D1118" s="1">
        <f>'Claims Data'!D1118</f>
        <v>45510</v>
      </c>
      <c r="E1118">
        <f>'Claims Data'!H1118</f>
        <v>6.7</v>
      </c>
      <c r="F1118">
        <f>'Claims Data'!J1118</f>
        <v>225.1</v>
      </c>
      <c r="G1118">
        <f>'Claims Data'!M1118</f>
        <v>0</v>
      </c>
      <c r="H1118" t="b">
        <f>'Claims Data'!L1118</f>
        <v>0</v>
      </c>
      <c r="I1118">
        <f t="shared" si="34"/>
        <v>0</v>
      </c>
      <c r="J1118" t="str">
        <f t="shared" si="35"/>
        <v>Low Risk</v>
      </c>
    </row>
    <row r="1119" spans="1:10" x14ac:dyDescent="0.2">
      <c r="A1119" t="str">
        <f>'Claims Data'!A1119</f>
        <v>CLM01118</v>
      </c>
      <c r="B1119" t="str">
        <f>'Claims Data'!B1119</f>
        <v>PAT0106</v>
      </c>
      <c r="C1119" t="str">
        <f>'Claims Data'!C1119</f>
        <v>PRV0020</v>
      </c>
      <c r="D1119" s="1">
        <f>'Claims Data'!D1119</f>
        <v>45162</v>
      </c>
      <c r="E1119">
        <f>'Claims Data'!H1119</f>
        <v>3.2</v>
      </c>
      <c r="F1119">
        <f>'Claims Data'!J1119</f>
        <v>87.02</v>
      </c>
      <c r="G1119">
        <f>'Claims Data'!M1119</f>
        <v>0</v>
      </c>
      <c r="H1119" t="b">
        <f>'Claims Data'!L1119</f>
        <v>0</v>
      </c>
      <c r="I1119">
        <f t="shared" si="34"/>
        <v>0</v>
      </c>
      <c r="J1119" t="str">
        <f t="shared" si="35"/>
        <v>Low Risk</v>
      </c>
    </row>
    <row r="1120" spans="1:10" x14ac:dyDescent="0.2">
      <c r="A1120" t="str">
        <f>'Claims Data'!A1120</f>
        <v>CLM01119</v>
      </c>
      <c r="B1120" t="str">
        <f>'Claims Data'!B1120</f>
        <v>PAT0033</v>
      </c>
      <c r="C1120" t="str">
        <f>'Claims Data'!C1120</f>
        <v>PRV0001</v>
      </c>
      <c r="D1120" s="1">
        <f>'Claims Data'!D1120</f>
        <v>45513</v>
      </c>
      <c r="E1120">
        <f>'Claims Data'!H1120</f>
        <v>2</v>
      </c>
      <c r="F1120">
        <f>'Claims Data'!J1120</f>
        <v>161.88</v>
      </c>
      <c r="G1120">
        <f>'Claims Data'!M1120</f>
        <v>0</v>
      </c>
      <c r="H1120" t="b">
        <f>'Claims Data'!L1120</f>
        <v>0</v>
      </c>
      <c r="I1120">
        <f t="shared" si="34"/>
        <v>0</v>
      </c>
      <c r="J1120" t="str">
        <f t="shared" si="35"/>
        <v>Low Risk</v>
      </c>
    </row>
    <row r="1121" spans="1:10" x14ac:dyDescent="0.2">
      <c r="A1121" t="str">
        <f>'Claims Data'!A1121</f>
        <v>CLM01120</v>
      </c>
      <c r="B1121" t="str">
        <f>'Claims Data'!B1121</f>
        <v>PAT0112</v>
      </c>
      <c r="C1121" t="str">
        <f>'Claims Data'!C1121</f>
        <v>PRV0035</v>
      </c>
      <c r="D1121" s="1">
        <f>'Claims Data'!D1121</f>
        <v>45227</v>
      </c>
      <c r="E1121">
        <f>'Claims Data'!H1121</f>
        <v>4</v>
      </c>
      <c r="F1121">
        <f>'Claims Data'!J1121</f>
        <v>313.39999999999998</v>
      </c>
      <c r="G1121">
        <f>'Claims Data'!M1121</f>
        <v>0</v>
      </c>
      <c r="H1121" t="b">
        <f>'Claims Data'!L1121</f>
        <v>0</v>
      </c>
      <c r="I1121">
        <f t="shared" si="34"/>
        <v>0</v>
      </c>
      <c r="J1121" t="str">
        <f t="shared" si="35"/>
        <v>Low Risk</v>
      </c>
    </row>
    <row r="1122" spans="1:10" x14ac:dyDescent="0.2">
      <c r="A1122" t="str">
        <f>'Claims Data'!A1122</f>
        <v>CLM01121</v>
      </c>
      <c r="B1122" t="str">
        <f>'Claims Data'!B1122</f>
        <v>PAT0037</v>
      </c>
      <c r="C1122" t="str">
        <f>'Claims Data'!C1122</f>
        <v>PRV0057</v>
      </c>
      <c r="D1122" s="1">
        <f>'Claims Data'!D1122</f>
        <v>45036</v>
      </c>
      <c r="E1122">
        <f>'Claims Data'!H1122</f>
        <v>2.1</v>
      </c>
      <c r="F1122">
        <f>'Claims Data'!J1122</f>
        <v>148.07</v>
      </c>
      <c r="G1122">
        <f>'Claims Data'!M1122</f>
        <v>0</v>
      </c>
      <c r="H1122" t="b">
        <f>'Claims Data'!L1122</f>
        <v>0</v>
      </c>
      <c r="I1122">
        <f t="shared" si="34"/>
        <v>0</v>
      </c>
      <c r="J1122" t="str">
        <f t="shared" si="35"/>
        <v>Low Risk</v>
      </c>
    </row>
    <row r="1123" spans="1:10" x14ac:dyDescent="0.2">
      <c r="A1123" t="str">
        <f>'Claims Data'!A1123</f>
        <v>CLM01122</v>
      </c>
      <c r="B1123" t="str">
        <f>'Claims Data'!B1123</f>
        <v>PAT0156</v>
      </c>
      <c r="C1123" t="str">
        <f>'Claims Data'!C1123</f>
        <v>PRV0049</v>
      </c>
      <c r="D1123" s="1">
        <f>'Claims Data'!D1123</f>
        <v>45520</v>
      </c>
      <c r="E1123">
        <f>'Claims Data'!H1123</f>
        <v>3.9</v>
      </c>
      <c r="F1123">
        <f>'Claims Data'!J1123</f>
        <v>142.56</v>
      </c>
      <c r="G1123">
        <f>'Claims Data'!M1123</f>
        <v>0</v>
      </c>
      <c r="H1123" t="b">
        <f>'Claims Data'!L1123</f>
        <v>0</v>
      </c>
      <c r="I1123">
        <f t="shared" si="34"/>
        <v>0</v>
      </c>
      <c r="J1123" t="str">
        <f t="shared" si="35"/>
        <v>Low Risk</v>
      </c>
    </row>
    <row r="1124" spans="1:10" x14ac:dyDescent="0.2">
      <c r="A1124" t="str">
        <f>'Claims Data'!A1124</f>
        <v>CLM01123</v>
      </c>
      <c r="B1124" t="str">
        <f>'Claims Data'!B1124</f>
        <v>PAT0259</v>
      </c>
      <c r="C1124" t="str">
        <f>'Claims Data'!C1124</f>
        <v>PRV0018</v>
      </c>
      <c r="D1124" s="1">
        <f>'Claims Data'!D1124</f>
        <v>45642</v>
      </c>
      <c r="E1124">
        <f>'Claims Data'!H1124</f>
        <v>6.6</v>
      </c>
      <c r="F1124">
        <f>'Claims Data'!J1124</f>
        <v>430.77</v>
      </c>
      <c r="G1124">
        <f>'Claims Data'!M1124</f>
        <v>0</v>
      </c>
      <c r="H1124" t="b">
        <f>'Claims Data'!L1124</f>
        <v>0</v>
      </c>
      <c r="I1124">
        <f t="shared" si="34"/>
        <v>0</v>
      </c>
      <c r="J1124" t="str">
        <f t="shared" si="35"/>
        <v>Low Risk</v>
      </c>
    </row>
    <row r="1125" spans="1:10" x14ac:dyDescent="0.2">
      <c r="A1125" t="str">
        <f>'Claims Data'!A1125</f>
        <v>CLM01124</v>
      </c>
      <c r="B1125" t="str">
        <f>'Claims Data'!B1125</f>
        <v>PAT0056</v>
      </c>
      <c r="C1125" t="str">
        <f>'Claims Data'!C1125</f>
        <v>PRV0054</v>
      </c>
      <c r="D1125" s="1">
        <f>'Claims Data'!D1125</f>
        <v>45131</v>
      </c>
      <c r="E1125">
        <f>'Claims Data'!H1125</f>
        <v>2.9</v>
      </c>
      <c r="F1125">
        <f>'Claims Data'!J1125</f>
        <v>92.42</v>
      </c>
      <c r="G1125" t="str">
        <f>'Claims Data'!M1125</f>
        <v>duplicate_claim</v>
      </c>
      <c r="H1125" t="b">
        <f>'Claims Data'!L1125</f>
        <v>1</v>
      </c>
      <c r="I1125">
        <f t="shared" si="34"/>
        <v>10</v>
      </c>
      <c r="J1125" t="str">
        <f t="shared" si="35"/>
        <v>Low Risk</v>
      </c>
    </row>
    <row r="1126" spans="1:10" x14ac:dyDescent="0.2">
      <c r="A1126" t="str">
        <f>'Claims Data'!A1126</f>
        <v>CLM01125</v>
      </c>
      <c r="B1126" t="str">
        <f>'Claims Data'!B1126</f>
        <v>PAT0286</v>
      </c>
      <c r="C1126" t="str">
        <f>'Claims Data'!C1126</f>
        <v>PRV0007</v>
      </c>
      <c r="D1126" s="1">
        <f>'Claims Data'!D1126</f>
        <v>45154</v>
      </c>
      <c r="E1126">
        <f>'Claims Data'!H1126</f>
        <v>3.2</v>
      </c>
      <c r="F1126">
        <f>'Claims Data'!J1126</f>
        <v>147.26</v>
      </c>
      <c r="G1126">
        <f>'Claims Data'!M1126</f>
        <v>0</v>
      </c>
      <c r="H1126" t="b">
        <f>'Claims Data'!L1126</f>
        <v>0</v>
      </c>
      <c r="I1126">
        <f t="shared" si="34"/>
        <v>0</v>
      </c>
      <c r="J1126" t="str">
        <f t="shared" si="35"/>
        <v>Low Risk</v>
      </c>
    </row>
    <row r="1127" spans="1:10" x14ac:dyDescent="0.2">
      <c r="A1127" t="str">
        <f>'Claims Data'!A1127</f>
        <v>CLM01126</v>
      </c>
      <c r="B1127" t="str">
        <f>'Claims Data'!B1127</f>
        <v>PAT0003</v>
      </c>
      <c r="C1127" t="str">
        <f>'Claims Data'!C1127</f>
        <v>PRV0014</v>
      </c>
      <c r="D1127" s="1">
        <f>'Claims Data'!D1127</f>
        <v>45090</v>
      </c>
      <c r="E1127">
        <f>'Claims Data'!H1127</f>
        <v>2.8</v>
      </c>
      <c r="F1127">
        <f>'Claims Data'!J1127</f>
        <v>188.33</v>
      </c>
      <c r="G1127">
        <f>'Claims Data'!M1127</f>
        <v>0</v>
      </c>
      <c r="H1127" t="b">
        <f>'Claims Data'!L1127</f>
        <v>0</v>
      </c>
      <c r="I1127">
        <f t="shared" si="34"/>
        <v>0</v>
      </c>
      <c r="J1127" t="str">
        <f t="shared" si="35"/>
        <v>Low Risk</v>
      </c>
    </row>
    <row r="1128" spans="1:10" x14ac:dyDescent="0.2">
      <c r="A1128" t="str">
        <f>'Claims Data'!A1128</f>
        <v>CLM01127</v>
      </c>
      <c r="B1128" t="str">
        <f>'Claims Data'!B1128</f>
        <v>PAT0179</v>
      </c>
      <c r="C1128" t="str">
        <f>'Claims Data'!C1128</f>
        <v>PRV0060</v>
      </c>
      <c r="D1128" s="1">
        <f>'Claims Data'!D1128</f>
        <v>45166</v>
      </c>
      <c r="E1128">
        <f>'Claims Data'!H1128</f>
        <v>3</v>
      </c>
      <c r="F1128">
        <f>'Claims Data'!J1128</f>
        <v>131.05000000000001</v>
      </c>
      <c r="G1128">
        <f>'Claims Data'!M1128</f>
        <v>0</v>
      </c>
      <c r="H1128" t="b">
        <f>'Claims Data'!L1128</f>
        <v>0</v>
      </c>
      <c r="I1128">
        <f t="shared" si="34"/>
        <v>0</v>
      </c>
      <c r="J1128" t="str">
        <f t="shared" si="35"/>
        <v>Low Risk</v>
      </c>
    </row>
    <row r="1129" spans="1:10" x14ac:dyDescent="0.2">
      <c r="A1129" t="str">
        <f>'Claims Data'!A1129</f>
        <v>CLM01128</v>
      </c>
      <c r="B1129" t="str">
        <f>'Claims Data'!B1129</f>
        <v>PAT0247</v>
      </c>
      <c r="C1129" t="str">
        <f>'Claims Data'!C1129</f>
        <v>PRV0006</v>
      </c>
      <c r="D1129" s="1">
        <f>'Claims Data'!D1129</f>
        <v>45034</v>
      </c>
      <c r="E1129">
        <f>'Claims Data'!H1129</f>
        <v>2.2999999999999998</v>
      </c>
      <c r="F1129">
        <f>'Claims Data'!J1129</f>
        <v>61.5</v>
      </c>
      <c r="G1129">
        <f>'Claims Data'!M1129</f>
        <v>0</v>
      </c>
      <c r="H1129" t="b">
        <f>'Claims Data'!L1129</f>
        <v>0</v>
      </c>
      <c r="I1129">
        <f t="shared" si="34"/>
        <v>0</v>
      </c>
      <c r="J1129" t="str">
        <f t="shared" si="35"/>
        <v>Low Risk</v>
      </c>
    </row>
    <row r="1130" spans="1:10" x14ac:dyDescent="0.2">
      <c r="A1130" t="str">
        <f>'Claims Data'!A1130</f>
        <v>CLM01129</v>
      </c>
      <c r="B1130" t="str">
        <f>'Claims Data'!B1130</f>
        <v>PAT0245</v>
      </c>
      <c r="C1130" t="str">
        <f>'Claims Data'!C1130</f>
        <v>PRV0042</v>
      </c>
      <c r="D1130" s="1">
        <f>'Claims Data'!D1130</f>
        <v>45409</v>
      </c>
      <c r="E1130">
        <f>'Claims Data'!H1130</f>
        <v>2.6</v>
      </c>
      <c r="F1130">
        <f>'Claims Data'!J1130</f>
        <v>73.39</v>
      </c>
      <c r="G1130">
        <f>'Claims Data'!M1130</f>
        <v>0</v>
      </c>
      <c r="H1130" t="b">
        <f>'Claims Data'!L1130</f>
        <v>0</v>
      </c>
      <c r="I1130">
        <f t="shared" si="34"/>
        <v>0</v>
      </c>
      <c r="J1130" t="str">
        <f t="shared" si="35"/>
        <v>Low Risk</v>
      </c>
    </row>
    <row r="1131" spans="1:10" x14ac:dyDescent="0.2">
      <c r="A1131" t="str">
        <f>'Claims Data'!A1131</f>
        <v>CLM01130</v>
      </c>
      <c r="B1131" t="str">
        <f>'Claims Data'!B1131</f>
        <v>PAT0124</v>
      </c>
      <c r="C1131" t="str">
        <f>'Claims Data'!C1131</f>
        <v>PRV0027</v>
      </c>
      <c r="D1131" s="1">
        <f>'Claims Data'!D1131</f>
        <v>38796</v>
      </c>
      <c r="E1131">
        <f>'Claims Data'!H1131</f>
        <v>3.1</v>
      </c>
      <c r="F1131">
        <f>'Claims Data'!J1131</f>
        <v>188.38</v>
      </c>
      <c r="G1131" t="str">
        <f>'Claims Data'!M1131</f>
        <v>deceased_patient_billing</v>
      </c>
      <c r="H1131" t="b">
        <f>'Claims Data'!L1131</f>
        <v>1</v>
      </c>
      <c r="I1131">
        <f t="shared" si="34"/>
        <v>10</v>
      </c>
      <c r="J1131" t="str">
        <f t="shared" si="35"/>
        <v>Low Risk</v>
      </c>
    </row>
    <row r="1132" spans="1:10" x14ac:dyDescent="0.2">
      <c r="A1132" t="str">
        <f>'Claims Data'!A1132</f>
        <v>CLM01131</v>
      </c>
      <c r="B1132" t="str">
        <f>'Claims Data'!B1132</f>
        <v>PAT0230</v>
      </c>
      <c r="C1132" t="str">
        <f>'Claims Data'!C1132</f>
        <v>PRV0040</v>
      </c>
      <c r="D1132" s="1">
        <f>'Claims Data'!D1132</f>
        <v>44951</v>
      </c>
      <c r="E1132">
        <f>'Claims Data'!H1132</f>
        <v>5.7</v>
      </c>
      <c r="F1132">
        <f>'Claims Data'!J1132</f>
        <v>249.35</v>
      </c>
      <c r="G1132">
        <f>'Claims Data'!M1132</f>
        <v>0</v>
      </c>
      <c r="H1132" t="b">
        <f>'Claims Data'!L1132</f>
        <v>0</v>
      </c>
      <c r="I1132">
        <f t="shared" si="34"/>
        <v>0</v>
      </c>
      <c r="J1132" t="str">
        <f t="shared" si="35"/>
        <v>Low Risk</v>
      </c>
    </row>
    <row r="1133" spans="1:10" x14ac:dyDescent="0.2">
      <c r="A1133" t="str">
        <f>'Claims Data'!A1133</f>
        <v>CLM01132</v>
      </c>
      <c r="B1133" t="str">
        <f>'Claims Data'!B1133</f>
        <v>PAT0263</v>
      </c>
      <c r="C1133" t="str">
        <f>'Claims Data'!C1133</f>
        <v>PRV0045</v>
      </c>
      <c r="D1133" s="1">
        <f>'Claims Data'!D1133</f>
        <v>45584</v>
      </c>
      <c r="E1133">
        <f>'Claims Data'!H1133</f>
        <v>7.8</v>
      </c>
      <c r="F1133">
        <f>'Claims Data'!J1133</f>
        <v>548.69000000000005</v>
      </c>
      <c r="G1133">
        <f>'Claims Data'!M1133</f>
        <v>0</v>
      </c>
      <c r="H1133" t="b">
        <f>'Claims Data'!L1133</f>
        <v>0</v>
      </c>
      <c r="I1133">
        <f t="shared" si="34"/>
        <v>0</v>
      </c>
      <c r="J1133" t="str">
        <f t="shared" si="35"/>
        <v>Low Risk</v>
      </c>
    </row>
    <row r="1134" spans="1:10" x14ac:dyDescent="0.2">
      <c r="A1134" t="str">
        <f>'Claims Data'!A1134</f>
        <v>CLM01133</v>
      </c>
      <c r="B1134" t="str">
        <f>'Claims Data'!B1134</f>
        <v>PAT0274</v>
      </c>
      <c r="C1134" t="str">
        <f>'Claims Data'!C1134</f>
        <v>PRV0008</v>
      </c>
      <c r="D1134" s="1">
        <f>'Claims Data'!D1134</f>
        <v>45231</v>
      </c>
      <c r="E1134">
        <f>'Claims Data'!H1134</f>
        <v>2.6</v>
      </c>
      <c r="F1134">
        <f>'Claims Data'!J1134</f>
        <v>190.17</v>
      </c>
      <c r="G1134">
        <f>'Claims Data'!M1134</f>
        <v>0</v>
      </c>
      <c r="H1134" t="b">
        <f>'Claims Data'!L1134</f>
        <v>0</v>
      </c>
      <c r="I1134">
        <f t="shared" si="34"/>
        <v>0</v>
      </c>
      <c r="J1134" t="str">
        <f t="shared" si="35"/>
        <v>Low Risk</v>
      </c>
    </row>
    <row r="1135" spans="1:10" x14ac:dyDescent="0.2">
      <c r="A1135" t="str">
        <f>'Claims Data'!A1135</f>
        <v>CLM01134</v>
      </c>
      <c r="B1135" t="str">
        <f>'Claims Data'!B1135</f>
        <v>PAT0215</v>
      </c>
      <c r="C1135" t="str">
        <f>'Claims Data'!C1135</f>
        <v>PRV0046</v>
      </c>
      <c r="D1135" s="1">
        <f>'Claims Data'!D1135</f>
        <v>45131</v>
      </c>
      <c r="E1135">
        <f>'Claims Data'!H1135</f>
        <v>2.6</v>
      </c>
      <c r="F1135">
        <f>'Claims Data'!J1135</f>
        <v>113.42</v>
      </c>
      <c r="G1135">
        <f>'Claims Data'!M1135</f>
        <v>0</v>
      </c>
      <c r="H1135" t="b">
        <f>'Claims Data'!L1135</f>
        <v>0</v>
      </c>
      <c r="I1135">
        <f t="shared" si="34"/>
        <v>0</v>
      </c>
      <c r="J1135" t="str">
        <f t="shared" si="35"/>
        <v>Low Risk</v>
      </c>
    </row>
    <row r="1136" spans="1:10" x14ac:dyDescent="0.2">
      <c r="A1136" t="str">
        <f>'Claims Data'!A1136</f>
        <v>CLM01135</v>
      </c>
      <c r="B1136" t="str">
        <f>'Claims Data'!B1136</f>
        <v>PAT0043</v>
      </c>
      <c r="C1136" t="str">
        <f>'Claims Data'!C1136</f>
        <v>PRV0052</v>
      </c>
      <c r="D1136" s="1">
        <f>'Claims Data'!D1136</f>
        <v>45312</v>
      </c>
      <c r="E1136">
        <f>'Claims Data'!H1136</f>
        <v>23.5</v>
      </c>
      <c r="F1136">
        <f>'Claims Data'!J1136</f>
        <v>1923.48</v>
      </c>
      <c r="G1136" t="str">
        <f>'Claims Data'!M1136</f>
        <v>inflated_hours</v>
      </c>
      <c r="H1136" t="b">
        <f>'Claims Data'!L1136</f>
        <v>1</v>
      </c>
      <c r="I1136">
        <f t="shared" si="34"/>
        <v>50</v>
      </c>
      <c r="J1136" t="str">
        <f t="shared" si="35"/>
        <v>Medium Risk</v>
      </c>
    </row>
    <row r="1137" spans="1:10" x14ac:dyDescent="0.2">
      <c r="A1137" t="str">
        <f>'Claims Data'!A1137</f>
        <v>CLM01136</v>
      </c>
      <c r="B1137" t="str">
        <f>'Claims Data'!B1137</f>
        <v>PAT0041</v>
      </c>
      <c r="C1137" t="str">
        <f>'Claims Data'!C1137</f>
        <v>PRV0048</v>
      </c>
      <c r="D1137" s="1">
        <f>'Claims Data'!D1137</f>
        <v>45581</v>
      </c>
      <c r="E1137">
        <f>'Claims Data'!H1137</f>
        <v>7.5</v>
      </c>
      <c r="F1137">
        <f>'Claims Data'!J1137</f>
        <v>363.93</v>
      </c>
      <c r="G1137">
        <f>'Claims Data'!M1137</f>
        <v>0</v>
      </c>
      <c r="H1137" t="b">
        <f>'Claims Data'!L1137</f>
        <v>0</v>
      </c>
      <c r="I1137">
        <f t="shared" si="34"/>
        <v>0</v>
      </c>
      <c r="J1137" t="str">
        <f t="shared" si="35"/>
        <v>Low Risk</v>
      </c>
    </row>
    <row r="1138" spans="1:10" x14ac:dyDescent="0.2">
      <c r="A1138" t="str">
        <f>'Claims Data'!A1138</f>
        <v>CLM01137</v>
      </c>
      <c r="B1138" t="str">
        <f>'Claims Data'!B1138</f>
        <v>PAT0121</v>
      </c>
      <c r="C1138" t="str">
        <f>'Claims Data'!C1138</f>
        <v>PRV0003</v>
      </c>
      <c r="D1138" s="1">
        <f>'Claims Data'!D1138</f>
        <v>45039</v>
      </c>
      <c r="E1138">
        <f>'Claims Data'!H1138</f>
        <v>6.7</v>
      </c>
      <c r="F1138">
        <f>'Claims Data'!J1138</f>
        <v>522.23</v>
      </c>
      <c r="G1138">
        <f>'Claims Data'!M1138</f>
        <v>0</v>
      </c>
      <c r="H1138" t="b">
        <f>'Claims Data'!L1138</f>
        <v>0</v>
      </c>
      <c r="I1138">
        <f t="shared" si="34"/>
        <v>0</v>
      </c>
      <c r="J1138" t="str">
        <f t="shared" si="35"/>
        <v>Low Risk</v>
      </c>
    </row>
    <row r="1139" spans="1:10" x14ac:dyDescent="0.2">
      <c r="A1139" t="str">
        <f>'Claims Data'!A1139</f>
        <v>CLM01138</v>
      </c>
      <c r="B1139" t="str">
        <f>'Claims Data'!B1139</f>
        <v>PAT0108</v>
      </c>
      <c r="C1139" t="str">
        <f>'Claims Data'!C1139</f>
        <v>PRV0058</v>
      </c>
      <c r="D1139" s="1">
        <f>'Claims Data'!D1139</f>
        <v>45109</v>
      </c>
      <c r="E1139">
        <f>'Claims Data'!H1139</f>
        <v>2.2000000000000002</v>
      </c>
      <c r="F1139">
        <f>'Claims Data'!J1139</f>
        <v>117.74</v>
      </c>
      <c r="G1139">
        <f>'Claims Data'!M1139</f>
        <v>0</v>
      </c>
      <c r="H1139" t="b">
        <f>'Claims Data'!L1139</f>
        <v>0</v>
      </c>
      <c r="I1139">
        <f t="shared" si="34"/>
        <v>0</v>
      </c>
      <c r="J1139" t="str">
        <f t="shared" si="35"/>
        <v>Low Risk</v>
      </c>
    </row>
    <row r="1140" spans="1:10" x14ac:dyDescent="0.2">
      <c r="A1140" t="str">
        <f>'Claims Data'!A1140</f>
        <v>CLM01139</v>
      </c>
      <c r="B1140" t="str">
        <f>'Claims Data'!B1140</f>
        <v>PAT0083</v>
      </c>
      <c r="C1140" t="str">
        <f>'Claims Data'!C1140</f>
        <v>PRV0017</v>
      </c>
      <c r="D1140" s="1">
        <f>'Claims Data'!D1140</f>
        <v>45147</v>
      </c>
      <c r="E1140">
        <f>'Claims Data'!H1140</f>
        <v>4.8</v>
      </c>
      <c r="F1140">
        <f>'Claims Data'!J1140</f>
        <v>169.19</v>
      </c>
      <c r="G1140">
        <f>'Claims Data'!M1140</f>
        <v>0</v>
      </c>
      <c r="H1140" t="b">
        <f>'Claims Data'!L1140</f>
        <v>0</v>
      </c>
      <c r="I1140">
        <f t="shared" si="34"/>
        <v>0</v>
      </c>
      <c r="J1140" t="str">
        <f t="shared" si="35"/>
        <v>Low Risk</v>
      </c>
    </row>
    <row r="1141" spans="1:10" x14ac:dyDescent="0.2">
      <c r="A1141" t="str">
        <f>'Claims Data'!A1141</f>
        <v>CLM01140</v>
      </c>
      <c r="B1141" t="str">
        <f>'Claims Data'!B1141</f>
        <v>PAT0045</v>
      </c>
      <c r="C1141" t="str">
        <f>'Claims Data'!C1141</f>
        <v>PRV0058</v>
      </c>
      <c r="D1141" s="1">
        <f>'Claims Data'!D1141</f>
        <v>45359</v>
      </c>
      <c r="E1141">
        <f>'Claims Data'!H1141</f>
        <v>5</v>
      </c>
      <c r="F1141">
        <f>'Claims Data'!J1141</f>
        <v>246.71</v>
      </c>
      <c r="G1141">
        <f>'Claims Data'!M1141</f>
        <v>0</v>
      </c>
      <c r="H1141" t="b">
        <f>'Claims Data'!L1141</f>
        <v>0</v>
      </c>
      <c r="I1141">
        <f t="shared" si="34"/>
        <v>0</v>
      </c>
      <c r="J1141" t="str">
        <f t="shared" si="35"/>
        <v>Low Risk</v>
      </c>
    </row>
    <row r="1142" spans="1:10" x14ac:dyDescent="0.2">
      <c r="A1142" t="str">
        <f>'Claims Data'!A1142</f>
        <v>CLM01141</v>
      </c>
      <c r="B1142" t="str">
        <f>'Claims Data'!B1142</f>
        <v>PAT0211</v>
      </c>
      <c r="C1142" t="str">
        <f>'Claims Data'!C1142</f>
        <v>PRV0054</v>
      </c>
      <c r="D1142" s="1">
        <f>'Claims Data'!D1142</f>
        <v>45074</v>
      </c>
      <c r="E1142">
        <f>'Claims Data'!H1142</f>
        <v>4</v>
      </c>
      <c r="F1142">
        <f>'Claims Data'!J1142</f>
        <v>255.87</v>
      </c>
      <c r="G1142">
        <f>'Claims Data'!M1142</f>
        <v>0</v>
      </c>
      <c r="H1142" t="b">
        <f>'Claims Data'!L1142</f>
        <v>0</v>
      </c>
      <c r="I1142">
        <f t="shared" si="34"/>
        <v>0</v>
      </c>
      <c r="J1142" t="str">
        <f t="shared" si="35"/>
        <v>Low Risk</v>
      </c>
    </row>
    <row r="1143" spans="1:10" x14ac:dyDescent="0.2">
      <c r="A1143" t="str">
        <f>'Claims Data'!A1143</f>
        <v>CLM01142</v>
      </c>
      <c r="B1143" t="str">
        <f>'Claims Data'!B1143</f>
        <v>PAT0187</v>
      </c>
      <c r="C1143" t="str">
        <f>'Claims Data'!C1143</f>
        <v>PRV0027</v>
      </c>
      <c r="D1143" s="1">
        <f>'Claims Data'!D1143</f>
        <v>45589</v>
      </c>
      <c r="E1143">
        <f>'Claims Data'!H1143</f>
        <v>4.4000000000000004</v>
      </c>
      <c r="F1143">
        <f>'Claims Data'!J1143</f>
        <v>219.15</v>
      </c>
      <c r="G1143">
        <f>'Claims Data'!M1143</f>
        <v>0</v>
      </c>
      <c r="H1143" t="b">
        <f>'Claims Data'!L1143</f>
        <v>0</v>
      </c>
      <c r="I1143">
        <f t="shared" si="34"/>
        <v>0</v>
      </c>
      <c r="J1143" t="str">
        <f t="shared" si="35"/>
        <v>Low Risk</v>
      </c>
    </row>
    <row r="1144" spans="1:10" x14ac:dyDescent="0.2">
      <c r="A1144" t="str">
        <f>'Claims Data'!A1144</f>
        <v>CLM01143</v>
      </c>
      <c r="B1144" t="str">
        <f>'Claims Data'!B1144</f>
        <v>PAT0198</v>
      </c>
      <c r="C1144" t="str">
        <f>'Claims Data'!C1144</f>
        <v>PRV0048</v>
      </c>
      <c r="D1144" s="1">
        <f>'Claims Data'!D1144</f>
        <v>44954</v>
      </c>
      <c r="E1144">
        <f>'Claims Data'!H1144</f>
        <v>5.3</v>
      </c>
      <c r="F1144">
        <f>'Claims Data'!J1144</f>
        <v>442.2</v>
      </c>
      <c r="G1144">
        <f>'Claims Data'!M1144</f>
        <v>0</v>
      </c>
      <c r="H1144" t="b">
        <f>'Claims Data'!L1144</f>
        <v>0</v>
      </c>
      <c r="I1144">
        <f t="shared" si="34"/>
        <v>0</v>
      </c>
      <c r="J1144" t="str">
        <f t="shared" si="35"/>
        <v>Low Risk</v>
      </c>
    </row>
    <row r="1145" spans="1:10" x14ac:dyDescent="0.2">
      <c r="A1145" t="str">
        <f>'Claims Data'!A1145</f>
        <v>CLM01144</v>
      </c>
      <c r="B1145" t="str">
        <f>'Claims Data'!B1145</f>
        <v>PAT0201</v>
      </c>
      <c r="C1145" t="str">
        <f>'Claims Data'!C1145</f>
        <v>PRV0044</v>
      </c>
      <c r="D1145" s="1">
        <f>'Claims Data'!D1145</f>
        <v>44975</v>
      </c>
      <c r="E1145">
        <f>'Claims Data'!H1145</f>
        <v>4</v>
      </c>
      <c r="F1145">
        <f>'Claims Data'!J1145</f>
        <v>295.33999999999997</v>
      </c>
      <c r="G1145">
        <f>'Claims Data'!M1145</f>
        <v>0</v>
      </c>
      <c r="H1145" t="b">
        <f>'Claims Data'!L1145</f>
        <v>0</v>
      </c>
      <c r="I1145">
        <f t="shared" si="34"/>
        <v>0</v>
      </c>
      <c r="J1145" t="str">
        <f t="shared" si="35"/>
        <v>Low Risk</v>
      </c>
    </row>
    <row r="1146" spans="1:10" x14ac:dyDescent="0.2">
      <c r="A1146" t="str">
        <f>'Claims Data'!A1146</f>
        <v>CLM01145</v>
      </c>
      <c r="B1146" t="str">
        <f>'Claims Data'!B1146</f>
        <v>PAT0276</v>
      </c>
      <c r="C1146" t="str">
        <f>'Claims Data'!C1146</f>
        <v>PRV0008</v>
      </c>
      <c r="D1146" s="1">
        <f>'Claims Data'!D1146</f>
        <v>45544</v>
      </c>
      <c r="E1146">
        <f>'Claims Data'!H1146</f>
        <v>6.7</v>
      </c>
      <c r="F1146">
        <f>'Claims Data'!J1146</f>
        <v>342.51</v>
      </c>
      <c r="G1146">
        <f>'Claims Data'!M1146</f>
        <v>0</v>
      </c>
      <c r="H1146" t="b">
        <f>'Claims Data'!L1146</f>
        <v>0</v>
      </c>
      <c r="I1146">
        <f t="shared" si="34"/>
        <v>0</v>
      </c>
      <c r="J1146" t="str">
        <f t="shared" si="35"/>
        <v>Low Risk</v>
      </c>
    </row>
    <row r="1147" spans="1:10" x14ac:dyDescent="0.2">
      <c r="A1147" t="str">
        <f>'Claims Data'!A1147</f>
        <v>CLM01146</v>
      </c>
      <c r="B1147" t="str">
        <f>'Claims Data'!B1147</f>
        <v>PAT0103</v>
      </c>
      <c r="C1147" t="str">
        <f>'Claims Data'!C1147</f>
        <v>PRV0054</v>
      </c>
      <c r="D1147" s="1">
        <f>'Claims Data'!D1147</f>
        <v>45213</v>
      </c>
      <c r="E1147">
        <f>'Claims Data'!H1147</f>
        <v>3</v>
      </c>
      <c r="F1147">
        <f>'Claims Data'!J1147</f>
        <v>195.53</v>
      </c>
      <c r="G1147">
        <f>'Claims Data'!M1147</f>
        <v>0</v>
      </c>
      <c r="H1147" t="b">
        <f>'Claims Data'!L1147</f>
        <v>0</v>
      </c>
      <c r="I1147">
        <f t="shared" si="34"/>
        <v>0</v>
      </c>
      <c r="J1147" t="str">
        <f t="shared" si="35"/>
        <v>Low Risk</v>
      </c>
    </row>
    <row r="1148" spans="1:10" x14ac:dyDescent="0.2">
      <c r="A1148" t="str">
        <f>'Claims Data'!A1148</f>
        <v>CLM01147</v>
      </c>
      <c r="B1148" t="str">
        <f>'Claims Data'!B1148</f>
        <v>PAT0240</v>
      </c>
      <c r="C1148" t="str">
        <f>'Claims Data'!C1148</f>
        <v>PRV0055</v>
      </c>
      <c r="D1148" s="1">
        <f>'Claims Data'!D1148</f>
        <v>45625</v>
      </c>
      <c r="E1148">
        <f>'Claims Data'!H1148</f>
        <v>2.7</v>
      </c>
      <c r="F1148">
        <f>'Claims Data'!J1148</f>
        <v>164.06</v>
      </c>
      <c r="G1148">
        <f>'Claims Data'!M1148</f>
        <v>0</v>
      </c>
      <c r="H1148" t="b">
        <f>'Claims Data'!L1148</f>
        <v>0</v>
      </c>
      <c r="I1148">
        <f t="shared" si="34"/>
        <v>0</v>
      </c>
      <c r="J1148" t="str">
        <f t="shared" si="35"/>
        <v>Low Risk</v>
      </c>
    </row>
    <row r="1149" spans="1:10" x14ac:dyDescent="0.2">
      <c r="A1149" t="str">
        <f>'Claims Data'!A1149</f>
        <v>CLM01148</v>
      </c>
      <c r="B1149" t="str">
        <f>'Claims Data'!B1149</f>
        <v>PAT0103</v>
      </c>
      <c r="C1149" t="str">
        <f>'Claims Data'!C1149</f>
        <v>PRV0039</v>
      </c>
      <c r="D1149" s="1">
        <f>'Claims Data'!D1149</f>
        <v>45518</v>
      </c>
      <c r="E1149">
        <f>'Claims Data'!H1149</f>
        <v>6.9</v>
      </c>
      <c r="F1149">
        <f>'Claims Data'!J1149</f>
        <v>245.44</v>
      </c>
      <c r="G1149">
        <f>'Claims Data'!M1149</f>
        <v>0</v>
      </c>
      <c r="H1149" t="b">
        <f>'Claims Data'!L1149</f>
        <v>0</v>
      </c>
      <c r="I1149">
        <f t="shared" si="34"/>
        <v>0</v>
      </c>
      <c r="J1149" t="str">
        <f t="shared" si="35"/>
        <v>Low Risk</v>
      </c>
    </row>
    <row r="1150" spans="1:10" x14ac:dyDescent="0.2">
      <c r="A1150" t="str">
        <f>'Claims Data'!A1150</f>
        <v>CLM01149</v>
      </c>
      <c r="B1150" t="str">
        <f>'Claims Data'!B1150</f>
        <v>PAT0078</v>
      </c>
      <c r="C1150" t="str">
        <f>'Claims Data'!C1150</f>
        <v>PRV0055</v>
      </c>
      <c r="D1150" s="1">
        <f>'Claims Data'!D1150</f>
        <v>45255</v>
      </c>
      <c r="E1150">
        <f>'Claims Data'!H1150</f>
        <v>5.6</v>
      </c>
      <c r="F1150">
        <f>'Claims Data'!J1150</f>
        <v>370.33</v>
      </c>
      <c r="G1150">
        <f>'Claims Data'!M1150</f>
        <v>0</v>
      </c>
      <c r="H1150" t="b">
        <f>'Claims Data'!L1150</f>
        <v>0</v>
      </c>
      <c r="I1150">
        <f t="shared" si="34"/>
        <v>0</v>
      </c>
      <c r="J1150" t="str">
        <f t="shared" si="35"/>
        <v>Low Risk</v>
      </c>
    </row>
    <row r="1151" spans="1:10" x14ac:dyDescent="0.2">
      <c r="A1151" t="str">
        <f>'Claims Data'!A1151</f>
        <v>CLM01150</v>
      </c>
      <c r="B1151" t="str">
        <f>'Claims Data'!B1151</f>
        <v>PAT0010</v>
      </c>
      <c r="C1151" t="str">
        <f>'Claims Data'!C1151</f>
        <v>PRV0037</v>
      </c>
      <c r="D1151" s="1">
        <f>'Claims Data'!D1151</f>
        <v>45649</v>
      </c>
      <c r="E1151">
        <f>'Claims Data'!H1151</f>
        <v>4</v>
      </c>
      <c r="F1151">
        <f>'Claims Data'!J1151</f>
        <v>254.8</v>
      </c>
      <c r="G1151">
        <f>'Claims Data'!M1151</f>
        <v>0</v>
      </c>
      <c r="H1151" t="b">
        <f>'Claims Data'!L1151</f>
        <v>0</v>
      </c>
      <c r="I1151">
        <f t="shared" si="34"/>
        <v>0</v>
      </c>
      <c r="J1151" t="str">
        <f t="shared" si="35"/>
        <v>Low Risk</v>
      </c>
    </row>
    <row r="1152" spans="1:10" x14ac:dyDescent="0.2">
      <c r="A1152" t="str">
        <f>'Claims Data'!A1152</f>
        <v>CLM01151</v>
      </c>
      <c r="B1152" t="str">
        <f>'Claims Data'!B1152</f>
        <v>PAT0189</v>
      </c>
      <c r="C1152" t="str">
        <f>'Claims Data'!C1152</f>
        <v>PRV0059</v>
      </c>
      <c r="D1152" s="1">
        <f>'Claims Data'!D1152</f>
        <v>44999</v>
      </c>
      <c r="E1152">
        <f>'Claims Data'!H1152</f>
        <v>3.3</v>
      </c>
      <c r="F1152">
        <f>'Claims Data'!J1152</f>
        <v>110.01</v>
      </c>
      <c r="G1152">
        <f>'Claims Data'!M1152</f>
        <v>0</v>
      </c>
      <c r="H1152" t="b">
        <f>'Claims Data'!L1152</f>
        <v>0</v>
      </c>
      <c r="I1152">
        <f t="shared" si="34"/>
        <v>0</v>
      </c>
      <c r="J1152" t="str">
        <f t="shared" si="35"/>
        <v>Low Risk</v>
      </c>
    </row>
    <row r="1153" spans="1:10" x14ac:dyDescent="0.2">
      <c r="A1153" t="str">
        <f>'Claims Data'!A1153</f>
        <v>CLM01152</v>
      </c>
      <c r="B1153" t="str">
        <f>'Claims Data'!B1153</f>
        <v>PAT0091</v>
      </c>
      <c r="C1153" t="str">
        <f>'Claims Data'!C1153</f>
        <v>PRV0031</v>
      </c>
      <c r="D1153" s="1">
        <f>'Claims Data'!D1153</f>
        <v>45442</v>
      </c>
      <c r="E1153">
        <f>'Claims Data'!H1153</f>
        <v>6.5</v>
      </c>
      <c r="F1153">
        <f>'Claims Data'!J1153</f>
        <v>420.24</v>
      </c>
      <c r="G1153">
        <f>'Claims Data'!M1153</f>
        <v>0</v>
      </c>
      <c r="H1153" t="b">
        <f>'Claims Data'!L1153</f>
        <v>0</v>
      </c>
      <c r="I1153">
        <f t="shared" si="34"/>
        <v>0</v>
      </c>
      <c r="J1153" t="str">
        <f t="shared" si="35"/>
        <v>Low Risk</v>
      </c>
    </row>
    <row r="1154" spans="1:10" x14ac:dyDescent="0.2">
      <c r="A1154" t="str">
        <f>'Claims Data'!A1154</f>
        <v>CLM01153</v>
      </c>
      <c r="B1154" t="str">
        <f>'Claims Data'!B1154</f>
        <v>PAT0061</v>
      </c>
      <c r="C1154" t="str">
        <f>'Claims Data'!C1154</f>
        <v>PRV0054</v>
      </c>
      <c r="D1154" s="1">
        <f>'Claims Data'!D1154</f>
        <v>45141</v>
      </c>
      <c r="E1154">
        <f>'Claims Data'!H1154</f>
        <v>4.3</v>
      </c>
      <c r="F1154">
        <f>'Claims Data'!J1154</f>
        <v>256.61</v>
      </c>
      <c r="G1154">
        <f>'Claims Data'!M1154</f>
        <v>0</v>
      </c>
      <c r="H1154" t="b">
        <f>'Claims Data'!L1154</f>
        <v>0</v>
      </c>
      <c r="I1154">
        <f t="shared" si="34"/>
        <v>0</v>
      </c>
      <c r="J1154" t="str">
        <f t="shared" si="35"/>
        <v>Low Risk</v>
      </c>
    </row>
    <row r="1155" spans="1:10" x14ac:dyDescent="0.2">
      <c r="A1155" t="str">
        <f>'Claims Data'!A1155</f>
        <v>CLM01154</v>
      </c>
      <c r="B1155" t="str">
        <f>'Claims Data'!B1155</f>
        <v>PAT0233</v>
      </c>
      <c r="C1155" t="str">
        <f>'Claims Data'!C1155</f>
        <v>PRV0008</v>
      </c>
      <c r="D1155" s="1">
        <f>'Claims Data'!D1155</f>
        <v>45292</v>
      </c>
      <c r="E1155">
        <f>'Claims Data'!H1155</f>
        <v>6.1</v>
      </c>
      <c r="F1155">
        <f>'Claims Data'!J1155</f>
        <v>268.37</v>
      </c>
      <c r="G1155">
        <f>'Claims Data'!M1155</f>
        <v>0</v>
      </c>
      <c r="H1155" t="b">
        <f>'Claims Data'!L1155</f>
        <v>0</v>
      </c>
      <c r="I1155">
        <f t="shared" ref="I1155:I1218" si="36">IF(E1155&gt;16,40,0)+IF(MOD(F1155,250)=0,30,0)+IF(H1155=TRUE,10,0)</f>
        <v>0</v>
      </c>
      <c r="J1155" t="str">
        <f t="shared" ref="J1155:J1218" si="37">IF(I1155&gt;=70,"High Risk",IF(I1155&gt;=30,"Medium Risk","Low Risk"))</f>
        <v>Low Risk</v>
      </c>
    </row>
    <row r="1156" spans="1:10" x14ac:dyDescent="0.2">
      <c r="A1156" t="str">
        <f>'Claims Data'!A1156</f>
        <v>CLM01155</v>
      </c>
      <c r="B1156" t="str">
        <f>'Claims Data'!B1156</f>
        <v>PAT0108</v>
      </c>
      <c r="C1156" t="str">
        <f>'Claims Data'!C1156</f>
        <v>PRV0055</v>
      </c>
      <c r="D1156" s="1">
        <f>'Claims Data'!D1156</f>
        <v>44991</v>
      </c>
      <c r="E1156">
        <f>'Claims Data'!H1156</f>
        <v>7.5</v>
      </c>
      <c r="F1156">
        <f>'Claims Data'!J1156</f>
        <v>609</v>
      </c>
      <c r="G1156" t="str">
        <f>'Claims Data'!M1156</f>
        <v>duplicate_claim</v>
      </c>
      <c r="H1156" t="b">
        <f>'Claims Data'!L1156</f>
        <v>1</v>
      </c>
      <c r="I1156">
        <f t="shared" si="36"/>
        <v>10</v>
      </c>
      <c r="J1156" t="str">
        <f t="shared" si="37"/>
        <v>Low Risk</v>
      </c>
    </row>
    <row r="1157" spans="1:10" x14ac:dyDescent="0.2">
      <c r="A1157" t="str">
        <f>'Claims Data'!A1157</f>
        <v>CLM01156</v>
      </c>
      <c r="B1157" t="str">
        <f>'Claims Data'!B1157</f>
        <v>PAT0035</v>
      </c>
      <c r="C1157" t="str">
        <f>'Claims Data'!C1157</f>
        <v>PRV0013</v>
      </c>
      <c r="D1157" s="1">
        <f>'Claims Data'!D1157</f>
        <v>45629</v>
      </c>
      <c r="E1157">
        <f>'Claims Data'!H1157</f>
        <v>7.9</v>
      </c>
      <c r="F1157">
        <f>'Claims Data'!J1157</f>
        <v>473.71</v>
      </c>
      <c r="G1157">
        <f>'Claims Data'!M1157</f>
        <v>0</v>
      </c>
      <c r="H1157" t="b">
        <f>'Claims Data'!L1157</f>
        <v>0</v>
      </c>
      <c r="I1157">
        <f t="shared" si="36"/>
        <v>0</v>
      </c>
      <c r="J1157" t="str">
        <f t="shared" si="37"/>
        <v>Low Risk</v>
      </c>
    </row>
    <row r="1158" spans="1:10" x14ac:dyDescent="0.2">
      <c r="A1158" t="str">
        <f>'Claims Data'!A1158</f>
        <v>CLM01157</v>
      </c>
      <c r="B1158" t="str">
        <f>'Claims Data'!B1158</f>
        <v>PAT0030</v>
      </c>
      <c r="C1158" t="str">
        <f>'Claims Data'!C1158</f>
        <v>PRV0034</v>
      </c>
      <c r="D1158" s="1">
        <f>'Claims Data'!D1158</f>
        <v>45174</v>
      </c>
      <c r="E1158">
        <f>'Claims Data'!H1158</f>
        <v>7.1</v>
      </c>
      <c r="F1158">
        <f>'Claims Data'!J1158</f>
        <v>540.66999999999996</v>
      </c>
      <c r="G1158">
        <f>'Claims Data'!M1158</f>
        <v>0</v>
      </c>
      <c r="H1158" t="b">
        <f>'Claims Data'!L1158</f>
        <v>0</v>
      </c>
      <c r="I1158">
        <f t="shared" si="36"/>
        <v>0</v>
      </c>
      <c r="J1158" t="str">
        <f t="shared" si="37"/>
        <v>Low Risk</v>
      </c>
    </row>
    <row r="1159" spans="1:10" x14ac:dyDescent="0.2">
      <c r="A1159" t="str">
        <f>'Claims Data'!A1159</f>
        <v>CLM01158</v>
      </c>
      <c r="B1159" t="str">
        <f>'Claims Data'!B1159</f>
        <v>PAT0136</v>
      </c>
      <c r="C1159" t="str">
        <f>'Claims Data'!C1159</f>
        <v>PRV0015</v>
      </c>
      <c r="D1159" s="1">
        <f>'Claims Data'!D1159</f>
        <v>45596</v>
      </c>
      <c r="E1159">
        <f>'Claims Data'!H1159</f>
        <v>7.4</v>
      </c>
      <c r="F1159">
        <f>'Claims Data'!J1159</f>
        <v>614.75</v>
      </c>
      <c r="G1159">
        <f>'Claims Data'!M1159</f>
        <v>0</v>
      </c>
      <c r="H1159" t="b">
        <f>'Claims Data'!L1159</f>
        <v>0</v>
      </c>
      <c r="I1159">
        <f t="shared" si="36"/>
        <v>0</v>
      </c>
      <c r="J1159" t="str">
        <f t="shared" si="37"/>
        <v>Low Risk</v>
      </c>
    </row>
    <row r="1160" spans="1:10" x14ac:dyDescent="0.2">
      <c r="A1160" t="str">
        <f>'Claims Data'!A1160</f>
        <v>CLM01159</v>
      </c>
      <c r="B1160" t="str">
        <f>'Claims Data'!B1160</f>
        <v>PAT0149</v>
      </c>
      <c r="C1160" t="str">
        <f>'Claims Data'!C1160</f>
        <v>PRV0001</v>
      </c>
      <c r="D1160" s="1">
        <f>'Claims Data'!D1160</f>
        <v>45331</v>
      </c>
      <c r="E1160">
        <f>'Claims Data'!H1160</f>
        <v>2.7</v>
      </c>
      <c r="F1160">
        <f>'Claims Data'!J1160</f>
        <v>113.22</v>
      </c>
      <c r="G1160">
        <f>'Claims Data'!M1160</f>
        <v>0</v>
      </c>
      <c r="H1160" t="b">
        <f>'Claims Data'!L1160</f>
        <v>0</v>
      </c>
      <c r="I1160">
        <f t="shared" si="36"/>
        <v>0</v>
      </c>
      <c r="J1160" t="str">
        <f t="shared" si="37"/>
        <v>Low Risk</v>
      </c>
    </row>
    <row r="1161" spans="1:10" x14ac:dyDescent="0.2">
      <c r="A1161" t="str">
        <f>'Claims Data'!A1161</f>
        <v>CLM01160</v>
      </c>
      <c r="B1161" t="str">
        <f>'Claims Data'!B1161</f>
        <v>PAT0037</v>
      </c>
      <c r="C1161" t="str">
        <f>'Claims Data'!C1161</f>
        <v>PRV0005</v>
      </c>
      <c r="D1161" s="1">
        <f>'Claims Data'!D1161</f>
        <v>45437</v>
      </c>
      <c r="E1161">
        <f>'Claims Data'!H1161</f>
        <v>4.5999999999999996</v>
      </c>
      <c r="F1161">
        <f>'Claims Data'!J1161</f>
        <v>277.89</v>
      </c>
      <c r="G1161">
        <f>'Claims Data'!M1161</f>
        <v>0</v>
      </c>
      <c r="H1161" t="b">
        <f>'Claims Data'!L1161</f>
        <v>0</v>
      </c>
      <c r="I1161">
        <f t="shared" si="36"/>
        <v>0</v>
      </c>
      <c r="J1161" t="str">
        <f t="shared" si="37"/>
        <v>Low Risk</v>
      </c>
    </row>
    <row r="1162" spans="1:10" x14ac:dyDescent="0.2">
      <c r="A1162" t="str">
        <f>'Claims Data'!A1162</f>
        <v>CLM01161</v>
      </c>
      <c r="B1162" t="str">
        <f>'Claims Data'!B1162</f>
        <v>PAT0268</v>
      </c>
      <c r="C1162" t="str">
        <f>'Claims Data'!C1162</f>
        <v>PRV0029</v>
      </c>
      <c r="D1162" s="1">
        <f>'Claims Data'!D1162</f>
        <v>45069</v>
      </c>
      <c r="E1162">
        <f>'Claims Data'!H1162</f>
        <v>6.3</v>
      </c>
      <c r="F1162">
        <f>'Claims Data'!J1162</f>
        <v>310.98</v>
      </c>
      <c r="G1162">
        <f>'Claims Data'!M1162</f>
        <v>0</v>
      </c>
      <c r="H1162" t="b">
        <f>'Claims Data'!L1162</f>
        <v>0</v>
      </c>
      <c r="I1162">
        <f t="shared" si="36"/>
        <v>0</v>
      </c>
      <c r="J1162" t="str">
        <f t="shared" si="37"/>
        <v>Low Risk</v>
      </c>
    </row>
    <row r="1163" spans="1:10" x14ac:dyDescent="0.2">
      <c r="A1163" t="str">
        <f>'Claims Data'!A1163</f>
        <v>CLM01162</v>
      </c>
      <c r="B1163" t="str">
        <f>'Claims Data'!B1163</f>
        <v>PAT0088</v>
      </c>
      <c r="C1163" t="str">
        <f>'Claims Data'!C1163</f>
        <v>PRV0018</v>
      </c>
      <c r="D1163" s="1">
        <f>'Claims Data'!D1163</f>
        <v>45021</v>
      </c>
      <c r="E1163">
        <f>'Claims Data'!H1163</f>
        <v>6</v>
      </c>
      <c r="F1163">
        <f>'Claims Data'!J1163</f>
        <v>320.95</v>
      </c>
      <c r="G1163">
        <f>'Claims Data'!M1163</f>
        <v>0</v>
      </c>
      <c r="H1163" t="b">
        <f>'Claims Data'!L1163</f>
        <v>0</v>
      </c>
      <c r="I1163">
        <f t="shared" si="36"/>
        <v>0</v>
      </c>
      <c r="J1163" t="str">
        <f t="shared" si="37"/>
        <v>Low Risk</v>
      </c>
    </row>
    <row r="1164" spans="1:10" x14ac:dyDescent="0.2">
      <c r="A1164" t="str">
        <f>'Claims Data'!A1164</f>
        <v>CLM01163</v>
      </c>
      <c r="B1164" t="str">
        <f>'Claims Data'!B1164</f>
        <v>PAT0159</v>
      </c>
      <c r="C1164" t="str">
        <f>'Claims Data'!C1164</f>
        <v>PRV0010</v>
      </c>
      <c r="D1164" s="1">
        <f>'Claims Data'!D1164</f>
        <v>45158</v>
      </c>
      <c r="E1164">
        <f>'Claims Data'!H1164</f>
        <v>17.3</v>
      </c>
      <c r="F1164">
        <f>'Claims Data'!J1164</f>
        <v>806.53</v>
      </c>
      <c r="G1164" t="str">
        <f>'Claims Data'!M1164</f>
        <v>inflated_hours</v>
      </c>
      <c r="H1164" t="b">
        <f>'Claims Data'!L1164</f>
        <v>1</v>
      </c>
      <c r="I1164">
        <f t="shared" si="36"/>
        <v>50</v>
      </c>
      <c r="J1164" t="str">
        <f t="shared" si="37"/>
        <v>Medium Risk</v>
      </c>
    </row>
    <row r="1165" spans="1:10" x14ac:dyDescent="0.2">
      <c r="A1165" t="str">
        <f>'Claims Data'!A1165</f>
        <v>CLM01164</v>
      </c>
      <c r="B1165" t="str">
        <f>'Claims Data'!B1165</f>
        <v>PAT0041</v>
      </c>
      <c r="C1165" t="str">
        <f>'Claims Data'!C1165</f>
        <v>PRV0033</v>
      </c>
      <c r="D1165" s="1">
        <f>'Claims Data'!D1165</f>
        <v>45555</v>
      </c>
      <c r="E1165">
        <f>'Claims Data'!H1165</f>
        <v>3.7</v>
      </c>
      <c r="F1165">
        <f>'Claims Data'!J1165</f>
        <v>286.25</v>
      </c>
      <c r="G1165">
        <f>'Claims Data'!M1165</f>
        <v>0</v>
      </c>
      <c r="H1165" t="b">
        <f>'Claims Data'!L1165</f>
        <v>0</v>
      </c>
      <c r="I1165">
        <f t="shared" si="36"/>
        <v>0</v>
      </c>
      <c r="J1165" t="str">
        <f t="shared" si="37"/>
        <v>Low Risk</v>
      </c>
    </row>
    <row r="1166" spans="1:10" x14ac:dyDescent="0.2">
      <c r="A1166" t="str">
        <f>'Claims Data'!A1166</f>
        <v>CLM01165</v>
      </c>
      <c r="B1166" t="str">
        <f>'Claims Data'!B1166</f>
        <v>PAT0092</v>
      </c>
      <c r="C1166" t="str">
        <f>'Claims Data'!C1166</f>
        <v>PRV0038</v>
      </c>
      <c r="D1166" s="1">
        <f>'Claims Data'!D1166</f>
        <v>45087</v>
      </c>
      <c r="E1166">
        <f>'Claims Data'!H1166</f>
        <v>15.6</v>
      </c>
      <c r="F1166">
        <f>'Claims Data'!J1166</f>
        <v>1000</v>
      </c>
      <c r="G1166" t="str">
        <f>'Claims Data'!M1166</f>
        <v>phantom_round_amount</v>
      </c>
      <c r="H1166" t="b">
        <f>'Claims Data'!L1166</f>
        <v>1</v>
      </c>
      <c r="I1166">
        <f t="shared" si="36"/>
        <v>40</v>
      </c>
      <c r="J1166" t="str">
        <f t="shared" si="37"/>
        <v>Medium Risk</v>
      </c>
    </row>
    <row r="1167" spans="1:10" x14ac:dyDescent="0.2">
      <c r="A1167" t="str">
        <f>'Claims Data'!A1167</f>
        <v>CLM01166</v>
      </c>
      <c r="B1167" t="str">
        <f>'Claims Data'!B1167</f>
        <v>PAT0240</v>
      </c>
      <c r="C1167" t="str">
        <f>'Claims Data'!C1167</f>
        <v>PRV0026</v>
      </c>
      <c r="D1167" s="1">
        <f>'Claims Data'!D1167</f>
        <v>45472</v>
      </c>
      <c r="E1167">
        <f>'Claims Data'!H1167</f>
        <v>5.9</v>
      </c>
      <c r="F1167">
        <f>'Claims Data'!J1167</f>
        <v>492.64</v>
      </c>
      <c r="G1167">
        <f>'Claims Data'!M1167</f>
        <v>0</v>
      </c>
      <c r="H1167" t="b">
        <f>'Claims Data'!L1167</f>
        <v>0</v>
      </c>
      <c r="I1167">
        <f t="shared" si="36"/>
        <v>0</v>
      </c>
      <c r="J1167" t="str">
        <f t="shared" si="37"/>
        <v>Low Risk</v>
      </c>
    </row>
    <row r="1168" spans="1:10" x14ac:dyDescent="0.2">
      <c r="A1168" t="str">
        <f>'Claims Data'!A1168</f>
        <v>CLM01167</v>
      </c>
      <c r="B1168" t="str">
        <f>'Claims Data'!B1168</f>
        <v>PAT0154</v>
      </c>
      <c r="C1168" t="str">
        <f>'Claims Data'!C1168</f>
        <v>PRV0039</v>
      </c>
      <c r="D1168" s="1">
        <f>'Claims Data'!D1168</f>
        <v>45520</v>
      </c>
      <c r="E1168">
        <f>'Claims Data'!H1168</f>
        <v>2.8</v>
      </c>
      <c r="F1168">
        <f>'Claims Data'!J1168</f>
        <v>205.4</v>
      </c>
      <c r="G1168">
        <f>'Claims Data'!M1168</f>
        <v>0</v>
      </c>
      <c r="H1168" t="b">
        <f>'Claims Data'!L1168</f>
        <v>0</v>
      </c>
      <c r="I1168">
        <f t="shared" si="36"/>
        <v>0</v>
      </c>
      <c r="J1168" t="str">
        <f t="shared" si="37"/>
        <v>Low Risk</v>
      </c>
    </row>
    <row r="1169" spans="1:10" x14ac:dyDescent="0.2">
      <c r="A1169" t="str">
        <f>'Claims Data'!A1169</f>
        <v>CLM01168</v>
      </c>
      <c r="B1169" t="str">
        <f>'Claims Data'!B1169</f>
        <v>PAT0055</v>
      </c>
      <c r="C1169" t="str">
        <f>'Claims Data'!C1169</f>
        <v>PRV0058</v>
      </c>
      <c r="D1169" s="1">
        <f>'Claims Data'!D1169</f>
        <v>45509</v>
      </c>
      <c r="E1169">
        <f>'Claims Data'!H1169</f>
        <v>5.7</v>
      </c>
      <c r="F1169">
        <f>'Claims Data'!J1169</f>
        <v>297.89999999999998</v>
      </c>
      <c r="G1169">
        <f>'Claims Data'!M1169</f>
        <v>0</v>
      </c>
      <c r="H1169" t="b">
        <f>'Claims Data'!L1169</f>
        <v>0</v>
      </c>
      <c r="I1169">
        <f t="shared" si="36"/>
        <v>0</v>
      </c>
      <c r="J1169" t="str">
        <f t="shared" si="37"/>
        <v>Low Risk</v>
      </c>
    </row>
    <row r="1170" spans="1:10" x14ac:dyDescent="0.2">
      <c r="A1170" t="str">
        <f>'Claims Data'!A1170</f>
        <v>CLM01169</v>
      </c>
      <c r="B1170" t="str">
        <f>'Claims Data'!B1170</f>
        <v>PAT0099</v>
      </c>
      <c r="C1170" t="str">
        <f>'Claims Data'!C1170</f>
        <v>PRV0044</v>
      </c>
      <c r="D1170" s="1">
        <f>'Claims Data'!D1170</f>
        <v>45041</v>
      </c>
      <c r="E1170">
        <f>'Claims Data'!H1170</f>
        <v>4.3</v>
      </c>
      <c r="F1170">
        <f>'Claims Data'!J1170</f>
        <v>165.74</v>
      </c>
      <c r="G1170">
        <f>'Claims Data'!M1170</f>
        <v>0</v>
      </c>
      <c r="H1170" t="b">
        <f>'Claims Data'!L1170</f>
        <v>0</v>
      </c>
      <c r="I1170">
        <f t="shared" si="36"/>
        <v>0</v>
      </c>
      <c r="J1170" t="str">
        <f t="shared" si="37"/>
        <v>Low Risk</v>
      </c>
    </row>
    <row r="1171" spans="1:10" x14ac:dyDescent="0.2">
      <c r="A1171" t="str">
        <f>'Claims Data'!A1171</f>
        <v>CLM01170</v>
      </c>
      <c r="B1171" t="str">
        <f>'Claims Data'!B1171</f>
        <v>PAT0108</v>
      </c>
      <c r="C1171" t="str">
        <f>'Claims Data'!C1171</f>
        <v>PRV0029</v>
      </c>
      <c r="D1171" s="1">
        <f>'Claims Data'!D1171</f>
        <v>45567</v>
      </c>
      <c r="E1171">
        <f>'Claims Data'!H1171</f>
        <v>5.5</v>
      </c>
      <c r="F1171">
        <f>'Claims Data'!J1171</f>
        <v>416.95</v>
      </c>
      <c r="G1171">
        <f>'Claims Data'!M1171</f>
        <v>0</v>
      </c>
      <c r="H1171" t="b">
        <f>'Claims Data'!L1171</f>
        <v>0</v>
      </c>
      <c r="I1171">
        <f t="shared" si="36"/>
        <v>0</v>
      </c>
      <c r="J1171" t="str">
        <f t="shared" si="37"/>
        <v>Low Risk</v>
      </c>
    </row>
    <row r="1172" spans="1:10" x14ac:dyDescent="0.2">
      <c r="A1172" t="str">
        <f>'Claims Data'!A1172</f>
        <v>CLM01171</v>
      </c>
      <c r="B1172" t="str">
        <f>'Claims Data'!B1172</f>
        <v>PAT0101</v>
      </c>
      <c r="C1172" t="str">
        <f>'Claims Data'!C1172</f>
        <v>PRV0052</v>
      </c>
      <c r="D1172" s="1">
        <f>'Claims Data'!D1172</f>
        <v>45051</v>
      </c>
      <c r="E1172">
        <f>'Claims Data'!H1172</f>
        <v>4.5</v>
      </c>
      <c r="F1172">
        <f>'Claims Data'!J1172</f>
        <v>259.95999999999998</v>
      </c>
      <c r="G1172">
        <f>'Claims Data'!M1172</f>
        <v>0</v>
      </c>
      <c r="H1172" t="b">
        <f>'Claims Data'!L1172</f>
        <v>0</v>
      </c>
      <c r="I1172">
        <f t="shared" si="36"/>
        <v>0</v>
      </c>
      <c r="J1172" t="str">
        <f t="shared" si="37"/>
        <v>Low Risk</v>
      </c>
    </row>
    <row r="1173" spans="1:10" x14ac:dyDescent="0.2">
      <c r="A1173" t="str">
        <f>'Claims Data'!A1173</f>
        <v>CLM01172</v>
      </c>
      <c r="B1173" t="str">
        <f>'Claims Data'!B1173</f>
        <v>PAT0188</v>
      </c>
      <c r="C1173" t="str">
        <f>'Claims Data'!C1173</f>
        <v>PRV0012</v>
      </c>
      <c r="D1173" s="1">
        <f>'Claims Data'!D1173</f>
        <v>45092</v>
      </c>
      <c r="E1173">
        <f>'Claims Data'!H1173</f>
        <v>7.9</v>
      </c>
      <c r="F1173">
        <f>'Claims Data'!J1173</f>
        <v>466.8</v>
      </c>
      <c r="G1173" t="str">
        <f>'Claims Data'!M1173</f>
        <v>duplicate_claim</v>
      </c>
      <c r="H1173" t="b">
        <f>'Claims Data'!L1173</f>
        <v>1</v>
      </c>
      <c r="I1173">
        <f t="shared" si="36"/>
        <v>10</v>
      </c>
      <c r="J1173" t="str">
        <f t="shared" si="37"/>
        <v>Low Risk</v>
      </c>
    </row>
    <row r="1174" spans="1:10" x14ac:dyDescent="0.2">
      <c r="A1174" t="str">
        <f>'Claims Data'!A1174</f>
        <v>CLM01173</v>
      </c>
      <c r="B1174" t="str">
        <f>'Claims Data'!B1174</f>
        <v>PAT0228</v>
      </c>
      <c r="C1174" t="str">
        <f>'Claims Data'!C1174</f>
        <v>PRV0052</v>
      </c>
      <c r="D1174" s="1">
        <f>'Claims Data'!D1174</f>
        <v>45367</v>
      </c>
      <c r="E1174">
        <f>'Claims Data'!H1174</f>
        <v>2.7</v>
      </c>
      <c r="F1174">
        <f>'Claims Data'!J1174</f>
        <v>145.51</v>
      </c>
      <c r="G1174">
        <f>'Claims Data'!M1174</f>
        <v>0</v>
      </c>
      <c r="H1174" t="b">
        <f>'Claims Data'!L1174</f>
        <v>0</v>
      </c>
      <c r="I1174">
        <f t="shared" si="36"/>
        <v>0</v>
      </c>
      <c r="J1174" t="str">
        <f t="shared" si="37"/>
        <v>Low Risk</v>
      </c>
    </row>
    <row r="1175" spans="1:10" x14ac:dyDescent="0.2">
      <c r="A1175" t="str">
        <f>'Claims Data'!A1175</f>
        <v>CLM01174</v>
      </c>
      <c r="B1175" t="str">
        <f>'Claims Data'!B1175</f>
        <v>PAT0012</v>
      </c>
      <c r="C1175" t="str">
        <f>'Claims Data'!C1175</f>
        <v>PRV0059</v>
      </c>
      <c r="D1175" s="1">
        <f>'Claims Data'!D1175</f>
        <v>45454</v>
      </c>
      <c r="E1175">
        <f>'Claims Data'!H1175</f>
        <v>2.9</v>
      </c>
      <c r="F1175">
        <f>'Claims Data'!J1175</f>
        <v>199.75</v>
      </c>
      <c r="G1175">
        <f>'Claims Data'!M1175</f>
        <v>0</v>
      </c>
      <c r="H1175" t="b">
        <f>'Claims Data'!L1175</f>
        <v>0</v>
      </c>
      <c r="I1175">
        <f t="shared" si="36"/>
        <v>0</v>
      </c>
      <c r="J1175" t="str">
        <f t="shared" si="37"/>
        <v>Low Risk</v>
      </c>
    </row>
    <row r="1176" spans="1:10" x14ac:dyDescent="0.2">
      <c r="A1176" t="str">
        <f>'Claims Data'!A1176</f>
        <v>CLM01175</v>
      </c>
      <c r="B1176" t="str">
        <f>'Claims Data'!B1176</f>
        <v>PAT0025</v>
      </c>
      <c r="C1176" t="str">
        <f>'Claims Data'!C1176</f>
        <v>PRV0042</v>
      </c>
      <c r="D1176" s="1">
        <f>'Claims Data'!D1176</f>
        <v>45531</v>
      </c>
      <c r="E1176">
        <f>'Claims Data'!H1176</f>
        <v>5.0999999999999996</v>
      </c>
      <c r="F1176">
        <f>'Claims Data'!J1176</f>
        <v>287.64999999999998</v>
      </c>
      <c r="G1176">
        <f>'Claims Data'!M1176</f>
        <v>0</v>
      </c>
      <c r="H1176" t="b">
        <f>'Claims Data'!L1176</f>
        <v>0</v>
      </c>
      <c r="I1176">
        <f t="shared" si="36"/>
        <v>0</v>
      </c>
      <c r="J1176" t="str">
        <f t="shared" si="37"/>
        <v>Low Risk</v>
      </c>
    </row>
    <row r="1177" spans="1:10" x14ac:dyDescent="0.2">
      <c r="A1177" t="str">
        <f>'Claims Data'!A1177</f>
        <v>CLM01176</v>
      </c>
      <c r="B1177" t="str">
        <f>'Claims Data'!B1177</f>
        <v>PAT0203</v>
      </c>
      <c r="C1177" t="str">
        <f>'Claims Data'!C1177</f>
        <v>PRV0029</v>
      </c>
      <c r="D1177" s="1">
        <f>'Claims Data'!D1177</f>
        <v>45006</v>
      </c>
      <c r="E1177">
        <f>'Claims Data'!H1177</f>
        <v>3.5</v>
      </c>
      <c r="F1177">
        <f>'Claims Data'!J1177</f>
        <v>219.94</v>
      </c>
      <c r="G1177">
        <f>'Claims Data'!M1177</f>
        <v>0</v>
      </c>
      <c r="H1177" t="b">
        <f>'Claims Data'!L1177</f>
        <v>0</v>
      </c>
      <c r="I1177">
        <f t="shared" si="36"/>
        <v>0</v>
      </c>
      <c r="J1177" t="str">
        <f t="shared" si="37"/>
        <v>Low Risk</v>
      </c>
    </row>
    <row r="1178" spans="1:10" x14ac:dyDescent="0.2">
      <c r="A1178" t="str">
        <f>'Claims Data'!A1178</f>
        <v>CLM01177</v>
      </c>
      <c r="B1178" t="str">
        <f>'Claims Data'!B1178</f>
        <v>PAT0148</v>
      </c>
      <c r="C1178" t="str">
        <f>'Claims Data'!C1178</f>
        <v>PRV0046</v>
      </c>
      <c r="D1178" s="1">
        <f>'Claims Data'!D1178</f>
        <v>45321</v>
      </c>
      <c r="E1178">
        <f>'Claims Data'!H1178</f>
        <v>6.1</v>
      </c>
      <c r="F1178">
        <f>'Claims Data'!J1178</f>
        <v>349.85</v>
      </c>
      <c r="G1178">
        <f>'Claims Data'!M1178</f>
        <v>0</v>
      </c>
      <c r="H1178" t="b">
        <f>'Claims Data'!L1178</f>
        <v>0</v>
      </c>
      <c r="I1178">
        <f t="shared" si="36"/>
        <v>0</v>
      </c>
      <c r="J1178" t="str">
        <f t="shared" si="37"/>
        <v>Low Risk</v>
      </c>
    </row>
    <row r="1179" spans="1:10" x14ac:dyDescent="0.2">
      <c r="A1179" t="str">
        <f>'Claims Data'!A1179</f>
        <v>CLM01178</v>
      </c>
      <c r="B1179" t="str">
        <f>'Claims Data'!B1179</f>
        <v>PAT0155</v>
      </c>
      <c r="C1179" t="str">
        <f>'Claims Data'!C1179</f>
        <v>PRV0011</v>
      </c>
      <c r="D1179" s="1">
        <f>'Claims Data'!D1179</f>
        <v>45571</v>
      </c>
      <c r="E1179">
        <f>'Claims Data'!H1179</f>
        <v>5.7</v>
      </c>
      <c r="F1179">
        <f>'Claims Data'!J1179</f>
        <v>451.53</v>
      </c>
      <c r="G1179">
        <f>'Claims Data'!M1179</f>
        <v>0</v>
      </c>
      <c r="H1179" t="b">
        <f>'Claims Data'!L1179</f>
        <v>0</v>
      </c>
      <c r="I1179">
        <f t="shared" si="36"/>
        <v>0</v>
      </c>
      <c r="J1179" t="str">
        <f t="shared" si="37"/>
        <v>Low Risk</v>
      </c>
    </row>
    <row r="1180" spans="1:10" x14ac:dyDescent="0.2">
      <c r="A1180" t="str">
        <f>'Claims Data'!A1180</f>
        <v>CLM01179</v>
      </c>
      <c r="B1180" t="str">
        <f>'Claims Data'!B1180</f>
        <v>PAT0193</v>
      </c>
      <c r="C1180" t="str">
        <f>'Claims Data'!C1180</f>
        <v>PRV0007</v>
      </c>
      <c r="D1180" s="1">
        <f>'Claims Data'!D1180</f>
        <v>45096</v>
      </c>
      <c r="E1180">
        <f>'Claims Data'!H1180</f>
        <v>20.100000000000001</v>
      </c>
      <c r="F1180">
        <f>'Claims Data'!J1180</f>
        <v>1120.78</v>
      </c>
      <c r="G1180" t="str">
        <f>'Claims Data'!M1180</f>
        <v>inflated_hours</v>
      </c>
      <c r="H1180" t="b">
        <f>'Claims Data'!L1180</f>
        <v>1</v>
      </c>
      <c r="I1180">
        <f t="shared" si="36"/>
        <v>50</v>
      </c>
      <c r="J1180" t="str">
        <f t="shared" si="37"/>
        <v>Medium Risk</v>
      </c>
    </row>
    <row r="1181" spans="1:10" x14ac:dyDescent="0.2">
      <c r="A1181" t="str">
        <f>'Claims Data'!A1181</f>
        <v>CLM01180</v>
      </c>
      <c r="B1181" t="str">
        <f>'Claims Data'!B1181</f>
        <v>PAT0048</v>
      </c>
      <c r="C1181" t="str">
        <f>'Claims Data'!C1181</f>
        <v>PRV0057</v>
      </c>
      <c r="D1181" s="1">
        <f>'Claims Data'!D1181</f>
        <v>45391</v>
      </c>
      <c r="E1181">
        <f>'Claims Data'!H1181</f>
        <v>4.5</v>
      </c>
      <c r="F1181">
        <f>'Claims Data'!J1181</f>
        <v>371.86</v>
      </c>
      <c r="G1181">
        <f>'Claims Data'!M1181</f>
        <v>0</v>
      </c>
      <c r="H1181" t="b">
        <f>'Claims Data'!L1181</f>
        <v>0</v>
      </c>
      <c r="I1181">
        <f t="shared" si="36"/>
        <v>0</v>
      </c>
      <c r="J1181" t="str">
        <f t="shared" si="37"/>
        <v>Low Risk</v>
      </c>
    </row>
    <row r="1182" spans="1:10" x14ac:dyDescent="0.2">
      <c r="A1182" t="str">
        <f>'Claims Data'!A1182</f>
        <v>CLM01181</v>
      </c>
      <c r="B1182" t="str">
        <f>'Claims Data'!B1182</f>
        <v>PAT0043</v>
      </c>
      <c r="C1182" t="str">
        <f>'Claims Data'!C1182</f>
        <v>PRV0059</v>
      </c>
      <c r="D1182" s="1">
        <f>'Claims Data'!D1182</f>
        <v>45260</v>
      </c>
      <c r="E1182">
        <f>'Claims Data'!H1182</f>
        <v>3</v>
      </c>
      <c r="F1182">
        <f>'Claims Data'!J1182</f>
        <v>200.11</v>
      </c>
      <c r="G1182">
        <f>'Claims Data'!M1182</f>
        <v>0</v>
      </c>
      <c r="H1182" t="b">
        <f>'Claims Data'!L1182</f>
        <v>0</v>
      </c>
      <c r="I1182">
        <f t="shared" si="36"/>
        <v>0</v>
      </c>
      <c r="J1182" t="str">
        <f t="shared" si="37"/>
        <v>Low Risk</v>
      </c>
    </row>
    <row r="1183" spans="1:10" x14ac:dyDescent="0.2">
      <c r="A1183" t="str">
        <f>'Claims Data'!A1183</f>
        <v>CLM01182</v>
      </c>
      <c r="B1183" t="str">
        <f>'Claims Data'!B1183</f>
        <v>PAT0238</v>
      </c>
      <c r="C1183" t="str">
        <f>'Claims Data'!C1183</f>
        <v>PRV0017</v>
      </c>
      <c r="D1183" s="1">
        <f>'Claims Data'!D1183</f>
        <v>45288</v>
      </c>
      <c r="E1183">
        <f>'Claims Data'!H1183</f>
        <v>6.4</v>
      </c>
      <c r="F1183">
        <f>'Claims Data'!J1183</f>
        <v>376.46</v>
      </c>
      <c r="G1183">
        <f>'Claims Data'!M1183</f>
        <v>0</v>
      </c>
      <c r="H1183" t="b">
        <f>'Claims Data'!L1183</f>
        <v>0</v>
      </c>
      <c r="I1183">
        <f t="shared" si="36"/>
        <v>0</v>
      </c>
      <c r="J1183" t="str">
        <f t="shared" si="37"/>
        <v>Low Risk</v>
      </c>
    </row>
    <row r="1184" spans="1:10" x14ac:dyDescent="0.2">
      <c r="A1184" t="str">
        <f>'Claims Data'!A1184</f>
        <v>CLM01183</v>
      </c>
      <c r="B1184" t="str">
        <f>'Claims Data'!B1184</f>
        <v>PAT0089</v>
      </c>
      <c r="C1184" t="str">
        <f>'Claims Data'!C1184</f>
        <v>PRV0022</v>
      </c>
      <c r="D1184" s="1">
        <f>'Claims Data'!D1184</f>
        <v>44996</v>
      </c>
      <c r="E1184">
        <f>'Claims Data'!H1184</f>
        <v>5.5</v>
      </c>
      <c r="F1184">
        <f>'Claims Data'!J1184</f>
        <v>326.54000000000002</v>
      </c>
      <c r="G1184">
        <f>'Claims Data'!M1184</f>
        <v>0</v>
      </c>
      <c r="H1184" t="b">
        <f>'Claims Data'!L1184</f>
        <v>0</v>
      </c>
      <c r="I1184">
        <f t="shared" si="36"/>
        <v>0</v>
      </c>
      <c r="J1184" t="str">
        <f t="shared" si="37"/>
        <v>Low Risk</v>
      </c>
    </row>
    <row r="1185" spans="1:10" x14ac:dyDescent="0.2">
      <c r="A1185" t="str">
        <f>'Claims Data'!A1185</f>
        <v>CLM01184</v>
      </c>
      <c r="B1185" t="str">
        <f>'Claims Data'!B1185</f>
        <v>PAT0237</v>
      </c>
      <c r="C1185" t="str">
        <f>'Claims Data'!C1185</f>
        <v>PRV0056</v>
      </c>
      <c r="D1185" s="1">
        <f>'Claims Data'!D1185</f>
        <v>45627</v>
      </c>
      <c r="E1185">
        <f>'Claims Data'!H1185</f>
        <v>6.9</v>
      </c>
      <c r="F1185">
        <f>'Claims Data'!J1185</f>
        <v>430.97</v>
      </c>
      <c r="G1185">
        <f>'Claims Data'!M1185</f>
        <v>0</v>
      </c>
      <c r="H1185" t="b">
        <f>'Claims Data'!L1185</f>
        <v>0</v>
      </c>
      <c r="I1185">
        <f t="shared" si="36"/>
        <v>0</v>
      </c>
      <c r="J1185" t="str">
        <f t="shared" si="37"/>
        <v>Low Risk</v>
      </c>
    </row>
    <row r="1186" spans="1:10" x14ac:dyDescent="0.2">
      <c r="A1186" t="str">
        <f>'Claims Data'!A1186</f>
        <v>CLM01185</v>
      </c>
      <c r="B1186" t="str">
        <f>'Claims Data'!B1186</f>
        <v>PAT0038</v>
      </c>
      <c r="C1186" t="str">
        <f>'Claims Data'!C1186</f>
        <v>PRV0051</v>
      </c>
      <c r="D1186" s="1">
        <f>'Claims Data'!D1186</f>
        <v>45471</v>
      </c>
      <c r="E1186">
        <f>'Claims Data'!H1186</f>
        <v>2.5</v>
      </c>
      <c r="F1186">
        <f>'Claims Data'!J1186</f>
        <v>138.34</v>
      </c>
      <c r="G1186">
        <f>'Claims Data'!M1186</f>
        <v>0</v>
      </c>
      <c r="H1186" t="b">
        <f>'Claims Data'!L1186</f>
        <v>0</v>
      </c>
      <c r="I1186">
        <f t="shared" si="36"/>
        <v>0</v>
      </c>
      <c r="J1186" t="str">
        <f t="shared" si="37"/>
        <v>Low Risk</v>
      </c>
    </row>
    <row r="1187" spans="1:10" x14ac:dyDescent="0.2">
      <c r="A1187" t="str">
        <f>'Claims Data'!A1187</f>
        <v>CLM01186</v>
      </c>
      <c r="B1187" t="str">
        <f>'Claims Data'!B1187</f>
        <v>PAT0023</v>
      </c>
      <c r="C1187" t="str">
        <f>'Claims Data'!C1187</f>
        <v>PRV0057</v>
      </c>
      <c r="D1187" s="1">
        <f>'Claims Data'!D1187</f>
        <v>45524</v>
      </c>
      <c r="E1187">
        <f>'Claims Data'!H1187</f>
        <v>2.8</v>
      </c>
      <c r="F1187">
        <f>'Claims Data'!J1187</f>
        <v>117.2</v>
      </c>
      <c r="G1187">
        <f>'Claims Data'!M1187</f>
        <v>0</v>
      </c>
      <c r="H1187" t="b">
        <f>'Claims Data'!L1187</f>
        <v>0</v>
      </c>
      <c r="I1187">
        <f t="shared" si="36"/>
        <v>0</v>
      </c>
      <c r="J1187" t="str">
        <f t="shared" si="37"/>
        <v>Low Risk</v>
      </c>
    </row>
    <row r="1188" spans="1:10" x14ac:dyDescent="0.2">
      <c r="A1188" t="str">
        <f>'Claims Data'!A1188</f>
        <v>CLM01187</v>
      </c>
      <c r="B1188" t="str">
        <f>'Claims Data'!B1188</f>
        <v>PAT0187</v>
      </c>
      <c r="C1188" t="str">
        <f>'Claims Data'!C1188</f>
        <v>PRV0060</v>
      </c>
      <c r="D1188" s="1">
        <f>'Claims Data'!D1188</f>
        <v>45062</v>
      </c>
      <c r="E1188">
        <f>'Claims Data'!H1188</f>
        <v>6.4</v>
      </c>
      <c r="F1188">
        <f>'Claims Data'!J1188</f>
        <v>391.87</v>
      </c>
      <c r="G1188">
        <f>'Claims Data'!M1188</f>
        <v>0</v>
      </c>
      <c r="H1188" t="b">
        <f>'Claims Data'!L1188</f>
        <v>0</v>
      </c>
      <c r="I1188">
        <f t="shared" si="36"/>
        <v>0</v>
      </c>
      <c r="J1188" t="str">
        <f t="shared" si="37"/>
        <v>Low Risk</v>
      </c>
    </row>
    <row r="1189" spans="1:10" x14ac:dyDescent="0.2">
      <c r="A1189" t="str">
        <f>'Claims Data'!A1189</f>
        <v>CLM01188</v>
      </c>
      <c r="B1189" t="str">
        <f>'Claims Data'!B1189</f>
        <v>PAT0274</v>
      </c>
      <c r="C1189" t="str">
        <f>'Claims Data'!C1189</f>
        <v>PRV0029</v>
      </c>
      <c r="D1189" s="1">
        <f>'Claims Data'!D1189</f>
        <v>45415</v>
      </c>
      <c r="E1189">
        <f>'Claims Data'!H1189</f>
        <v>6</v>
      </c>
      <c r="F1189">
        <f>'Claims Data'!J1189</f>
        <v>283.12</v>
      </c>
      <c r="G1189">
        <f>'Claims Data'!M1189</f>
        <v>0</v>
      </c>
      <c r="H1189" t="b">
        <f>'Claims Data'!L1189</f>
        <v>0</v>
      </c>
      <c r="I1189">
        <f t="shared" si="36"/>
        <v>0</v>
      </c>
      <c r="J1189" t="str">
        <f t="shared" si="37"/>
        <v>Low Risk</v>
      </c>
    </row>
    <row r="1190" spans="1:10" x14ac:dyDescent="0.2">
      <c r="A1190" t="str">
        <f>'Claims Data'!A1190</f>
        <v>CLM01189</v>
      </c>
      <c r="B1190" t="str">
        <f>'Claims Data'!B1190</f>
        <v>PAT0226</v>
      </c>
      <c r="C1190" t="str">
        <f>'Claims Data'!C1190</f>
        <v>PRV0003</v>
      </c>
      <c r="D1190" s="1">
        <f>'Claims Data'!D1190</f>
        <v>45068</v>
      </c>
      <c r="E1190">
        <f>'Claims Data'!H1190</f>
        <v>6.7</v>
      </c>
      <c r="F1190">
        <f>'Claims Data'!J1190</f>
        <v>262.45</v>
      </c>
      <c r="G1190">
        <f>'Claims Data'!M1190</f>
        <v>0</v>
      </c>
      <c r="H1190" t="b">
        <f>'Claims Data'!L1190</f>
        <v>0</v>
      </c>
      <c r="I1190">
        <f t="shared" si="36"/>
        <v>0</v>
      </c>
      <c r="J1190" t="str">
        <f t="shared" si="37"/>
        <v>Low Risk</v>
      </c>
    </row>
    <row r="1191" spans="1:10" x14ac:dyDescent="0.2">
      <c r="A1191" t="str">
        <f>'Claims Data'!A1191</f>
        <v>CLM01190</v>
      </c>
      <c r="B1191" t="str">
        <f>'Claims Data'!B1191</f>
        <v>PAT0104</v>
      </c>
      <c r="C1191" t="str">
        <f>'Claims Data'!C1191</f>
        <v>PRV0032</v>
      </c>
      <c r="D1191" s="1">
        <f>'Claims Data'!D1191</f>
        <v>45284</v>
      </c>
      <c r="E1191">
        <f>'Claims Data'!H1191</f>
        <v>4.0999999999999996</v>
      </c>
      <c r="F1191">
        <f>'Claims Data'!J1191</f>
        <v>123.26</v>
      </c>
      <c r="G1191">
        <f>'Claims Data'!M1191</f>
        <v>0</v>
      </c>
      <c r="H1191" t="b">
        <f>'Claims Data'!L1191</f>
        <v>0</v>
      </c>
      <c r="I1191">
        <f t="shared" si="36"/>
        <v>0</v>
      </c>
      <c r="J1191" t="str">
        <f t="shared" si="37"/>
        <v>Low Risk</v>
      </c>
    </row>
    <row r="1192" spans="1:10" x14ac:dyDescent="0.2">
      <c r="A1192" t="str">
        <f>'Claims Data'!A1192</f>
        <v>CLM01191</v>
      </c>
      <c r="B1192" t="str">
        <f>'Claims Data'!B1192</f>
        <v>PAT0244</v>
      </c>
      <c r="C1192" t="str">
        <f>'Claims Data'!C1192</f>
        <v>PRV0028</v>
      </c>
      <c r="D1192" s="1">
        <f>'Claims Data'!D1192</f>
        <v>45016</v>
      </c>
      <c r="E1192">
        <f>'Claims Data'!H1192</f>
        <v>7</v>
      </c>
      <c r="F1192">
        <f>'Claims Data'!J1192</f>
        <v>491.16</v>
      </c>
      <c r="G1192">
        <f>'Claims Data'!M1192</f>
        <v>0</v>
      </c>
      <c r="H1192" t="b">
        <f>'Claims Data'!L1192</f>
        <v>0</v>
      </c>
      <c r="I1192">
        <f t="shared" si="36"/>
        <v>0</v>
      </c>
      <c r="J1192" t="str">
        <f t="shared" si="37"/>
        <v>Low Risk</v>
      </c>
    </row>
    <row r="1193" spans="1:10" x14ac:dyDescent="0.2">
      <c r="A1193" t="str">
        <f>'Claims Data'!A1193</f>
        <v>CLM01192</v>
      </c>
      <c r="B1193" t="str">
        <f>'Claims Data'!B1193</f>
        <v>PAT0022</v>
      </c>
      <c r="C1193" t="str">
        <f>'Claims Data'!C1193</f>
        <v>PRV0056</v>
      </c>
      <c r="D1193" s="1">
        <f>'Claims Data'!D1193</f>
        <v>45595</v>
      </c>
      <c r="E1193">
        <f>'Claims Data'!H1193</f>
        <v>3.4</v>
      </c>
      <c r="F1193">
        <f>'Claims Data'!J1193</f>
        <v>174.8</v>
      </c>
      <c r="G1193">
        <f>'Claims Data'!M1193</f>
        <v>0</v>
      </c>
      <c r="H1193" t="b">
        <f>'Claims Data'!L1193</f>
        <v>0</v>
      </c>
      <c r="I1193">
        <f t="shared" si="36"/>
        <v>0</v>
      </c>
      <c r="J1193" t="str">
        <f t="shared" si="37"/>
        <v>Low Risk</v>
      </c>
    </row>
    <row r="1194" spans="1:10" x14ac:dyDescent="0.2">
      <c r="A1194" t="str">
        <f>'Claims Data'!A1194</f>
        <v>CLM01193</v>
      </c>
      <c r="B1194" t="str">
        <f>'Claims Data'!B1194</f>
        <v>PAT0024</v>
      </c>
      <c r="C1194" t="str">
        <f>'Claims Data'!C1194</f>
        <v>PRV0029</v>
      </c>
      <c r="D1194" s="1">
        <f>'Claims Data'!D1194</f>
        <v>45010</v>
      </c>
      <c r="E1194">
        <f>'Claims Data'!H1194</f>
        <v>3.3</v>
      </c>
      <c r="F1194">
        <f>'Claims Data'!J1194</f>
        <v>227.9</v>
      </c>
      <c r="G1194">
        <f>'Claims Data'!M1194</f>
        <v>0</v>
      </c>
      <c r="H1194" t="b">
        <f>'Claims Data'!L1194</f>
        <v>0</v>
      </c>
      <c r="I1194">
        <f t="shared" si="36"/>
        <v>0</v>
      </c>
      <c r="J1194" t="str">
        <f t="shared" si="37"/>
        <v>Low Risk</v>
      </c>
    </row>
    <row r="1195" spans="1:10" x14ac:dyDescent="0.2">
      <c r="A1195" t="str">
        <f>'Claims Data'!A1195</f>
        <v>CLM01194</v>
      </c>
      <c r="B1195" t="str">
        <f>'Claims Data'!B1195</f>
        <v>PAT0190</v>
      </c>
      <c r="C1195" t="str">
        <f>'Claims Data'!C1195</f>
        <v>PRV0041</v>
      </c>
      <c r="D1195" s="1">
        <f>'Claims Data'!D1195</f>
        <v>45387</v>
      </c>
      <c r="E1195">
        <f>'Claims Data'!H1195</f>
        <v>5.9</v>
      </c>
      <c r="F1195">
        <f>'Claims Data'!J1195</f>
        <v>414.94</v>
      </c>
      <c r="G1195">
        <f>'Claims Data'!M1195</f>
        <v>0</v>
      </c>
      <c r="H1195" t="b">
        <f>'Claims Data'!L1195</f>
        <v>0</v>
      </c>
      <c r="I1195">
        <f t="shared" si="36"/>
        <v>0</v>
      </c>
      <c r="J1195" t="str">
        <f t="shared" si="37"/>
        <v>Low Risk</v>
      </c>
    </row>
    <row r="1196" spans="1:10" x14ac:dyDescent="0.2">
      <c r="A1196" t="str">
        <f>'Claims Data'!A1196</f>
        <v>CLM01195</v>
      </c>
      <c r="B1196" t="str">
        <f>'Claims Data'!B1196</f>
        <v>PAT0161</v>
      </c>
      <c r="C1196" t="str">
        <f>'Claims Data'!C1196</f>
        <v>PRV0047</v>
      </c>
      <c r="D1196" s="1">
        <f>'Claims Data'!D1196</f>
        <v>45610</v>
      </c>
      <c r="E1196">
        <f>'Claims Data'!H1196</f>
        <v>3</v>
      </c>
      <c r="F1196">
        <f>'Claims Data'!J1196</f>
        <v>146.77000000000001</v>
      </c>
      <c r="G1196">
        <f>'Claims Data'!M1196</f>
        <v>0</v>
      </c>
      <c r="H1196" t="b">
        <f>'Claims Data'!L1196</f>
        <v>0</v>
      </c>
      <c r="I1196">
        <f t="shared" si="36"/>
        <v>0</v>
      </c>
      <c r="J1196" t="str">
        <f t="shared" si="37"/>
        <v>Low Risk</v>
      </c>
    </row>
    <row r="1197" spans="1:10" x14ac:dyDescent="0.2">
      <c r="A1197" t="str">
        <f>'Claims Data'!A1197</f>
        <v>CLM01196</v>
      </c>
      <c r="B1197" t="str">
        <f>'Claims Data'!B1197</f>
        <v>PAT0038</v>
      </c>
      <c r="C1197" t="str">
        <f>'Claims Data'!C1197</f>
        <v>PRV0030</v>
      </c>
      <c r="D1197" s="1">
        <f>'Claims Data'!D1197</f>
        <v>45301</v>
      </c>
      <c r="E1197">
        <f>'Claims Data'!H1197</f>
        <v>6.5</v>
      </c>
      <c r="F1197">
        <f>'Claims Data'!J1197</f>
        <v>455.95</v>
      </c>
      <c r="G1197">
        <f>'Claims Data'!M1197</f>
        <v>0</v>
      </c>
      <c r="H1197" t="b">
        <f>'Claims Data'!L1197</f>
        <v>0</v>
      </c>
      <c r="I1197">
        <f t="shared" si="36"/>
        <v>0</v>
      </c>
      <c r="J1197" t="str">
        <f t="shared" si="37"/>
        <v>Low Risk</v>
      </c>
    </row>
    <row r="1198" spans="1:10" x14ac:dyDescent="0.2">
      <c r="A1198" t="str">
        <f>'Claims Data'!A1198</f>
        <v>CLM01197</v>
      </c>
      <c r="B1198" t="str">
        <f>'Claims Data'!B1198</f>
        <v>PAT0264</v>
      </c>
      <c r="C1198" t="str">
        <f>'Claims Data'!C1198</f>
        <v>PRV0053</v>
      </c>
      <c r="D1198" s="1">
        <f>'Claims Data'!D1198</f>
        <v>45447</v>
      </c>
      <c r="E1198">
        <f>'Claims Data'!H1198</f>
        <v>4.3</v>
      </c>
      <c r="F1198">
        <f>'Claims Data'!J1198</f>
        <v>289.55</v>
      </c>
      <c r="G1198">
        <f>'Claims Data'!M1198</f>
        <v>0</v>
      </c>
      <c r="H1198" t="b">
        <f>'Claims Data'!L1198</f>
        <v>0</v>
      </c>
      <c r="I1198">
        <f t="shared" si="36"/>
        <v>0</v>
      </c>
      <c r="J1198" t="str">
        <f t="shared" si="37"/>
        <v>Low Risk</v>
      </c>
    </row>
    <row r="1199" spans="1:10" x14ac:dyDescent="0.2">
      <c r="A1199" t="str">
        <f>'Claims Data'!A1199</f>
        <v>CLM01198</v>
      </c>
      <c r="B1199" t="str">
        <f>'Claims Data'!B1199</f>
        <v>PAT0073</v>
      </c>
      <c r="C1199" t="str">
        <f>'Claims Data'!C1199</f>
        <v>PRV0046</v>
      </c>
      <c r="D1199" s="1">
        <f>'Claims Data'!D1199</f>
        <v>45345</v>
      </c>
      <c r="E1199">
        <f>'Claims Data'!H1199</f>
        <v>2.9</v>
      </c>
      <c r="F1199">
        <f>'Claims Data'!J1199</f>
        <v>223.93</v>
      </c>
      <c r="G1199">
        <f>'Claims Data'!M1199</f>
        <v>0</v>
      </c>
      <c r="H1199" t="b">
        <f>'Claims Data'!L1199</f>
        <v>0</v>
      </c>
      <c r="I1199">
        <f t="shared" si="36"/>
        <v>0</v>
      </c>
      <c r="J1199" t="str">
        <f t="shared" si="37"/>
        <v>Low Risk</v>
      </c>
    </row>
    <row r="1200" spans="1:10" x14ac:dyDescent="0.2">
      <c r="A1200" t="str">
        <f>'Claims Data'!A1200</f>
        <v>CLM01199</v>
      </c>
      <c r="B1200" t="str">
        <f>'Claims Data'!B1200</f>
        <v>PAT0172</v>
      </c>
      <c r="C1200" t="str">
        <f>'Claims Data'!C1200</f>
        <v>PRV0007</v>
      </c>
      <c r="D1200" s="1">
        <f>'Claims Data'!D1200</f>
        <v>44965</v>
      </c>
      <c r="E1200">
        <f>'Claims Data'!H1200</f>
        <v>7.6</v>
      </c>
      <c r="F1200">
        <f>'Claims Data'!J1200</f>
        <v>394.66</v>
      </c>
      <c r="G1200">
        <f>'Claims Data'!M1200</f>
        <v>0</v>
      </c>
      <c r="H1200" t="b">
        <f>'Claims Data'!L1200</f>
        <v>0</v>
      </c>
      <c r="I1200">
        <f t="shared" si="36"/>
        <v>0</v>
      </c>
      <c r="J1200" t="str">
        <f t="shared" si="37"/>
        <v>Low Risk</v>
      </c>
    </row>
    <row r="1201" spans="1:10" x14ac:dyDescent="0.2">
      <c r="A1201" t="str">
        <f>'Claims Data'!A1201</f>
        <v>CLM01200</v>
      </c>
      <c r="B1201" t="str">
        <f>'Claims Data'!B1201</f>
        <v>PAT0269</v>
      </c>
      <c r="C1201" t="str">
        <f>'Claims Data'!C1201</f>
        <v>PRV0016</v>
      </c>
      <c r="D1201" s="1">
        <f>'Claims Data'!D1201</f>
        <v>45286</v>
      </c>
      <c r="E1201">
        <f>'Claims Data'!H1201</f>
        <v>7.8</v>
      </c>
      <c r="F1201">
        <f>'Claims Data'!J1201</f>
        <v>514.59</v>
      </c>
      <c r="G1201">
        <f>'Claims Data'!M1201</f>
        <v>0</v>
      </c>
      <c r="H1201" t="b">
        <f>'Claims Data'!L1201</f>
        <v>0</v>
      </c>
      <c r="I1201">
        <f t="shared" si="36"/>
        <v>0</v>
      </c>
      <c r="J1201" t="str">
        <f t="shared" si="37"/>
        <v>Low Risk</v>
      </c>
    </row>
    <row r="1202" spans="1:10" x14ac:dyDescent="0.2">
      <c r="A1202" t="str">
        <f>'Claims Data'!A1202</f>
        <v>CLM01201</v>
      </c>
      <c r="B1202" t="str">
        <f>'Claims Data'!B1202</f>
        <v>PAT0144</v>
      </c>
      <c r="C1202" t="str">
        <f>'Claims Data'!C1202</f>
        <v>PRV0055</v>
      </c>
      <c r="D1202" s="1">
        <f>'Claims Data'!D1202</f>
        <v>44945</v>
      </c>
      <c r="E1202">
        <f>'Claims Data'!H1202</f>
        <v>7.5</v>
      </c>
      <c r="F1202">
        <f>'Claims Data'!J1202</f>
        <v>474.34</v>
      </c>
      <c r="G1202">
        <f>'Claims Data'!M1202</f>
        <v>0</v>
      </c>
      <c r="H1202" t="b">
        <f>'Claims Data'!L1202</f>
        <v>0</v>
      </c>
      <c r="I1202">
        <f t="shared" si="36"/>
        <v>0</v>
      </c>
      <c r="J1202" t="str">
        <f t="shared" si="37"/>
        <v>Low Risk</v>
      </c>
    </row>
    <row r="1203" spans="1:10" x14ac:dyDescent="0.2">
      <c r="A1203" t="str">
        <f>'Claims Data'!A1203</f>
        <v>CLM01202</v>
      </c>
      <c r="B1203" t="str">
        <f>'Claims Data'!B1203</f>
        <v>PAT0189</v>
      </c>
      <c r="C1203" t="str">
        <f>'Claims Data'!C1203</f>
        <v>PRV0057</v>
      </c>
      <c r="D1203" s="1">
        <f>'Claims Data'!D1203</f>
        <v>45380</v>
      </c>
      <c r="E1203">
        <f>'Claims Data'!H1203</f>
        <v>4</v>
      </c>
      <c r="F1203">
        <f>'Claims Data'!J1203</f>
        <v>164.1</v>
      </c>
      <c r="G1203">
        <f>'Claims Data'!M1203</f>
        <v>0</v>
      </c>
      <c r="H1203" t="b">
        <f>'Claims Data'!L1203</f>
        <v>0</v>
      </c>
      <c r="I1203">
        <f t="shared" si="36"/>
        <v>0</v>
      </c>
      <c r="J1203" t="str">
        <f t="shared" si="37"/>
        <v>Low Risk</v>
      </c>
    </row>
    <row r="1204" spans="1:10" x14ac:dyDescent="0.2">
      <c r="A1204" t="str">
        <f>'Claims Data'!A1204</f>
        <v>CLM01203</v>
      </c>
      <c r="B1204" t="str">
        <f>'Claims Data'!B1204</f>
        <v>PAT0021</v>
      </c>
      <c r="C1204" t="str">
        <f>'Claims Data'!C1204</f>
        <v>PRV0014</v>
      </c>
      <c r="D1204" s="1">
        <f>'Claims Data'!D1204</f>
        <v>45208</v>
      </c>
      <c r="E1204">
        <f>'Claims Data'!H1204</f>
        <v>5.9</v>
      </c>
      <c r="F1204">
        <f>'Claims Data'!J1204</f>
        <v>285.97000000000003</v>
      </c>
      <c r="G1204">
        <f>'Claims Data'!M1204</f>
        <v>0</v>
      </c>
      <c r="H1204" t="b">
        <f>'Claims Data'!L1204</f>
        <v>0</v>
      </c>
      <c r="I1204">
        <f t="shared" si="36"/>
        <v>0</v>
      </c>
      <c r="J1204" t="str">
        <f t="shared" si="37"/>
        <v>Low Risk</v>
      </c>
    </row>
    <row r="1205" spans="1:10" x14ac:dyDescent="0.2">
      <c r="A1205" t="str">
        <f>'Claims Data'!A1205</f>
        <v>CLM01204</v>
      </c>
      <c r="B1205" t="str">
        <f>'Claims Data'!B1205</f>
        <v>PAT0068</v>
      </c>
      <c r="C1205" t="str">
        <f>'Claims Data'!C1205</f>
        <v>PRV0009</v>
      </c>
      <c r="D1205" s="1">
        <f>'Claims Data'!D1205</f>
        <v>45559</v>
      </c>
      <c r="E1205">
        <f>'Claims Data'!H1205</f>
        <v>6.4</v>
      </c>
      <c r="F1205">
        <f>'Claims Data'!J1205</f>
        <v>386.07</v>
      </c>
      <c r="G1205">
        <f>'Claims Data'!M1205</f>
        <v>0</v>
      </c>
      <c r="H1205" t="b">
        <f>'Claims Data'!L1205</f>
        <v>0</v>
      </c>
      <c r="I1205">
        <f t="shared" si="36"/>
        <v>0</v>
      </c>
      <c r="J1205" t="str">
        <f t="shared" si="37"/>
        <v>Low Risk</v>
      </c>
    </row>
    <row r="1206" spans="1:10" x14ac:dyDescent="0.2">
      <c r="A1206" t="str">
        <f>'Claims Data'!A1206</f>
        <v>CLM01205</v>
      </c>
      <c r="B1206" t="str">
        <f>'Claims Data'!B1206</f>
        <v>PAT0072</v>
      </c>
      <c r="C1206" t="str">
        <f>'Claims Data'!C1206</f>
        <v>PRV0042</v>
      </c>
      <c r="D1206" s="1">
        <f>'Claims Data'!D1206</f>
        <v>45248</v>
      </c>
      <c r="E1206">
        <f>'Claims Data'!H1206</f>
        <v>6.1</v>
      </c>
      <c r="F1206">
        <f>'Claims Data'!J1206</f>
        <v>516.02</v>
      </c>
      <c r="G1206">
        <f>'Claims Data'!M1206</f>
        <v>0</v>
      </c>
      <c r="H1206" t="b">
        <f>'Claims Data'!L1206</f>
        <v>0</v>
      </c>
      <c r="I1206">
        <f t="shared" si="36"/>
        <v>0</v>
      </c>
      <c r="J1206" t="str">
        <f t="shared" si="37"/>
        <v>Low Risk</v>
      </c>
    </row>
    <row r="1207" spans="1:10" x14ac:dyDescent="0.2">
      <c r="A1207" t="str">
        <f>'Claims Data'!A1207</f>
        <v>CLM01206</v>
      </c>
      <c r="B1207" t="str">
        <f>'Claims Data'!B1207</f>
        <v>PAT0241</v>
      </c>
      <c r="C1207" t="str">
        <f>'Claims Data'!C1207</f>
        <v>PRV0004</v>
      </c>
      <c r="D1207" s="1">
        <f>'Claims Data'!D1207</f>
        <v>44988</v>
      </c>
      <c r="E1207">
        <f>'Claims Data'!H1207</f>
        <v>6</v>
      </c>
      <c r="F1207">
        <f>'Claims Data'!J1207</f>
        <v>449.41</v>
      </c>
      <c r="G1207" t="str">
        <f>'Claims Data'!M1207</f>
        <v>duplicate_claim</v>
      </c>
      <c r="H1207" t="b">
        <f>'Claims Data'!L1207</f>
        <v>1</v>
      </c>
      <c r="I1207">
        <f t="shared" si="36"/>
        <v>10</v>
      </c>
      <c r="J1207" t="str">
        <f t="shared" si="37"/>
        <v>Low Risk</v>
      </c>
    </row>
    <row r="1208" spans="1:10" x14ac:dyDescent="0.2">
      <c r="A1208" t="str">
        <f>'Claims Data'!A1208</f>
        <v>CLM01207</v>
      </c>
      <c r="B1208" t="str">
        <f>'Claims Data'!B1208</f>
        <v>PAT0142</v>
      </c>
      <c r="C1208" t="str">
        <f>'Claims Data'!C1208</f>
        <v>PRV0003</v>
      </c>
      <c r="D1208" s="1">
        <f>'Claims Data'!D1208</f>
        <v>45547</v>
      </c>
      <c r="E1208">
        <f>'Claims Data'!H1208</f>
        <v>2.6</v>
      </c>
      <c r="F1208">
        <f>'Claims Data'!J1208</f>
        <v>81.209999999999994</v>
      </c>
      <c r="G1208">
        <f>'Claims Data'!M1208</f>
        <v>0</v>
      </c>
      <c r="H1208" t="b">
        <f>'Claims Data'!L1208</f>
        <v>0</v>
      </c>
      <c r="I1208">
        <f t="shared" si="36"/>
        <v>0</v>
      </c>
      <c r="J1208" t="str">
        <f t="shared" si="37"/>
        <v>Low Risk</v>
      </c>
    </row>
    <row r="1209" spans="1:10" x14ac:dyDescent="0.2">
      <c r="A1209" t="str">
        <f>'Claims Data'!A1209</f>
        <v>CLM01208</v>
      </c>
      <c r="B1209" t="str">
        <f>'Claims Data'!B1209</f>
        <v>PAT0160</v>
      </c>
      <c r="C1209" t="str">
        <f>'Claims Data'!C1209</f>
        <v>PRV0025</v>
      </c>
      <c r="D1209" s="1">
        <f>'Claims Data'!D1209</f>
        <v>45296</v>
      </c>
      <c r="E1209">
        <f>'Claims Data'!H1209</f>
        <v>3.3</v>
      </c>
      <c r="F1209">
        <f>'Claims Data'!J1209</f>
        <v>138.59</v>
      </c>
      <c r="G1209">
        <f>'Claims Data'!M1209</f>
        <v>0</v>
      </c>
      <c r="H1209" t="b">
        <f>'Claims Data'!L1209</f>
        <v>0</v>
      </c>
      <c r="I1209">
        <f t="shared" si="36"/>
        <v>0</v>
      </c>
      <c r="J1209" t="str">
        <f t="shared" si="37"/>
        <v>Low Risk</v>
      </c>
    </row>
    <row r="1210" spans="1:10" x14ac:dyDescent="0.2">
      <c r="A1210" t="str">
        <f>'Claims Data'!A1210</f>
        <v>CLM01209</v>
      </c>
      <c r="B1210" t="str">
        <f>'Claims Data'!B1210</f>
        <v>PAT0187</v>
      </c>
      <c r="C1210" t="str">
        <f>'Claims Data'!C1210</f>
        <v>PRV0045</v>
      </c>
      <c r="D1210" s="1">
        <f>'Claims Data'!D1210</f>
        <v>45634</v>
      </c>
      <c r="E1210">
        <f>'Claims Data'!H1210</f>
        <v>2.1</v>
      </c>
      <c r="F1210">
        <f>'Claims Data'!J1210</f>
        <v>64.08</v>
      </c>
      <c r="G1210">
        <f>'Claims Data'!M1210</f>
        <v>0</v>
      </c>
      <c r="H1210" t="b">
        <f>'Claims Data'!L1210</f>
        <v>0</v>
      </c>
      <c r="I1210">
        <f t="shared" si="36"/>
        <v>0</v>
      </c>
      <c r="J1210" t="str">
        <f t="shared" si="37"/>
        <v>Low Risk</v>
      </c>
    </row>
    <row r="1211" spans="1:10" x14ac:dyDescent="0.2">
      <c r="A1211" t="str">
        <f>'Claims Data'!A1211</f>
        <v>CLM01210</v>
      </c>
      <c r="B1211" t="str">
        <f>'Claims Data'!B1211</f>
        <v>PAT0279</v>
      </c>
      <c r="C1211" t="str">
        <f>'Claims Data'!C1211</f>
        <v>PRV0038</v>
      </c>
      <c r="D1211" s="1">
        <f>'Claims Data'!D1211</f>
        <v>45133</v>
      </c>
      <c r="E1211">
        <f>'Claims Data'!H1211</f>
        <v>7.7</v>
      </c>
      <c r="F1211">
        <f>'Claims Data'!J1211</f>
        <v>487.29</v>
      </c>
      <c r="G1211">
        <f>'Claims Data'!M1211</f>
        <v>0</v>
      </c>
      <c r="H1211" t="b">
        <f>'Claims Data'!L1211</f>
        <v>0</v>
      </c>
      <c r="I1211">
        <f t="shared" si="36"/>
        <v>0</v>
      </c>
      <c r="J1211" t="str">
        <f t="shared" si="37"/>
        <v>Low Risk</v>
      </c>
    </row>
    <row r="1212" spans="1:10" x14ac:dyDescent="0.2">
      <c r="A1212" t="str">
        <f>'Claims Data'!A1212</f>
        <v>CLM01211</v>
      </c>
      <c r="B1212" t="str">
        <f>'Claims Data'!B1212</f>
        <v>PAT0287</v>
      </c>
      <c r="C1212" t="str">
        <f>'Claims Data'!C1212</f>
        <v>PRV0016</v>
      </c>
      <c r="D1212" s="1">
        <f>'Claims Data'!D1212</f>
        <v>45415</v>
      </c>
      <c r="E1212">
        <f>'Claims Data'!H1212</f>
        <v>2.5</v>
      </c>
      <c r="F1212">
        <f>'Claims Data'!J1212</f>
        <v>153.19999999999999</v>
      </c>
      <c r="G1212">
        <f>'Claims Data'!M1212</f>
        <v>0</v>
      </c>
      <c r="H1212" t="b">
        <f>'Claims Data'!L1212</f>
        <v>0</v>
      </c>
      <c r="I1212">
        <f t="shared" si="36"/>
        <v>0</v>
      </c>
      <c r="J1212" t="str">
        <f t="shared" si="37"/>
        <v>Low Risk</v>
      </c>
    </row>
    <row r="1213" spans="1:10" x14ac:dyDescent="0.2">
      <c r="A1213" t="str">
        <f>'Claims Data'!A1213</f>
        <v>CLM01212</v>
      </c>
      <c r="B1213" t="str">
        <f>'Claims Data'!B1213</f>
        <v>PAT0268</v>
      </c>
      <c r="C1213" t="str">
        <f>'Claims Data'!C1213</f>
        <v>PRV0037</v>
      </c>
      <c r="D1213" s="1">
        <f>'Claims Data'!D1213</f>
        <v>45258</v>
      </c>
      <c r="E1213">
        <f>'Claims Data'!H1213</f>
        <v>7.4</v>
      </c>
      <c r="F1213">
        <f>'Claims Data'!J1213</f>
        <v>493.87</v>
      </c>
      <c r="G1213">
        <f>'Claims Data'!M1213</f>
        <v>0</v>
      </c>
      <c r="H1213" t="b">
        <f>'Claims Data'!L1213</f>
        <v>0</v>
      </c>
      <c r="I1213">
        <f t="shared" si="36"/>
        <v>0</v>
      </c>
      <c r="J1213" t="str">
        <f t="shared" si="37"/>
        <v>Low Risk</v>
      </c>
    </row>
    <row r="1214" spans="1:10" x14ac:dyDescent="0.2">
      <c r="A1214" t="str">
        <f>'Claims Data'!A1214</f>
        <v>CLM01213</v>
      </c>
      <c r="B1214" t="str">
        <f>'Claims Data'!B1214</f>
        <v>PAT0218</v>
      </c>
      <c r="C1214" t="str">
        <f>'Claims Data'!C1214</f>
        <v>PRV0010</v>
      </c>
      <c r="D1214" s="1">
        <f>'Claims Data'!D1214</f>
        <v>45332</v>
      </c>
      <c r="E1214">
        <f>'Claims Data'!H1214</f>
        <v>4.8</v>
      </c>
      <c r="F1214">
        <f>'Claims Data'!J1214</f>
        <v>389.62</v>
      </c>
      <c r="G1214">
        <f>'Claims Data'!M1214</f>
        <v>0</v>
      </c>
      <c r="H1214" t="b">
        <f>'Claims Data'!L1214</f>
        <v>0</v>
      </c>
      <c r="I1214">
        <f t="shared" si="36"/>
        <v>0</v>
      </c>
      <c r="J1214" t="str">
        <f t="shared" si="37"/>
        <v>Low Risk</v>
      </c>
    </row>
    <row r="1215" spans="1:10" x14ac:dyDescent="0.2">
      <c r="A1215" t="str">
        <f>'Claims Data'!A1215</f>
        <v>CLM01214</v>
      </c>
      <c r="B1215" t="str">
        <f>'Claims Data'!B1215</f>
        <v>PAT0137</v>
      </c>
      <c r="C1215" t="str">
        <f>'Claims Data'!C1215</f>
        <v>PRV0017</v>
      </c>
      <c r="D1215" s="1">
        <f>'Claims Data'!D1215</f>
        <v>46262</v>
      </c>
      <c r="E1215">
        <f>'Claims Data'!H1215</f>
        <v>7.5</v>
      </c>
      <c r="F1215">
        <f>'Claims Data'!J1215</f>
        <v>311.87</v>
      </c>
      <c r="G1215" t="str">
        <f>'Claims Data'!M1215</f>
        <v>deceased_patient_billing</v>
      </c>
      <c r="H1215" t="b">
        <f>'Claims Data'!L1215</f>
        <v>1</v>
      </c>
      <c r="I1215">
        <f t="shared" si="36"/>
        <v>10</v>
      </c>
      <c r="J1215" t="str">
        <f t="shared" si="37"/>
        <v>Low Risk</v>
      </c>
    </row>
    <row r="1216" spans="1:10" x14ac:dyDescent="0.2">
      <c r="A1216" t="str">
        <f>'Claims Data'!A1216</f>
        <v>CLM01215</v>
      </c>
      <c r="B1216" t="str">
        <f>'Claims Data'!B1216</f>
        <v>PAT0164</v>
      </c>
      <c r="C1216" t="str">
        <f>'Claims Data'!C1216</f>
        <v>PRV0056</v>
      </c>
      <c r="D1216" s="1">
        <f>'Claims Data'!D1216</f>
        <v>45071</v>
      </c>
      <c r="E1216">
        <f>'Claims Data'!H1216</f>
        <v>3.5</v>
      </c>
      <c r="F1216">
        <f>'Claims Data'!J1216</f>
        <v>251.45</v>
      </c>
      <c r="G1216">
        <f>'Claims Data'!M1216</f>
        <v>0</v>
      </c>
      <c r="H1216" t="b">
        <f>'Claims Data'!L1216</f>
        <v>0</v>
      </c>
      <c r="I1216">
        <f t="shared" si="36"/>
        <v>0</v>
      </c>
      <c r="J1216" t="str">
        <f t="shared" si="37"/>
        <v>Low Risk</v>
      </c>
    </row>
    <row r="1217" spans="1:10" x14ac:dyDescent="0.2">
      <c r="A1217" t="str">
        <f>'Claims Data'!A1217</f>
        <v>CLM01216</v>
      </c>
      <c r="B1217" t="str">
        <f>'Claims Data'!B1217</f>
        <v>PAT0147</v>
      </c>
      <c r="C1217" t="str">
        <f>'Claims Data'!C1217</f>
        <v>PRV0010</v>
      </c>
      <c r="D1217" s="1">
        <f>'Claims Data'!D1217</f>
        <v>45409</v>
      </c>
      <c r="E1217">
        <f>'Claims Data'!H1217</f>
        <v>4.3</v>
      </c>
      <c r="F1217">
        <f>'Claims Data'!J1217</f>
        <v>193.32</v>
      </c>
      <c r="G1217">
        <f>'Claims Data'!M1217</f>
        <v>0</v>
      </c>
      <c r="H1217" t="b">
        <f>'Claims Data'!L1217</f>
        <v>0</v>
      </c>
      <c r="I1217">
        <f t="shared" si="36"/>
        <v>0</v>
      </c>
      <c r="J1217" t="str">
        <f t="shared" si="37"/>
        <v>Low Risk</v>
      </c>
    </row>
    <row r="1218" spans="1:10" x14ac:dyDescent="0.2">
      <c r="A1218" t="str">
        <f>'Claims Data'!A1218</f>
        <v>CLM01217</v>
      </c>
      <c r="B1218" t="str">
        <f>'Claims Data'!B1218</f>
        <v>PAT0028</v>
      </c>
      <c r="C1218" t="str">
        <f>'Claims Data'!C1218</f>
        <v>PRV0021</v>
      </c>
      <c r="D1218" s="1">
        <f>'Claims Data'!D1218</f>
        <v>45002</v>
      </c>
      <c r="E1218">
        <f>'Claims Data'!H1218</f>
        <v>7.7</v>
      </c>
      <c r="F1218">
        <f>'Claims Data'!J1218</f>
        <v>314.77999999999997</v>
      </c>
      <c r="G1218">
        <f>'Claims Data'!M1218</f>
        <v>0</v>
      </c>
      <c r="H1218" t="b">
        <f>'Claims Data'!L1218</f>
        <v>0</v>
      </c>
      <c r="I1218">
        <f t="shared" si="36"/>
        <v>0</v>
      </c>
      <c r="J1218" t="str">
        <f t="shared" si="37"/>
        <v>Low Risk</v>
      </c>
    </row>
    <row r="1219" spans="1:10" x14ac:dyDescent="0.2">
      <c r="A1219" t="str">
        <f>'Claims Data'!A1219</f>
        <v>CLM01218</v>
      </c>
      <c r="B1219" t="str">
        <f>'Claims Data'!B1219</f>
        <v>PAT0124</v>
      </c>
      <c r="C1219" t="str">
        <f>'Claims Data'!C1219</f>
        <v>PRV0021</v>
      </c>
      <c r="D1219" s="1">
        <f>'Claims Data'!D1219</f>
        <v>38661</v>
      </c>
      <c r="E1219">
        <f>'Claims Data'!H1219</f>
        <v>5</v>
      </c>
      <c r="F1219">
        <f>'Claims Data'!J1219</f>
        <v>403.58</v>
      </c>
      <c r="G1219" t="str">
        <f>'Claims Data'!M1219</f>
        <v>deceased_patient_billing</v>
      </c>
      <c r="H1219" t="b">
        <f>'Claims Data'!L1219</f>
        <v>1</v>
      </c>
      <c r="I1219">
        <f t="shared" ref="I1219:I1282" si="38">IF(E1219&gt;16,40,0)+IF(MOD(F1219,250)=0,30,0)+IF(H1219=TRUE,10,0)</f>
        <v>10</v>
      </c>
      <c r="J1219" t="str">
        <f t="shared" ref="J1219:J1282" si="39">IF(I1219&gt;=70,"High Risk",IF(I1219&gt;=30,"Medium Risk","Low Risk"))</f>
        <v>Low Risk</v>
      </c>
    </row>
    <row r="1220" spans="1:10" x14ac:dyDescent="0.2">
      <c r="A1220" t="str">
        <f>'Claims Data'!A1220</f>
        <v>CLM01219</v>
      </c>
      <c r="B1220" t="str">
        <f>'Claims Data'!B1220</f>
        <v>PAT0114</v>
      </c>
      <c r="C1220" t="str">
        <f>'Claims Data'!C1220</f>
        <v>PRV0042</v>
      </c>
      <c r="D1220" s="1">
        <f>'Claims Data'!D1220</f>
        <v>45322</v>
      </c>
      <c r="E1220">
        <f>'Claims Data'!H1220</f>
        <v>3.1</v>
      </c>
      <c r="F1220">
        <f>'Claims Data'!J1220</f>
        <v>169.02</v>
      </c>
      <c r="G1220">
        <f>'Claims Data'!M1220</f>
        <v>0</v>
      </c>
      <c r="H1220" t="b">
        <f>'Claims Data'!L1220</f>
        <v>0</v>
      </c>
      <c r="I1220">
        <f t="shared" si="38"/>
        <v>0</v>
      </c>
      <c r="J1220" t="str">
        <f t="shared" si="39"/>
        <v>Low Risk</v>
      </c>
    </row>
    <row r="1221" spans="1:10" x14ac:dyDescent="0.2">
      <c r="A1221" t="str">
        <f>'Claims Data'!A1221</f>
        <v>CLM01220</v>
      </c>
      <c r="B1221" t="str">
        <f>'Claims Data'!B1221</f>
        <v>PAT0187</v>
      </c>
      <c r="C1221" t="str">
        <f>'Claims Data'!C1221</f>
        <v>PRV0045</v>
      </c>
      <c r="D1221" s="1">
        <f>'Claims Data'!D1221</f>
        <v>45543</v>
      </c>
      <c r="E1221">
        <f>'Claims Data'!H1221</f>
        <v>3.3</v>
      </c>
      <c r="F1221">
        <f>'Claims Data'!J1221</f>
        <v>209.88</v>
      </c>
      <c r="G1221">
        <f>'Claims Data'!M1221</f>
        <v>0</v>
      </c>
      <c r="H1221" t="b">
        <f>'Claims Data'!L1221</f>
        <v>0</v>
      </c>
      <c r="I1221">
        <f t="shared" si="38"/>
        <v>0</v>
      </c>
      <c r="J1221" t="str">
        <f t="shared" si="39"/>
        <v>Low Risk</v>
      </c>
    </row>
    <row r="1222" spans="1:10" x14ac:dyDescent="0.2">
      <c r="A1222" t="str">
        <f>'Claims Data'!A1222</f>
        <v>CLM01221</v>
      </c>
      <c r="B1222" t="str">
        <f>'Claims Data'!B1222</f>
        <v>PAT0194</v>
      </c>
      <c r="C1222" t="str">
        <f>'Claims Data'!C1222</f>
        <v>PRV0008</v>
      </c>
      <c r="D1222" s="1">
        <f>'Claims Data'!D1222</f>
        <v>45648</v>
      </c>
      <c r="E1222">
        <f>'Claims Data'!H1222</f>
        <v>2.6</v>
      </c>
      <c r="F1222">
        <f>'Claims Data'!J1222</f>
        <v>76.38</v>
      </c>
      <c r="G1222">
        <f>'Claims Data'!M1222</f>
        <v>0</v>
      </c>
      <c r="H1222" t="b">
        <f>'Claims Data'!L1222</f>
        <v>0</v>
      </c>
      <c r="I1222">
        <f t="shared" si="38"/>
        <v>0</v>
      </c>
      <c r="J1222" t="str">
        <f t="shared" si="39"/>
        <v>Low Risk</v>
      </c>
    </row>
    <row r="1223" spans="1:10" x14ac:dyDescent="0.2">
      <c r="A1223" t="str">
        <f>'Claims Data'!A1223</f>
        <v>CLM01222</v>
      </c>
      <c r="B1223" t="str">
        <f>'Claims Data'!B1223</f>
        <v>PAT0179</v>
      </c>
      <c r="C1223" t="str">
        <f>'Claims Data'!C1223</f>
        <v>PRV0047</v>
      </c>
      <c r="D1223" s="1">
        <f>'Claims Data'!D1223</f>
        <v>45172</v>
      </c>
      <c r="E1223">
        <f>'Claims Data'!H1223</f>
        <v>6.7</v>
      </c>
      <c r="F1223">
        <f>'Claims Data'!J1223</f>
        <v>175.04</v>
      </c>
      <c r="G1223">
        <f>'Claims Data'!M1223</f>
        <v>0</v>
      </c>
      <c r="H1223" t="b">
        <f>'Claims Data'!L1223</f>
        <v>0</v>
      </c>
      <c r="I1223">
        <f t="shared" si="38"/>
        <v>0</v>
      </c>
      <c r="J1223" t="str">
        <f t="shared" si="39"/>
        <v>Low Risk</v>
      </c>
    </row>
    <row r="1224" spans="1:10" x14ac:dyDescent="0.2">
      <c r="A1224" t="str">
        <f>'Claims Data'!A1224</f>
        <v>CLM01223</v>
      </c>
      <c r="B1224" t="str">
        <f>'Claims Data'!B1224</f>
        <v>PAT0164</v>
      </c>
      <c r="C1224" t="str">
        <f>'Claims Data'!C1224</f>
        <v>PRV0015</v>
      </c>
      <c r="D1224" s="1">
        <f>'Claims Data'!D1224</f>
        <v>45121</v>
      </c>
      <c r="E1224">
        <f>'Claims Data'!H1224</f>
        <v>5.9</v>
      </c>
      <c r="F1224">
        <f>'Claims Data'!J1224</f>
        <v>147.81</v>
      </c>
      <c r="G1224">
        <f>'Claims Data'!M1224</f>
        <v>0</v>
      </c>
      <c r="H1224" t="b">
        <f>'Claims Data'!L1224</f>
        <v>0</v>
      </c>
      <c r="I1224">
        <f t="shared" si="38"/>
        <v>0</v>
      </c>
      <c r="J1224" t="str">
        <f t="shared" si="39"/>
        <v>Low Risk</v>
      </c>
    </row>
    <row r="1225" spans="1:10" x14ac:dyDescent="0.2">
      <c r="A1225" t="str">
        <f>'Claims Data'!A1225</f>
        <v>CLM01224</v>
      </c>
      <c r="B1225" t="str">
        <f>'Claims Data'!B1225</f>
        <v>PAT0031</v>
      </c>
      <c r="C1225" t="str">
        <f>'Claims Data'!C1225</f>
        <v>PRV0004</v>
      </c>
      <c r="D1225" s="1">
        <f>'Claims Data'!D1225</f>
        <v>45310</v>
      </c>
      <c r="E1225">
        <f>'Claims Data'!H1225</f>
        <v>3.6</v>
      </c>
      <c r="F1225">
        <f>'Claims Data'!J1225</f>
        <v>241.21</v>
      </c>
      <c r="G1225">
        <f>'Claims Data'!M1225</f>
        <v>0</v>
      </c>
      <c r="H1225" t="b">
        <f>'Claims Data'!L1225</f>
        <v>0</v>
      </c>
      <c r="I1225">
        <f t="shared" si="38"/>
        <v>0</v>
      </c>
      <c r="J1225" t="str">
        <f t="shared" si="39"/>
        <v>Low Risk</v>
      </c>
    </row>
    <row r="1226" spans="1:10" x14ac:dyDescent="0.2">
      <c r="A1226" t="str">
        <f>'Claims Data'!A1226</f>
        <v>CLM01225</v>
      </c>
      <c r="B1226" t="str">
        <f>'Claims Data'!B1226</f>
        <v>PAT0223</v>
      </c>
      <c r="C1226" t="str">
        <f>'Claims Data'!C1226</f>
        <v>PRV0023</v>
      </c>
      <c r="D1226" s="1">
        <f>'Claims Data'!D1226</f>
        <v>45618</v>
      </c>
      <c r="E1226">
        <f>'Claims Data'!H1226</f>
        <v>5.0999999999999996</v>
      </c>
      <c r="F1226">
        <f>'Claims Data'!J1226</f>
        <v>415.11</v>
      </c>
      <c r="G1226">
        <f>'Claims Data'!M1226</f>
        <v>0</v>
      </c>
      <c r="H1226" t="b">
        <f>'Claims Data'!L1226</f>
        <v>0</v>
      </c>
      <c r="I1226">
        <f t="shared" si="38"/>
        <v>0</v>
      </c>
      <c r="J1226" t="str">
        <f t="shared" si="39"/>
        <v>Low Risk</v>
      </c>
    </row>
    <row r="1227" spans="1:10" x14ac:dyDescent="0.2">
      <c r="A1227" t="str">
        <f>'Claims Data'!A1227</f>
        <v>CLM01226</v>
      </c>
      <c r="B1227" t="str">
        <f>'Claims Data'!B1227</f>
        <v>PAT0132</v>
      </c>
      <c r="C1227" t="str">
        <f>'Claims Data'!C1227</f>
        <v>PRV0058</v>
      </c>
      <c r="D1227" s="1">
        <f>'Claims Data'!D1227</f>
        <v>45319</v>
      </c>
      <c r="E1227">
        <f>'Claims Data'!H1227</f>
        <v>4.5999999999999996</v>
      </c>
      <c r="F1227">
        <f>'Claims Data'!J1227</f>
        <v>347.96</v>
      </c>
      <c r="G1227">
        <f>'Claims Data'!M1227</f>
        <v>0</v>
      </c>
      <c r="H1227" t="b">
        <f>'Claims Data'!L1227</f>
        <v>0</v>
      </c>
      <c r="I1227">
        <f t="shared" si="38"/>
        <v>0</v>
      </c>
      <c r="J1227" t="str">
        <f t="shared" si="39"/>
        <v>Low Risk</v>
      </c>
    </row>
    <row r="1228" spans="1:10" x14ac:dyDescent="0.2">
      <c r="A1228" t="str">
        <f>'Claims Data'!A1228</f>
        <v>CLM01227</v>
      </c>
      <c r="B1228" t="str">
        <f>'Claims Data'!B1228</f>
        <v>PAT0222</v>
      </c>
      <c r="C1228" t="str">
        <f>'Claims Data'!C1228</f>
        <v>PRV0048</v>
      </c>
      <c r="D1228" s="1">
        <f>'Claims Data'!D1228</f>
        <v>45600</v>
      </c>
      <c r="E1228">
        <f>'Claims Data'!H1228</f>
        <v>2</v>
      </c>
      <c r="F1228">
        <f>'Claims Data'!J1228</f>
        <v>164.5</v>
      </c>
      <c r="G1228">
        <f>'Claims Data'!M1228</f>
        <v>0</v>
      </c>
      <c r="H1228" t="b">
        <f>'Claims Data'!L1228</f>
        <v>0</v>
      </c>
      <c r="I1228">
        <f t="shared" si="38"/>
        <v>0</v>
      </c>
      <c r="J1228" t="str">
        <f t="shared" si="39"/>
        <v>Low Risk</v>
      </c>
    </row>
    <row r="1229" spans="1:10" x14ac:dyDescent="0.2">
      <c r="A1229" t="str">
        <f>'Claims Data'!A1229</f>
        <v>CLM01228</v>
      </c>
      <c r="B1229" t="str">
        <f>'Claims Data'!B1229</f>
        <v>PAT0079</v>
      </c>
      <c r="C1229" t="str">
        <f>'Claims Data'!C1229</f>
        <v>PRV0015</v>
      </c>
      <c r="D1229" s="1">
        <f>'Claims Data'!D1229</f>
        <v>45058</v>
      </c>
      <c r="E1229">
        <f>'Claims Data'!H1229</f>
        <v>5.4</v>
      </c>
      <c r="F1229">
        <f>'Claims Data'!J1229</f>
        <v>437.95</v>
      </c>
      <c r="G1229">
        <f>'Claims Data'!M1229</f>
        <v>0</v>
      </c>
      <c r="H1229" t="b">
        <f>'Claims Data'!L1229</f>
        <v>0</v>
      </c>
      <c r="I1229">
        <f t="shared" si="38"/>
        <v>0</v>
      </c>
      <c r="J1229" t="str">
        <f t="shared" si="39"/>
        <v>Low Risk</v>
      </c>
    </row>
    <row r="1230" spans="1:10" x14ac:dyDescent="0.2">
      <c r="A1230" t="str">
        <f>'Claims Data'!A1230</f>
        <v>CLM01229</v>
      </c>
      <c r="B1230" t="str">
        <f>'Claims Data'!B1230</f>
        <v>PAT0247</v>
      </c>
      <c r="C1230" t="str">
        <f>'Claims Data'!C1230</f>
        <v>PRV0044</v>
      </c>
      <c r="D1230" s="1">
        <f>'Claims Data'!D1230</f>
        <v>45437</v>
      </c>
      <c r="E1230">
        <f>'Claims Data'!H1230</f>
        <v>6.1</v>
      </c>
      <c r="F1230">
        <f>'Claims Data'!J1230</f>
        <v>299.13</v>
      </c>
      <c r="G1230">
        <f>'Claims Data'!M1230</f>
        <v>0</v>
      </c>
      <c r="H1230" t="b">
        <f>'Claims Data'!L1230</f>
        <v>0</v>
      </c>
      <c r="I1230">
        <f t="shared" si="38"/>
        <v>0</v>
      </c>
      <c r="J1230" t="str">
        <f t="shared" si="39"/>
        <v>Low Risk</v>
      </c>
    </row>
    <row r="1231" spans="1:10" x14ac:dyDescent="0.2">
      <c r="A1231" t="str">
        <f>'Claims Data'!A1231</f>
        <v>CLM01230</v>
      </c>
      <c r="B1231" t="str">
        <f>'Claims Data'!B1231</f>
        <v>PAT0225</v>
      </c>
      <c r="C1231" t="str">
        <f>'Claims Data'!C1231</f>
        <v>PRV0040</v>
      </c>
      <c r="D1231" s="1">
        <f>'Claims Data'!D1231</f>
        <v>45260</v>
      </c>
      <c r="E1231">
        <f>'Claims Data'!H1231</f>
        <v>4.2</v>
      </c>
      <c r="F1231">
        <f>'Claims Data'!J1231</f>
        <v>320.04000000000002</v>
      </c>
      <c r="G1231">
        <f>'Claims Data'!M1231</f>
        <v>0</v>
      </c>
      <c r="H1231" t="b">
        <f>'Claims Data'!L1231</f>
        <v>0</v>
      </c>
      <c r="I1231">
        <f t="shared" si="38"/>
        <v>0</v>
      </c>
      <c r="J1231" t="str">
        <f t="shared" si="39"/>
        <v>Low Risk</v>
      </c>
    </row>
    <row r="1232" spans="1:10" x14ac:dyDescent="0.2">
      <c r="A1232" t="str">
        <f>'Claims Data'!A1232</f>
        <v>CLM01231</v>
      </c>
      <c r="B1232" t="str">
        <f>'Claims Data'!B1232</f>
        <v>PAT0179</v>
      </c>
      <c r="C1232" t="str">
        <f>'Claims Data'!C1232</f>
        <v>PRV0027</v>
      </c>
      <c r="D1232" s="1">
        <f>'Claims Data'!D1232</f>
        <v>45209</v>
      </c>
      <c r="E1232">
        <f>'Claims Data'!H1232</f>
        <v>7</v>
      </c>
      <c r="F1232">
        <f>'Claims Data'!J1232</f>
        <v>494.39</v>
      </c>
      <c r="G1232">
        <f>'Claims Data'!M1232</f>
        <v>0</v>
      </c>
      <c r="H1232" t="b">
        <f>'Claims Data'!L1232</f>
        <v>0</v>
      </c>
      <c r="I1232">
        <f t="shared" si="38"/>
        <v>0</v>
      </c>
      <c r="J1232" t="str">
        <f t="shared" si="39"/>
        <v>Low Risk</v>
      </c>
    </row>
    <row r="1233" spans="1:10" x14ac:dyDescent="0.2">
      <c r="A1233" t="str">
        <f>'Claims Data'!A1233</f>
        <v>CLM01232</v>
      </c>
      <c r="B1233" t="str">
        <f>'Claims Data'!B1233</f>
        <v>PAT0117</v>
      </c>
      <c r="C1233" t="str">
        <f>'Claims Data'!C1233</f>
        <v>PRV0001</v>
      </c>
      <c r="D1233" s="1">
        <f>'Claims Data'!D1233</f>
        <v>45387</v>
      </c>
      <c r="E1233">
        <f>'Claims Data'!H1233</f>
        <v>3.1</v>
      </c>
      <c r="F1233">
        <f>'Claims Data'!J1233</f>
        <v>84.82</v>
      </c>
      <c r="G1233">
        <f>'Claims Data'!M1233</f>
        <v>0</v>
      </c>
      <c r="H1233" t="b">
        <f>'Claims Data'!L1233</f>
        <v>0</v>
      </c>
      <c r="I1233">
        <f t="shared" si="38"/>
        <v>0</v>
      </c>
      <c r="J1233" t="str">
        <f t="shared" si="39"/>
        <v>Low Risk</v>
      </c>
    </row>
    <row r="1234" spans="1:10" x14ac:dyDescent="0.2">
      <c r="A1234" t="str">
        <f>'Claims Data'!A1234</f>
        <v>CLM01233</v>
      </c>
      <c r="B1234" t="str">
        <f>'Claims Data'!B1234</f>
        <v>PAT0126</v>
      </c>
      <c r="C1234" t="str">
        <f>'Claims Data'!C1234</f>
        <v>PRV0015</v>
      </c>
      <c r="D1234" s="1">
        <f>'Claims Data'!D1234</f>
        <v>45607</v>
      </c>
      <c r="E1234">
        <f>'Claims Data'!H1234</f>
        <v>3.8</v>
      </c>
      <c r="F1234">
        <f>'Claims Data'!J1234</f>
        <v>183.94</v>
      </c>
      <c r="G1234">
        <f>'Claims Data'!M1234</f>
        <v>0</v>
      </c>
      <c r="H1234" t="b">
        <f>'Claims Data'!L1234</f>
        <v>0</v>
      </c>
      <c r="I1234">
        <f t="shared" si="38"/>
        <v>0</v>
      </c>
      <c r="J1234" t="str">
        <f t="shared" si="39"/>
        <v>Low Risk</v>
      </c>
    </row>
    <row r="1235" spans="1:10" x14ac:dyDescent="0.2">
      <c r="A1235" t="str">
        <f>'Claims Data'!A1235</f>
        <v>CLM01234</v>
      </c>
      <c r="B1235" t="str">
        <f>'Claims Data'!B1235</f>
        <v>PAT0250</v>
      </c>
      <c r="C1235" t="str">
        <f>'Claims Data'!C1235</f>
        <v>PRV0057</v>
      </c>
      <c r="D1235" s="1">
        <f>'Claims Data'!D1235</f>
        <v>44992</v>
      </c>
      <c r="E1235">
        <f>'Claims Data'!H1235</f>
        <v>4.9000000000000004</v>
      </c>
      <c r="F1235">
        <f>'Claims Data'!J1235</f>
        <v>382.75</v>
      </c>
      <c r="G1235">
        <f>'Claims Data'!M1235</f>
        <v>0</v>
      </c>
      <c r="H1235" t="b">
        <f>'Claims Data'!L1235</f>
        <v>0</v>
      </c>
      <c r="I1235">
        <f t="shared" si="38"/>
        <v>0</v>
      </c>
      <c r="J1235" t="str">
        <f t="shared" si="39"/>
        <v>Low Risk</v>
      </c>
    </row>
    <row r="1236" spans="1:10" x14ac:dyDescent="0.2">
      <c r="A1236" t="str">
        <f>'Claims Data'!A1236</f>
        <v>CLM01235</v>
      </c>
      <c r="B1236" t="str">
        <f>'Claims Data'!B1236</f>
        <v>PAT0097</v>
      </c>
      <c r="C1236" t="str">
        <f>'Claims Data'!C1236</f>
        <v>PRV0012</v>
      </c>
      <c r="D1236" s="1">
        <f>'Claims Data'!D1236</f>
        <v>45148</v>
      </c>
      <c r="E1236">
        <f>'Claims Data'!H1236</f>
        <v>2.8</v>
      </c>
      <c r="F1236">
        <f>'Claims Data'!J1236</f>
        <v>102.44</v>
      </c>
      <c r="G1236">
        <f>'Claims Data'!M1236</f>
        <v>0</v>
      </c>
      <c r="H1236" t="b">
        <f>'Claims Data'!L1236</f>
        <v>0</v>
      </c>
      <c r="I1236">
        <f t="shared" si="38"/>
        <v>0</v>
      </c>
      <c r="J1236" t="str">
        <f t="shared" si="39"/>
        <v>Low Risk</v>
      </c>
    </row>
    <row r="1237" spans="1:10" x14ac:dyDescent="0.2">
      <c r="A1237" t="str">
        <f>'Claims Data'!A1237</f>
        <v>CLM01236</v>
      </c>
      <c r="B1237" t="str">
        <f>'Claims Data'!B1237</f>
        <v>PAT0117</v>
      </c>
      <c r="C1237" t="str">
        <f>'Claims Data'!C1237</f>
        <v>PRV0010</v>
      </c>
      <c r="D1237" s="1">
        <f>'Claims Data'!D1237</f>
        <v>45255</v>
      </c>
      <c r="E1237">
        <f>'Claims Data'!H1237</f>
        <v>4.9000000000000004</v>
      </c>
      <c r="F1237">
        <f>'Claims Data'!J1237</f>
        <v>141.02000000000001</v>
      </c>
      <c r="G1237">
        <f>'Claims Data'!M1237</f>
        <v>0</v>
      </c>
      <c r="H1237" t="b">
        <f>'Claims Data'!L1237</f>
        <v>0</v>
      </c>
      <c r="I1237">
        <f t="shared" si="38"/>
        <v>0</v>
      </c>
      <c r="J1237" t="str">
        <f t="shared" si="39"/>
        <v>Low Risk</v>
      </c>
    </row>
    <row r="1238" spans="1:10" x14ac:dyDescent="0.2">
      <c r="A1238" t="str">
        <f>'Claims Data'!A1238</f>
        <v>CLM01237</v>
      </c>
      <c r="B1238" t="str">
        <f>'Claims Data'!B1238</f>
        <v>PAT0266</v>
      </c>
      <c r="C1238" t="str">
        <f>'Claims Data'!C1238</f>
        <v>PRV0010</v>
      </c>
      <c r="D1238" s="1">
        <f>'Claims Data'!D1238</f>
        <v>45214</v>
      </c>
      <c r="E1238">
        <f>'Claims Data'!H1238</f>
        <v>5</v>
      </c>
      <c r="F1238">
        <f>'Claims Data'!J1238</f>
        <v>414.49</v>
      </c>
      <c r="G1238" t="str">
        <f>'Claims Data'!M1238</f>
        <v>duplicate_claim</v>
      </c>
      <c r="H1238" t="b">
        <f>'Claims Data'!L1238</f>
        <v>1</v>
      </c>
      <c r="I1238">
        <f t="shared" si="38"/>
        <v>10</v>
      </c>
      <c r="J1238" t="str">
        <f t="shared" si="39"/>
        <v>Low Risk</v>
      </c>
    </row>
    <row r="1239" spans="1:10" x14ac:dyDescent="0.2">
      <c r="A1239" t="str">
        <f>'Claims Data'!A1239</f>
        <v>CLM01238</v>
      </c>
      <c r="B1239" t="str">
        <f>'Claims Data'!B1239</f>
        <v>PAT0168</v>
      </c>
      <c r="C1239" t="str">
        <f>'Claims Data'!C1239</f>
        <v>PRV0036</v>
      </c>
      <c r="D1239" s="1">
        <f>'Claims Data'!D1239</f>
        <v>45211</v>
      </c>
      <c r="E1239">
        <f>'Claims Data'!H1239</f>
        <v>2.2000000000000002</v>
      </c>
      <c r="F1239">
        <f>'Claims Data'!J1239</f>
        <v>62.4</v>
      </c>
      <c r="G1239">
        <f>'Claims Data'!M1239</f>
        <v>0</v>
      </c>
      <c r="H1239" t="b">
        <f>'Claims Data'!L1239</f>
        <v>0</v>
      </c>
      <c r="I1239">
        <f t="shared" si="38"/>
        <v>0</v>
      </c>
      <c r="J1239" t="str">
        <f t="shared" si="39"/>
        <v>Low Risk</v>
      </c>
    </row>
    <row r="1240" spans="1:10" x14ac:dyDescent="0.2">
      <c r="A1240" t="str">
        <f>'Claims Data'!A1240</f>
        <v>CLM01239</v>
      </c>
      <c r="B1240" t="str">
        <f>'Claims Data'!B1240</f>
        <v>PAT0167</v>
      </c>
      <c r="C1240" t="str">
        <f>'Claims Data'!C1240</f>
        <v>PRV0004</v>
      </c>
      <c r="D1240" s="1">
        <f>'Claims Data'!D1240</f>
        <v>45331</v>
      </c>
      <c r="E1240">
        <f>'Claims Data'!H1240</f>
        <v>4.4000000000000004</v>
      </c>
      <c r="F1240">
        <f>'Claims Data'!J1240</f>
        <v>165.88</v>
      </c>
      <c r="G1240" t="str">
        <f>'Claims Data'!M1240</f>
        <v>duplicate_claim</v>
      </c>
      <c r="H1240" t="b">
        <f>'Claims Data'!L1240</f>
        <v>1</v>
      </c>
      <c r="I1240">
        <f t="shared" si="38"/>
        <v>10</v>
      </c>
      <c r="J1240" t="str">
        <f t="shared" si="39"/>
        <v>Low Risk</v>
      </c>
    </row>
    <row r="1241" spans="1:10" x14ac:dyDescent="0.2">
      <c r="A1241" t="str">
        <f>'Claims Data'!A1241</f>
        <v>CLM01240</v>
      </c>
      <c r="B1241" t="str">
        <f>'Claims Data'!B1241</f>
        <v>PAT0067</v>
      </c>
      <c r="C1241" t="str">
        <f>'Claims Data'!C1241</f>
        <v>PRV0017</v>
      </c>
      <c r="D1241" s="1">
        <f>'Claims Data'!D1241</f>
        <v>45585</v>
      </c>
      <c r="E1241">
        <f>'Claims Data'!H1241</f>
        <v>7.6</v>
      </c>
      <c r="F1241">
        <f>'Claims Data'!J1241</f>
        <v>586.80999999999995</v>
      </c>
      <c r="G1241">
        <f>'Claims Data'!M1241</f>
        <v>0</v>
      </c>
      <c r="H1241" t="b">
        <f>'Claims Data'!L1241</f>
        <v>0</v>
      </c>
      <c r="I1241">
        <f t="shared" si="38"/>
        <v>0</v>
      </c>
      <c r="J1241" t="str">
        <f t="shared" si="39"/>
        <v>Low Risk</v>
      </c>
    </row>
    <row r="1242" spans="1:10" x14ac:dyDescent="0.2">
      <c r="A1242" t="str">
        <f>'Claims Data'!A1242</f>
        <v>CLM01241</v>
      </c>
      <c r="B1242" t="str">
        <f>'Claims Data'!B1242</f>
        <v>PAT0012</v>
      </c>
      <c r="C1242" t="str">
        <f>'Claims Data'!C1242</f>
        <v>PRV0031</v>
      </c>
      <c r="D1242" s="1">
        <f>'Claims Data'!D1242</f>
        <v>45257</v>
      </c>
      <c r="E1242">
        <f>'Claims Data'!H1242</f>
        <v>6.4</v>
      </c>
      <c r="F1242">
        <f>'Claims Data'!J1242</f>
        <v>249.47</v>
      </c>
      <c r="G1242">
        <f>'Claims Data'!M1242</f>
        <v>0</v>
      </c>
      <c r="H1242" t="b">
        <f>'Claims Data'!L1242</f>
        <v>0</v>
      </c>
      <c r="I1242">
        <f t="shared" si="38"/>
        <v>0</v>
      </c>
      <c r="J1242" t="str">
        <f t="shared" si="39"/>
        <v>Low Risk</v>
      </c>
    </row>
    <row r="1243" spans="1:10" x14ac:dyDescent="0.2">
      <c r="A1243" t="str">
        <f>'Claims Data'!A1243</f>
        <v>CLM01242</v>
      </c>
      <c r="B1243" t="str">
        <f>'Claims Data'!B1243</f>
        <v>PAT0121</v>
      </c>
      <c r="C1243" t="str">
        <f>'Claims Data'!C1243</f>
        <v>PRV0034</v>
      </c>
      <c r="D1243" s="1">
        <f>'Claims Data'!D1243</f>
        <v>44949</v>
      </c>
      <c r="E1243">
        <f>'Claims Data'!H1243</f>
        <v>6.4</v>
      </c>
      <c r="F1243">
        <f>'Claims Data'!J1243</f>
        <v>347.74</v>
      </c>
      <c r="G1243">
        <f>'Claims Data'!M1243</f>
        <v>0</v>
      </c>
      <c r="H1243" t="b">
        <f>'Claims Data'!L1243</f>
        <v>0</v>
      </c>
      <c r="I1243">
        <f t="shared" si="38"/>
        <v>0</v>
      </c>
      <c r="J1243" t="str">
        <f t="shared" si="39"/>
        <v>Low Risk</v>
      </c>
    </row>
    <row r="1244" spans="1:10" x14ac:dyDescent="0.2">
      <c r="A1244" t="str">
        <f>'Claims Data'!A1244</f>
        <v>CLM01243</v>
      </c>
      <c r="B1244" t="str">
        <f>'Claims Data'!B1244</f>
        <v>PAT0084</v>
      </c>
      <c r="C1244" t="str">
        <f>'Claims Data'!C1244</f>
        <v>PRV0055</v>
      </c>
      <c r="D1244" s="1">
        <f>'Claims Data'!D1244</f>
        <v>45301</v>
      </c>
      <c r="E1244">
        <f>'Claims Data'!H1244</f>
        <v>7.4</v>
      </c>
      <c r="F1244">
        <f>'Claims Data'!J1244</f>
        <v>459.56</v>
      </c>
      <c r="G1244">
        <f>'Claims Data'!M1244</f>
        <v>0</v>
      </c>
      <c r="H1244" t="b">
        <f>'Claims Data'!L1244</f>
        <v>0</v>
      </c>
      <c r="I1244">
        <f t="shared" si="38"/>
        <v>0</v>
      </c>
      <c r="J1244" t="str">
        <f t="shared" si="39"/>
        <v>Low Risk</v>
      </c>
    </row>
    <row r="1245" spans="1:10" x14ac:dyDescent="0.2">
      <c r="A1245" t="str">
        <f>'Claims Data'!A1245</f>
        <v>CLM01244</v>
      </c>
      <c r="B1245" t="str">
        <f>'Claims Data'!B1245</f>
        <v>PAT0026</v>
      </c>
      <c r="C1245" t="str">
        <f>'Claims Data'!C1245</f>
        <v>PRV0006</v>
      </c>
      <c r="D1245" s="1">
        <f>'Claims Data'!D1245</f>
        <v>45492</v>
      </c>
      <c r="E1245">
        <f>'Claims Data'!H1245</f>
        <v>7.9</v>
      </c>
      <c r="F1245">
        <f>'Claims Data'!J1245</f>
        <v>500</v>
      </c>
      <c r="G1245" t="str">
        <f>'Claims Data'!M1245</f>
        <v>phantom_round_amount</v>
      </c>
      <c r="H1245" t="b">
        <f>'Claims Data'!L1245</f>
        <v>1</v>
      </c>
      <c r="I1245">
        <f t="shared" si="38"/>
        <v>40</v>
      </c>
      <c r="J1245" t="str">
        <f t="shared" si="39"/>
        <v>Medium Risk</v>
      </c>
    </row>
    <row r="1246" spans="1:10" x14ac:dyDescent="0.2">
      <c r="A1246" t="str">
        <f>'Claims Data'!A1246</f>
        <v>CLM01245</v>
      </c>
      <c r="B1246" t="str">
        <f>'Claims Data'!B1246</f>
        <v>PAT0120</v>
      </c>
      <c r="C1246" t="str">
        <f>'Claims Data'!C1246</f>
        <v>PRV0042</v>
      </c>
      <c r="D1246" s="1">
        <f>'Claims Data'!D1246</f>
        <v>42502</v>
      </c>
      <c r="E1246">
        <f>'Claims Data'!H1246</f>
        <v>4.7</v>
      </c>
      <c r="F1246">
        <f>'Claims Data'!J1246</f>
        <v>165.63</v>
      </c>
      <c r="G1246" t="str">
        <f>'Claims Data'!M1246</f>
        <v>deceased_patient_billing</v>
      </c>
      <c r="H1246" t="b">
        <f>'Claims Data'!L1246</f>
        <v>1</v>
      </c>
      <c r="I1246">
        <f t="shared" si="38"/>
        <v>10</v>
      </c>
      <c r="J1246" t="str">
        <f t="shared" si="39"/>
        <v>Low Risk</v>
      </c>
    </row>
    <row r="1247" spans="1:10" x14ac:dyDescent="0.2">
      <c r="A1247" t="str">
        <f>'Claims Data'!A1247</f>
        <v>CLM01246</v>
      </c>
      <c r="B1247" t="str">
        <f>'Claims Data'!B1247</f>
        <v>PAT0263</v>
      </c>
      <c r="C1247" t="str">
        <f>'Claims Data'!C1247</f>
        <v>PRV0029</v>
      </c>
      <c r="D1247" s="1">
        <f>'Claims Data'!D1247</f>
        <v>45414</v>
      </c>
      <c r="E1247">
        <f>'Claims Data'!H1247</f>
        <v>6.9</v>
      </c>
      <c r="F1247">
        <f>'Claims Data'!J1247</f>
        <v>216.52</v>
      </c>
      <c r="G1247">
        <f>'Claims Data'!M1247</f>
        <v>0</v>
      </c>
      <c r="H1247" t="b">
        <f>'Claims Data'!L1247</f>
        <v>0</v>
      </c>
      <c r="I1247">
        <f t="shared" si="38"/>
        <v>0</v>
      </c>
      <c r="J1247" t="str">
        <f t="shared" si="39"/>
        <v>Low Risk</v>
      </c>
    </row>
    <row r="1248" spans="1:10" x14ac:dyDescent="0.2">
      <c r="A1248" t="str">
        <f>'Claims Data'!A1248</f>
        <v>CLM01247</v>
      </c>
      <c r="B1248" t="str">
        <f>'Claims Data'!B1248</f>
        <v>PAT0017</v>
      </c>
      <c r="C1248" t="str">
        <f>'Claims Data'!C1248</f>
        <v>PRV0054</v>
      </c>
      <c r="D1248" s="1">
        <f>'Claims Data'!D1248</f>
        <v>45198</v>
      </c>
      <c r="E1248">
        <f>'Claims Data'!H1248</f>
        <v>17.7</v>
      </c>
      <c r="F1248">
        <f>'Claims Data'!J1248</f>
        <v>657.73</v>
      </c>
      <c r="G1248" t="str">
        <f>'Claims Data'!M1248</f>
        <v>inflated_hours</v>
      </c>
      <c r="H1248" t="b">
        <f>'Claims Data'!L1248</f>
        <v>1</v>
      </c>
      <c r="I1248">
        <f t="shared" si="38"/>
        <v>50</v>
      </c>
      <c r="J1248" t="str">
        <f t="shared" si="39"/>
        <v>Medium Risk</v>
      </c>
    </row>
    <row r="1249" spans="1:10" x14ac:dyDescent="0.2">
      <c r="A1249" t="str">
        <f>'Claims Data'!A1249</f>
        <v>CLM01248</v>
      </c>
      <c r="B1249" t="str">
        <f>'Claims Data'!B1249</f>
        <v>PAT0032</v>
      </c>
      <c r="C1249" t="str">
        <f>'Claims Data'!C1249</f>
        <v>PRV0042</v>
      </c>
      <c r="D1249" s="1">
        <f>'Claims Data'!D1249</f>
        <v>45233</v>
      </c>
      <c r="E1249">
        <f>'Claims Data'!H1249</f>
        <v>9</v>
      </c>
      <c r="F1249">
        <f>'Claims Data'!J1249</f>
        <v>750</v>
      </c>
      <c r="G1249" t="str">
        <f>'Claims Data'!M1249</f>
        <v>phantom_round_amount</v>
      </c>
      <c r="H1249" t="b">
        <f>'Claims Data'!L1249</f>
        <v>1</v>
      </c>
      <c r="I1249">
        <f t="shared" si="38"/>
        <v>40</v>
      </c>
      <c r="J1249" t="str">
        <f t="shared" si="39"/>
        <v>Medium Risk</v>
      </c>
    </row>
    <row r="1250" spans="1:10" x14ac:dyDescent="0.2">
      <c r="A1250" t="str">
        <f>'Claims Data'!A1250</f>
        <v>CLM01249</v>
      </c>
      <c r="B1250" t="str">
        <f>'Claims Data'!B1250</f>
        <v>PAT0208</v>
      </c>
      <c r="C1250" t="str">
        <f>'Claims Data'!C1250</f>
        <v>PRV0005</v>
      </c>
      <c r="D1250" s="1">
        <f>'Claims Data'!D1250</f>
        <v>45536</v>
      </c>
      <c r="E1250">
        <f>'Claims Data'!H1250</f>
        <v>3.9</v>
      </c>
      <c r="F1250">
        <f>'Claims Data'!J1250</f>
        <v>323.24</v>
      </c>
      <c r="G1250">
        <f>'Claims Data'!M1250</f>
        <v>0</v>
      </c>
      <c r="H1250" t="b">
        <f>'Claims Data'!L1250</f>
        <v>0</v>
      </c>
      <c r="I1250">
        <f t="shared" si="38"/>
        <v>0</v>
      </c>
      <c r="J1250" t="str">
        <f t="shared" si="39"/>
        <v>Low Risk</v>
      </c>
    </row>
    <row r="1251" spans="1:10" x14ac:dyDescent="0.2">
      <c r="A1251" t="str">
        <f>'Claims Data'!A1251</f>
        <v>CLM01250</v>
      </c>
      <c r="B1251" t="str">
        <f>'Claims Data'!B1251</f>
        <v>PAT0022</v>
      </c>
      <c r="C1251" t="str">
        <f>'Claims Data'!C1251</f>
        <v>PRV0028</v>
      </c>
      <c r="D1251" s="1">
        <f>'Claims Data'!D1251</f>
        <v>45621</v>
      </c>
      <c r="E1251">
        <f>'Claims Data'!H1251</f>
        <v>5.6</v>
      </c>
      <c r="F1251">
        <f>'Claims Data'!J1251</f>
        <v>252.73</v>
      </c>
      <c r="G1251">
        <f>'Claims Data'!M1251</f>
        <v>0</v>
      </c>
      <c r="H1251" t="b">
        <f>'Claims Data'!L1251</f>
        <v>0</v>
      </c>
      <c r="I1251">
        <f t="shared" si="38"/>
        <v>0</v>
      </c>
      <c r="J1251" t="str">
        <f t="shared" si="39"/>
        <v>Low Risk</v>
      </c>
    </row>
    <row r="1252" spans="1:10" x14ac:dyDescent="0.2">
      <c r="A1252" t="str">
        <f>'Claims Data'!A1252</f>
        <v>CLM01251</v>
      </c>
      <c r="B1252" t="str">
        <f>'Claims Data'!B1252</f>
        <v>PAT0083</v>
      </c>
      <c r="C1252" t="str">
        <f>'Claims Data'!C1252</f>
        <v>PRV0015</v>
      </c>
      <c r="D1252" s="1">
        <f>'Claims Data'!D1252</f>
        <v>45238</v>
      </c>
      <c r="E1252">
        <f>'Claims Data'!H1252</f>
        <v>2.8</v>
      </c>
      <c r="F1252">
        <f>'Claims Data'!J1252</f>
        <v>139.75</v>
      </c>
      <c r="G1252">
        <f>'Claims Data'!M1252</f>
        <v>0</v>
      </c>
      <c r="H1252" t="b">
        <f>'Claims Data'!L1252</f>
        <v>0</v>
      </c>
      <c r="I1252">
        <f t="shared" si="38"/>
        <v>0</v>
      </c>
      <c r="J1252" t="str">
        <f t="shared" si="39"/>
        <v>Low Risk</v>
      </c>
    </row>
    <row r="1253" spans="1:10" x14ac:dyDescent="0.2">
      <c r="A1253" t="str">
        <f>'Claims Data'!A1253</f>
        <v>CLM01252</v>
      </c>
      <c r="B1253" t="str">
        <f>'Claims Data'!B1253</f>
        <v>PAT0236</v>
      </c>
      <c r="C1253" t="str">
        <f>'Claims Data'!C1253</f>
        <v>PRV0058</v>
      </c>
      <c r="D1253" s="1">
        <f>'Claims Data'!D1253</f>
        <v>45595</v>
      </c>
      <c r="E1253">
        <f>'Claims Data'!H1253</f>
        <v>5.3</v>
      </c>
      <c r="F1253">
        <f>'Claims Data'!J1253</f>
        <v>271.99</v>
      </c>
      <c r="G1253">
        <f>'Claims Data'!M1253</f>
        <v>0</v>
      </c>
      <c r="H1253" t="b">
        <f>'Claims Data'!L1253</f>
        <v>0</v>
      </c>
      <c r="I1253">
        <f t="shared" si="38"/>
        <v>0</v>
      </c>
      <c r="J1253" t="str">
        <f t="shared" si="39"/>
        <v>Low Risk</v>
      </c>
    </row>
    <row r="1254" spans="1:10" x14ac:dyDescent="0.2">
      <c r="A1254" t="str">
        <f>'Claims Data'!A1254</f>
        <v>CLM01253</v>
      </c>
      <c r="B1254" t="str">
        <f>'Claims Data'!B1254</f>
        <v>PAT0241</v>
      </c>
      <c r="C1254" t="str">
        <f>'Claims Data'!C1254</f>
        <v>PRV0015</v>
      </c>
      <c r="D1254" s="1">
        <f>'Claims Data'!D1254</f>
        <v>45345</v>
      </c>
      <c r="E1254">
        <f>'Claims Data'!H1254</f>
        <v>2.8</v>
      </c>
      <c r="F1254">
        <f>'Claims Data'!J1254</f>
        <v>202.9</v>
      </c>
      <c r="G1254">
        <f>'Claims Data'!M1254</f>
        <v>0</v>
      </c>
      <c r="H1254" t="b">
        <f>'Claims Data'!L1254</f>
        <v>0</v>
      </c>
      <c r="I1254">
        <f t="shared" si="38"/>
        <v>0</v>
      </c>
      <c r="J1254" t="str">
        <f t="shared" si="39"/>
        <v>Low Risk</v>
      </c>
    </row>
    <row r="1255" spans="1:10" x14ac:dyDescent="0.2">
      <c r="A1255" t="str">
        <f>'Claims Data'!A1255</f>
        <v>CLM01254</v>
      </c>
      <c r="B1255" t="str">
        <f>'Claims Data'!B1255</f>
        <v>PAT0043</v>
      </c>
      <c r="C1255" t="str">
        <f>'Claims Data'!C1255</f>
        <v>PRV0033</v>
      </c>
      <c r="D1255" s="1">
        <f>'Claims Data'!D1255</f>
        <v>45077</v>
      </c>
      <c r="E1255">
        <f>'Claims Data'!H1255</f>
        <v>6.7</v>
      </c>
      <c r="F1255">
        <f>'Claims Data'!J1255</f>
        <v>173.78</v>
      </c>
      <c r="G1255">
        <f>'Claims Data'!M1255</f>
        <v>0</v>
      </c>
      <c r="H1255" t="b">
        <f>'Claims Data'!L1255</f>
        <v>0</v>
      </c>
      <c r="I1255">
        <f t="shared" si="38"/>
        <v>0</v>
      </c>
      <c r="J1255" t="str">
        <f t="shared" si="39"/>
        <v>Low Risk</v>
      </c>
    </row>
    <row r="1256" spans="1:10" x14ac:dyDescent="0.2">
      <c r="A1256" t="str">
        <f>'Claims Data'!A1256</f>
        <v>CLM01255</v>
      </c>
      <c r="B1256" t="str">
        <f>'Claims Data'!B1256</f>
        <v>PAT0272</v>
      </c>
      <c r="C1256" t="str">
        <f>'Claims Data'!C1256</f>
        <v>PRV0011</v>
      </c>
      <c r="D1256" s="1">
        <f>'Claims Data'!D1256</f>
        <v>45573</v>
      </c>
      <c r="E1256">
        <f>'Claims Data'!H1256</f>
        <v>2</v>
      </c>
      <c r="F1256">
        <f>'Claims Data'!J1256</f>
        <v>71.53</v>
      </c>
      <c r="G1256">
        <f>'Claims Data'!M1256</f>
        <v>0</v>
      </c>
      <c r="H1256" t="b">
        <f>'Claims Data'!L1256</f>
        <v>0</v>
      </c>
      <c r="I1256">
        <f t="shared" si="38"/>
        <v>0</v>
      </c>
      <c r="J1256" t="str">
        <f t="shared" si="39"/>
        <v>Low Risk</v>
      </c>
    </row>
    <row r="1257" spans="1:10" x14ac:dyDescent="0.2">
      <c r="A1257" t="str">
        <f>'Claims Data'!A1257</f>
        <v>CLM01256</v>
      </c>
      <c r="B1257" t="str">
        <f>'Claims Data'!B1257</f>
        <v>PAT0104</v>
      </c>
      <c r="C1257" t="str">
        <f>'Claims Data'!C1257</f>
        <v>PRV0048</v>
      </c>
      <c r="D1257" s="1">
        <f>'Claims Data'!D1257</f>
        <v>45414</v>
      </c>
      <c r="E1257">
        <f>'Claims Data'!H1257</f>
        <v>4.5</v>
      </c>
      <c r="F1257">
        <f>'Claims Data'!J1257</f>
        <v>330.5</v>
      </c>
      <c r="G1257">
        <f>'Claims Data'!M1257</f>
        <v>0</v>
      </c>
      <c r="H1257" t="b">
        <f>'Claims Data'!L1257</f>
        <v>0</v>
      </c>
      <c r="I1257">
        <f t="shared" si="38"/>
        <v>0</v>
      </c>
      <c r="J1257" t="str">
        <f t="shared" si="39"/>
        <v>Low Risk</v>
      </c>
    </row>
    <row r="1258" spans="1:10" x14ac:dyDescent="0.2">
      <c r="A1258" t="str">
        <f>'Claims Data'!A1258</f>
        <v>CLM01257</v>
      </c>
      <c r="B1258" t="str">
        <f>'Claims Data'!B1258</f>
        <v>PAT0132</v>
      </c>
      <c r="C1258" t="str">
        <f>'Claims Data'!C1258</f>
        <v>PRV0005</v>
      </c>
      <c r="D1258" s="1">
        <f>'Claims Data'!D1258</f>
        <v>45287</v>
      </c>
      <c r="E1258">
        <f>'Claims Data'!H1258</f>
        <v>3.2</v>
      </c>
      <c r="F1258">
        <f>'Claims Data'!J1258</f>
        <v>202.85</v>
      </c>
      <c r="G1258">
        <f>'Claims Data'!M1258</f>
        <v>0</v>
      </c>
      <c r="H1258" t="b">
        <f>'Claims Data'!L1258</f>
        <v>0</v>
      </c>
      <c r="I1258">
        <f t="shared" si="38"/>
        <v>0</v>
      </c>
      <c r="J1258" t="str">
        <f t="shared" si="39"/>
        <v>Low Risk</v>
      </c>
    </row>
    <row r="1259" spans="1:10" x14ac:dyDescent="0.2">
      <c r="A1259" t="str">
        <f>'Claims Data'!A1259</f>
        <v>CLM01258</v>
      </c>
      <c r="B1259" t="str">
        <f>'Claims Data'!B1259</f>
        <v>PAT0055</v>
      </c>
      <c r="C1259" t="str">
        <f>'Claims Data'!C1259</f>
        <v>PRV0049</v>
      </c>
      <c r="D1259" s="1">
        <f>'Claims Data'!D1259</f>
        <v>45267</v>
      </c>
      <c r="E1259">
        <f>'Claims Data'!H1259</f>
        <v>4.5</v>
      </c>
      <c r="F1259">
        <f>'Claims Data'!J1259</f>
        <v>365.78</v>
      </c>
      <c r="G1259">
        <f>'Claims Data'!M1259</f>
        <v>0</v>
      </c>
      <c r="H1259" t="b">
        <f>'Claims Data'!L1259</f>
        <v>0</v>
      </c>
      <c r="I1259">
        <f t="shared" si="38"/>
        <v>0</v>
      </c>
      <c r="J1259" t="str">
        <f t="shared" si="39"/>
        <v>Low Risk</v>
      </c>
    </row>
    <row r="1260" spans="1:10" x14ac:dyDescent="0.2">
      <c r="A1260" t="str">
        <f>'Claims Data'!A1260</f>
        <v>CLM01259</v>
      </c>
      <c r="B1260" t="str">
        <f>'Claims Data'!B1260</f>
        <v>PAT0187</v>
      </c>
      <c r="C1260" t="str">
        <f>'Claims Data'!C1260</f>
        <v>PRV0052</v>
      </c>
      <c r="D1260" s="1">
        <f>'Claims Data'!D1260</f>
        <v>45049</v>
      </c>
      <c r="E1260">
        <f>'Claims Data'!H1260</f>
        <v>5.6</v>
      </c>
      <c r="F1260">
        <f>'Claims Data'!J1260</f>
        <v>380.98</v>
      </c>
      <c r="G1260">
        <f>'Claims Data'!M1260</f>
        <v>0</v>
      </c>
      <c r="H1260" t="b">
        <f>'Claims Data'!L1260</f>
        <v>0</v>
      </c>
      <c r="I1260">
        <f t="shared" si="38"/>
        <v>0</v>
      </c>
      <c r="J1260" t="str">
        <f t="shared" si="39"/>
        <v>Low Risk</v>
      </c>
    </row>
    <row r="1261" spans="1:10" x14ac:dyDescent="0.2">
      <c r="A1261" t="str">
        <f>'Claims Data'!A1261</f>
        <v>CLM01260</v>
      </c>
      <c r="B1261" t="str">
        <f>'Claims Data'!B1261</f>
        <v>PAT0211</v>
      </c>
      <c r="C1261" t="str">
        <f>'Claims Data'!C1261</f>
        <v>PRV0055</v>
      </c>
      <c r="D1261" s="1">
        <f>'Claims Data'!D1261</f>
        <v>45281</v>
      </c>
      <c r="E1261">
        <f>'Claims Data'!H1261</f>
        <v>5.8</v>
      </c>
      <c r="F1261">
        <f>'Claims Data'!J1261</f>
        <v>417.34</v>
      </c>
      <c r="G1261">
        <f>'Claims Data'!M1261</f>
        <v>0</v>
      </c>
      <c r="H1261" t="b">
        <f>'Claims Data'!L1261</f>
        <v>0</v>
      </c>
      <c r="I1261">
        <f t="shared" si="38"/>
        <v>0</v>
      </c>
      <c r="J1261" t="str">
        <f t="shared" si="39"/>
        <v>Low Risk</v>
      </c>
    </row>
    <row r="1262" spans="1:10" x14ac:dyDescent="0.2">
      <c r="A1262" t="str">
        <f>'Claims Data'!A1262</f>
        <v>CLM01261</v>
      </c>
      <c r="B1262" t="str">
        <f>'Claims Data'!B1262</f>
        <v>PAT0170</v>
      </c>
      <c r="C1262" t="str">
        <f>'Claims Data'!C1262</f>
        <v>PRV0041</v>
      </c>
      <c r="D1262" s="1">
        <f>'Claims Data'!D1262</f>
        <v>45072</v>
      </c>
      <c r="E1262">
        <f>'Claims Data'!H1262</f>
        <v>63.9</v>
      </c>
      <c r="F1262">
        <f>'Claims Data'!J1262</f>
        <v>2500</v>
      </c>
      <c r="G1262" t="str">
        <f>'Claims Data'!M1262</f>
        <v>phantom_round_amount</v>
      </c>
      <c r="H1262" t="b">
        <f>'Claims Data'!L1262</f>
        <v>1</v>
      </c>
      <c r="I1262">
        <f t="shared" si="38"/>
        <v>80</v>
      </c>
      <c r="J1262" t="str">
        <f t="shared" si="39"/>
        <v>High Risk</v>
      </c>
    </row>
    <row r="1263" spans="1:10" x14ac:dyDescent="0.2">
      <c r="A1263" t="str">
        <f>'Claims Data'!A1263</f>
        <v>CLM01262</v>
      </c>
      <c r="B1263" t="str">
        <f>'Claims Data'!B1263</f>
        <v>PAT0206</v>
      </c>
      <c r="C1263" t="str">
        <f>'Claims Data'!C1263</f>
        <v>PRV0023</v>
      </c>
      <c r="D1263" s="1">
        <f>'Claims Data'!D1263</f>
        <v>45519</v>
      </c>
      <c r="E1263">
        <f>'Claims Data'!H1263</f>
        <v>5.7</v>
      </c>
      <c r="F1263">
        <f>'Claims Data'!J1263</f>
        <v>437.55</v>
      </c>
      <c r="G1263">
        <f>'Claims Data'!M1263</f>
        <v>0</v>
      </c>
      <c r="H1263" t="b">
        <f>'Claims Data'!L1263</f>
        <v>0</v>
      </c>
      <c r="I1263">
        <f t="shared" si="38"/>
        <v>0</v>
      </c>
      <c r="J1263" t="str">
        <f t="shared" si="39"/>
        <v>Low Risk</v>
      </c>
    </row>
    <row r="1264" spans="1:10" x14ac:dyDescent="0.2">
      <c r="A1264" t="str">
        <f>'Claims Data'!A1264</f>
        <v>CLM01263</v>
      </c>
      <c r="B1264" t="str">
        <f>'Claims Data'!B1264</f>
        <v>PAT0285</v>
      </c>
      <c r="C1264" t="str">
        <f>'Claims Data'!C1264</f>
        <v>PRV0025</v>
      </c>
      <c r="D1264" s="1">
        <f>'Claims Data'!D1264</f>
        <v>45636</v>
      </c>
      <c r="E1264">
        <f>'Claims Data'!H1264</f>
        <v>18.5</v>
      </c>
      <c r="F1264">
        <f>'Claims Data'!J1264</f>
        <v>1157.92</v>
      </c>
      <c r="G1264" t="str">
        <f>'Claims Data'!M1264</f>
        <v>inflated_hours</v>
      </c>
      <c r="H1264" t="b">
        <f>'Claims Data'!L1264</f>
        <v>1</v>
      </c>
      <c r="I1264">
        <f t="shared" si="38"/>
        <v>50</v>
      </c>
      <c r="J1264" t="str">
        <f t="shared" si="39"/>
        <v>Medium Risk</v>
      </c>
    </row>
    <row r="1265" spans="1:10" x14ac:dyDescent="0.2">
      <c r="A1265" t="str">
        <f>'Claims Data'!A1265</f>
        <v>CLM01264</v>
      </c>
      <c r="B1265" t="str">
        <f>'Claims Data'!B1265</f>
        <v>PAT0194</v>
      </c>
      <c r="C1265" t="str">
        <f>'Claims Data'!C1265</f>
        <v>PRV0032</v>
      </c>
      <c r="D1265" s="1">
        <f>'Claims Data'!D1265</f>
        <v>45265</v>
      </c>
      <c r="E1265">
        <f>'Claims Data'!H1265</f>
        <v>2.2999999999999998</v>
      </c>
      <c r="F1265">
        <f>'Claims Data'!J1265</f>
        <v>73.05</v>
      </c>
      <c r="G1265">
        <f>'Claims Data'!M1265</f>
        <v>0</v>
      </c>
      <c r="H1265" t="b">
        <f>'Claims Data'!L1265</f>
        <v>0</v>
      </c>
      <c r="I1265">
        <f t="shared" si="38"/>
        <v>0</v>
      </c>
      <c r="J1265" t="str">
        <f t="shared" si="39"/>
        <v>Low Risk</v>
      </c>
    </row>
    <row r="1266" spans="1:10" x14ac:dyDescent="0.2">
      <c r="A1266" t="str">
        <f>'Claims Data'!A1266</f>
        <v>CLM01265</v>
      </c>
      <c r="B1266" t="str">
        <f>'Claims Data'!B1266</f>
        <v>PAT0113</v>
      </c>
      <c r="C1266" t="str">
        <f>'Claims Data'!C1266</f>
        <v>PRV0035</v>
      </c>
      <c r="D1266" s="1">
        <f>'Claims Data'!D1266</f>
        <v>45361</v>
      </c>
      <c r="E1266">
        <f>'Claims Data'!H1266</f>
        <v>5</v>
      </c>
      <c r="F1266">
        <f>'Claims Data'!J1266</f>
        <v>172.93</v>
      </c>
      <c r="G1266">
        <f>'Claims Data'!M1266</f>
        <v>0</v>
      </c>
      <c r="H1266" t="b">
        <f>'Claims Data'!L1266</f>
        <v>0</v>
      </c>
      <c r="I1266">
        <f t="shared" si="38"/>
        <v>0</v>
      </c>
      <c r="J1266" t="str">
        <f t="shared" si="39"/>
        <v>Low Risk</v>
      </c>
    </row>
    <row r="1267" spans="1:10" x14ac:dyDescent="0.2">
      <c r="A1267" t="str">
        <f>'Claims Data'!A1267</f>
        <v>CLM01266</v>
      </c>
      <c r="B1267" t="str">
        <f>'Claims Data'!B1267</f>
        <v>PAT0001</v>
      </c>
      <c r="C1267" t="str">
        <f>'Claims Data'!C1267</f>
        <v>PRV0015</v>
      </c>
      <c r="D1267" s="1">
        <f>'Claims Data'!D1267</f>
        <v>45338</v>
      </c>
      <c r="E1267">
        <f>'Claims Data'!H1267</f>
        <v>47.5</v>
      </c>
      <c r="F1267">
        <f>'Claims Data'!J1267</f>
        <v>2000</v>
      </c>
      <c r="G1267" t="str">
        <f>'Claims Data'!M1267</f>
        <v>phantom_round_amount</v>
      </c>
      <c r="H1267" t="b">
        <f>'Claims Data'!L1267</f>
        <v>1</v>
      </c>
      <c r="I1267">
        <f t="shared" si="38"/>
        <v>80</v>
      </c>
      <c r="J1267" t="str">
        <f t="shared" si="39"/>
        <v>High Risk</v>
      </c>
    </row>
    <row r="1268" spans="1:10" x14ac:dyDescent="0.2">
      <c r="A1268" t="str">
        <f>'Claims Data'!A1268</f>
        <v>CLM01267</v>
      </c>
      <c r="B1268" t="str">
        <f>'Claims Data'!B1268</f>
        <v>PAT0242</v>
      </c>
      <c r="C1268" t="str">
        <f>'Claims Data'!C1268</f>
        <v>PRV0035</v>
      </c>
      <c r="D1268" s="1">
        <f>'Claims Data'!D1268</f>
        <v>45604</v>
      </c>
      <c r="E1268">
        <f>'Claims Data'!H1268</f>
        <v>4</v>
      </c>
      <c r="F1268">
        <f>'Claims Data'!J1268</f>
        <v>293.24</v>
      </c>
      <c r="G1268">
        <f>'Claims Data'!M1268</f>
        <v>0</v>
      </c>
      <c r="H1268" t="b">
        <f>'Claims Data'!L1268</f>
        <v>0</v>
      </c>
      <c r="I1268">
        <f t="shared" si="38"/>
        <v>0</v>
      </c>
      <c r="J1268" t="str">
        <f t="shared" si="39"/>
        <v>Low Risk</v>
      </c>
    </row>
    <row r="1269" spans="1:10" x14ac:dyDescent="0.2">
      <c r="A1269" t="str">
        <f>'Claims Data'!A1269</f>
        <v>CLM01268</v>
      </c>
      <c r="B1269" t="str">
        <f>'Claims Data'!B1269</f>
        <v>PAT0185</v>
      </c>
      <c r="C1269" t="str">
        <f>'Claims Data'!C1269</f>
        <v>PRV0017</v>
      </c>
      <c r="D1269" s="1">
        <f>'Claims Data'!D1269</f>
        <v>45379</v>
      </c>
      <c r="E1269">
        <f>'Claims Data'!H1269</f>
        <v>2.6</v>
      </c>
      <c r="F1269">
        <f>'Claims Data'!J1269</f>
        <v>73.180000000000007</v>
      </c>
      <c r="G1269">
        <f>'Claims Data'!M1269</f>
        <v>0</v>
      </c>
      <c r="H1269" t="b">
        <f>'Claims Data'!L1269</f>
        <v>0</v>
      </c>
      <c r="I1269">
        <f t="shared" si="38"/>
        <v>0</v>
      </c>
      <c r="J1269" t="str">
        <f t="shared" si="39"/>
        <v>Low Risk</v>
      </c>
    </row>
    <row r="1270" spans="1:10" x14ac:dyDescent="0.2">
      <c r="A1270" t="str">
        <f>'Claims Data'!A1270</f>
        <v>CLM01269</v>
      </c>
      <c r="B1270" t="str">
        <f>'Claims Data'!B1270</f>
        <v>PAT0001</v>
      </c>
      <c r="C1270" t="str">
        <f>'Claims Data'!C1270</f>
        <v>PRV0036</v>
      </c>
      <c r="D1270" s="1">
        <f>'Claims Data'!D1270</f>
        <v>45636</v>
      </c>
      <c r="E1270">
        <f>'Claims Data'!H1270</f>
        <v>2.9</v>
      </c>
      <c r="F1270">
        <f>'Claims Data'!J1270</f>
        <v>77.56</v>
      </c>
      <c r="G1270">
        <f>'Claims Data'!M1270</f>
        <v>0</v>
      </c>
      <c r="H1270" t="b">
        <f>'Claims Data'!L1270</f>
        <v>0</v>
      </c>
      <c r="I1270">
        <f t="shared" si="38"/>
        <v>0</v>
      </c>
      <c r="J1270" t="str">
        <f t="shared" si="39"/>
        <v>Low Risk</v>
      </c>
    </row>
    <row r="1271" spans="1:10" x14ac:dyDescent="0.2">
      <c r="A1271" t="str">
        <f>'Claims Data'!A1271</f>
        <v>CLM01270</v>
      </c>
      <c r="B1271" t="str">
        <f>'Claims Data'!B1271</f>
        <v>PAT0040</v>
      </c>
      <c r="C1271" t="str">
        <f>'Claims Data'!C1271</f>
        <v>PRV0057</v>
      </c>
      <c r="D1271" s="1">
        <f>'Claims Data'!D1271</f>
        <v>45095</v>
      </c>
      <c r="E1271">
        <f>'Claims Data'!H1271</f>
        <v>2.4</v>
      </c>
      <c r="F1271">
        <f>'Claims Data'!J1271</f>
        <v>93.88</v>
      </c>
      <c r="G1271">
        <f>'Claims Data'!M1271</f>
        <v>0</v>
      </c>
      <c r="H1271" t="b">
        <f>'Claims Data'!L1271</f>
        <v>0</v>
      </c>
      <c r="I1271">
        <f t="shared" si="38"/>
        <v>0</v>
      </c>
      <c r="J1271" t="str">
        <f t="shared" si="39"/>
        <v>Low Risk</v>
      </c>
    </row>
    <row r="1272" spans="1:10" x14ac:dyDescent="0.2">
      <c r="A1272" t="str">
        <f>'Claims Data'!A1272</f>
        <v>CLM01271</v>
      </c>
      <c r="B1272" t="str">
        <f>'Claims Data'!B1272</f>
        <v>PAT0039</v>
      </c>
      <c r="C1272" t="str">
        <f>'Claims Data'!C1272</f>
        <v>PRV0006</v>
      </c>
      <c r="D1272" s="1">
        <f>'Claims Data'!D1272</f>
        <v>45450</v>
      </c>
      <c r="E1272">
        <f>'Claims Data'!H1272</f>
        <v>4.5</v>
      </c>
      <c r="F1272">
        <f>'Claims Data'!J1272</f>
        <v>314.20999999999998</v>
      </c>
      <c r="G1272">
        <f>'Claims Data'!M1272</f>
        <v>0</v>
      </c>
      <c r="H1272" t="b">
        <f>'Claims Data'!L1272</f>
        <v>0</v>
      </c>
      <c r="I1272">
        <f t="shared" si="38"/>
        <v>0</v>
      </c>
      <c r="J1272" t="str">
        <f t="shared" si="39"/>
        <v>Low Risk</v>
      </c>
    </row>
    <row r="1273" spans="1:10" x14ac:dyDescent="0.2">
      <c r="A1273" t="str">
        <f>'Claims Data'!A1273</f>
        <v>CLM01272</v>
      </c>
      <c r="B1273" t="str">
        <f>'Claims Data'!B1273</f>
        <v>PAT0160</v>
      </c>
      <c r="C1273" t="str">
        <f>'Claims Data'!C1273</f>
        <v>PRV0006</v>
      </c>
      <c r="D1273" s="1">
        <f>'Claims Data'!D1273</f>
        <v>45501</v>
      </c>
      <c r="E1273">
        <f>'Claims Data'!H1273</f>
        <v>6.7</v>
      </c>
      <c r="F1273">
        <f>'Claims Data'!J1273</f>
        <v>298.61</v>
      </c>
      <c r="G1273">
        <f>'Claims Data'!M1273</f>
        <v>0</v>
      </c>
      <c r="H1273" t="b">
        <f>'Claims Data'!L1273</f>
        <v>0</v>
      </c>
      <c r="I1273">
        <f t="shared" si="38"/>
        <v>0</v>
      </c>
      <c r="J1273" t="str">
        <f t="shared" si="39"/>
        <v>Low Risk</v>
      </c>
    </row>
    <row r="1274" spans="1:10" x14ac:dyDescent="0.2">
      <c r="A1274" t="str">
        <f>'Claims Data'!A1274</f>
        <v>CLM01273</v>
      </c>
      <c r="B1274" t="str">
        <f>'Claims Data'!B1274</f>
        <v>PAT0101</v>
      </c>
      <c r="C1274" t="str">
        <f>'Claims Data'!C1274</f>
        <v>PRV0010</v>
      </c>
      <c r="D1274" s="1">
        <f>'Claims Data'!D1274</f>
        <v>45206</v>
      </c>
      <c r="E1274">
        <f>'Claims Data'!H1274</f>
        <v>6.4</v>
      </c>
      <c r="F1274">
        <f>'Claims Data'!J1274</f>
        <v>494.04</v>
      </c>
      <c r="G1274">
        <f>'Claims Data'!M1274</f>
        <v>0</v>
      </c>
      <c r="H1274" t="b">
        <f>'Claims Data'!L1274</f>
        <v>0</v>
      </c>
      <c r="I1274">
        <f t="shared" si="38"/>
        <v>0</v>
      </c>
      <c r="J1274" t="str">
        <f t="shared" si="39"/>
        <v>Low Risk</v>
      </c>
    </row>
    <row r="1275" spans="1:10" x14ac:dyDescent="0.2">
      <c r="A1275" t="str">
        <f>'Claims Data'!A1275</f>
        <v>CLM01274</v>
      </c>
      <c r="B1275" t="str">
        <f>'Claims Data'!B1275</f>
        <v>PAT0290</v>
      </c>
      <c r="C1275" t="str">
        <f>'Claims Data'!C1275</f>
        <v>PRV0003</v>
      </c>
      <c r="D1275" s="1">
        <f>'Claims Data'!D1275</f>
        <v>45531</v>
      </c>
      <c r="E1275">
        <f>'Claims Data'!H1275</f>
        <v>2.4</v>
      </c>
      <c r="F1275">
        <f>'Claims Data'!J1275</f>
        <v>144.25</v>
      </c>
      <c r="G1275">
        <f>'Claims Data'!M1275</f>
        <v>0</v>
      </c>
      <c r="H1275" t="b">
        <f>'Claims Data'!L1275</f>
        <v>0</v>
      </c>
      <c r="I1275">
        <f t="shared" si="38"/>
        <v>0</v>
      </c>
      <c r="J1275" t="str">
        <f t="shared" si="39"/>
        <v>Low Risk</v>
      </c>
    </row>
    <row r="1276" spans="1:10" x14ac:dyDescent="0.2">
      <c r="A1276" t="str">
        <f>'Claims Data'!A1276</f>
        <v>CLM01275</v>
      </c>
      <c r="B1276" t="str">
        <f>'Claims Data'!B1276</f>
        <v>PAT0158</v>
      </c>
      <c r="C1276" t="str">
        <f>'Claims Data'!C1276</f>
        <v>PRV0032</v>
      </c>
      <c r="D1276" s="1">
        <f>'Claims Data'!D1276</f>
        <v>45093</v>
      </c>
      <c r="E1276">
        <f>'Claims Data'!H1276</f>
        <v>2.9</v>
      </c>
      <c r="F1276">
        <f>'Claims Data'!J1276</f>
        <v>233.95</v>
      </c>
      <c r="G1276">
        <f>'Claims Data'!M1276</f>
        <v>0</v>
      </c>
      <c r="H1276" t="b">
        <f>'Claims Data'!L1276</f>
        <v>0</v>
      </c>
      <c r="I1276">
        <f t="shared" si="38"/>
        <v>0</v>
      </c>
      <c r="J1276" t="str">
        <f t="shared" si="39"/>
        <v>Low Risk</v>
      </c>
    </row>
    <row r="1277" spans="1:10" x14ac:dyDescent="0.2">
      <c r="A1277" t="str">
        <f>'Claims Data'!A1277</f>
        <v>CLM01276</v>
      </c>
      <c r="B1277" t="str">
        <f>'Claims Data'!B1277</f>
        <v>PAT0289</v>
      </c>
      <c r="C1277" t="str">
        <f>'Claims Data'!C1277</f>
        <v>PRV0031</v>
      </c>
      <c r="D1277" s="1">
        <f>'Claims Data'!D1277</f>
        <v>45455</v>
      </c>
      <c r="E1277">
        <f>'Claims Data'!H1277</f>
        <v>4.3</v>
      </c>
      <c r="F1277">
        <f>'Claims Data'!J1277</f>
        <v>142.69</v>
      </c>
      <c r="G1277">
        <f>'Claims Data'!M1277</f>
        <v>0</v>
      </c>
      <c r="H1277" t="b">
        <f>'Claims Data'!L1277</f>
        <v>0</v>
      </c>
      <c r="I1277">
        <f t="shared" si="38"/>
        <v>0</v>
      </c>
      <c r="J1277" t="str">
        <f t="shared" si="39"/>
        <v>Low Risk</v>
      </c>
    </row>
    <row r="1278" spans="1:10" x14ac:dyDescent="0.2">
      <c r="A1278" t="str">
        <f>'Claims Data'!A1278</f>
        <v>CLM01277</v>
      </c>
      <c r="B1278" t="str">
        <f>'Claims Data'!B1278</f>
        <v>PAT0128</v>
      </c>
      <c r="C1278" t="str">
        <f>'Claims Data'!C1278</f>
        <v>PRV0009</v>
      </c>
      <c r="D1278" s="1">
        <f>'Claims Data'!D1278</f>
        <v>44989</v>
      </c>
      <c r="E1278">
        <f>'Claims Data'!H1278</f>
        <v>5.8</v>
      </c>
      <c r="F1278">
        <f>'Claims Data'!J1278</f>
        <v>484.49</v>
      </c>
      <c r="G1278">
        <f>'Claims Data'!M1278</f>
        <v>0</v>
      </c>
      <c r="H1278" t="b">
        <f>'Claims Data'!L1278</f>
        <v>0</v>
      </c>
      <c r="I1278">
        <f t="shared" si="38"/>
        <v>0</v>
      </c>
      <c r="J1278" t="str">
        <f t="shared" si="39"/>
        <v>Low Risk</v>
      </c>
    </row>
    <row r="1279" spans="1:10" x14ac:dyDescent="0.2">
      <c r="A1279" t="str">
        <f>'Claims Data'!A1279</f>
        <v>CLM01278</v>
      </c>
      <c r="B1279" t="str">
        <f>'Claims Data'!B1279</f>
        <v>PAT0300</v>
      </c>
      <c r="C1279" t="str">
        <f>'Claims Data'!C1279</f>
        <v>PRV0031</v>
      </c>
      <c r="D1279" s="1">
        <f>'Claims Data'!D1279</f>
        <v>45487</v>
      </c>
      <c r="E1279">
        <f>'Claims Data'!H1279</f>
        <v>2.8</v>
      </c>
      <c r="F1279">
        <f>'Claims Data'!J1279</f>
        <v>186.29</v>
      </c>
      <c r="G1279">
        <f>'Claims Data'!M1279</f>
        <v>0</v>
      </c>
      <c r="H1279" t="b">
        <f>'Claims Data'!L1279</f>
        <v>0</v>
      </c>
      <c r="I1279">
        <f t="shared" si="38"/>
        <v>0</v>
      </c>
      <c r="J1279" t="str">
        <f t="shared" si="39"/>
        <v>Low Risk</v>
      </c>
    </row>
    <row r="1280" spans="1:10" x14ac:dyDescent="0.2">
      <c r="A1280" t="str">
        <f>'Claims Data'!A1280</f>
        <v>CLM01279</v>
      </c>
      <c r="B1280" t="str">
        <f>'Claims Data'!B1280</f>
        <v>PAT0002</v>
      </c>
      <c r="C1280" t="str">
        <f>'Claims Data'!C1280</f>
        <v>PRV0031</v>
      </c>
      <c r="D1280" s="1">
        <f>'Claims Data'!D1280</f>
        <v>45282</v>
      </c>
      <c r="E1280">
        <f>'Claims Data'!H1280</f>
        <v>2.8</v>
      </c>
      <c r="F1280">
        <f>'Claims Data'!J1280</f>
        <v>213.08</v>
      </c>
      <c r="G1280">
        <f>'Claims Data'!M1280</f>
        <v>0</v>
      </c>
      <c r="H1280" t="b">
        <f>'Claims Data'!L1280</f>
        <v>0</v>
      </c>
      <c r="I1280">
        <f t="shared" si="38"/>
        <v>0</v>
      </c>
      <c r="J1280" t="str">
        <f t="shared" si="39"/>
        <v>Low Risk</v>
      </c>
    </row>
    <row r="1281" spans="1:10" x14ac:dyDescent="0.2">
      <c r="A1281" t="str">
        <f>'Claims Data'!A1281</f>
        <v>CLM01280</v>
      </c>
      <c r="B1281" t="str">
        <f>'Claims Data'!B1281</f>
        <v>PAT0259</v>
      </c>
      <c r="C1281" t="str">
        <f>'Claims Data'!C1281</f>
        <v>PRV0055</v>
      </c>
      <c r="D1281" s="1">
        <f>'Claims Data'!D1281</f>
        <v>45399</v>
      </c>
      <c r="E1281">
        <f>'Claims Data'!H1281</f>
        <v>3</v>
      </c>
      <c r="F1281">
        <f>'Claims Data'!J1281</f>
        <v>136.84</v>
      </c>
      <c r="G1281">
        <f>'Claims Data'!M1281</f>
        <v>0</v>
      </c>
      <c r="H1281" t="b">
        <f>'Claims Data'!L1281</f>
        <v>0</v>
      </c>
      <c r="I1281">
        <f t="shared" si="38"/>
        <v>0</v>
      </c>
      <c r="J1281" t="str">
        <f t="shared" si="39"/>
        <v>Low Risk</v>
      </c>
    </row>
    <row r="1282" spans="1:10" x14ac:dyDescent="0.2">
      <c r="A1282" t="str">
        <f>'Claims Data'!A1282</f>
        <v>CLM01281</v>
      </c>
      <c r="B1282" t="str">
        <f>'Claims Data'!B1282</f>
        <v>PAT0220</v>
      </c>
      <c r="C1282" t="str">
        <f>'Claims Data'!C1282</f>
        <v>PRV0003</v>
      </c>
      <c r="D1282" s="1">
        <f>'Claims Data'!D1282</f>
        <v>45290</v>
      </c>
      <c r="E1282">
        <f>'Claims Data'!H1282</f>
        <v>6.7</v>
      </c>
      <c r="F1282">
        <f>'Claims Data'!J1282</f>
        <v>423.98</v>
      </c>
      <c r="G1282">
        <f>'Claims Data'!M1282</f>
        <v>0</v>
      </c>
      <c r="H1282" t="b">
        <f>'Claims Data'!L1282</f>
        <v>0</v>
      </c>
      <c r="I1282">
        <f t="shared" si="38"/>
        <v>0</v>
      </c>
      <c r="J1282" t="str">
        <f t="shared" si="39"/>
        <v>Low Risk</v>
      </c>
    </row>
    <row r="1283" spans="1:10" x14ac:dyDescent="0.2">
      <c r="A1283" t="str">
        <f>'Claims Data'!A1283</f>
        <v>CLM01282</v>
      </c>
      <c r="B1283" t="str">
        <f>'Claims Data'!B1283</f>
        <v>PAT0175</v>
      </c>
      <c r="C1283" t="str">
        <f>'Claims Data'!C1283</f>
        <v>PRV0027</v>
      </c>
      <c r="D1283" s="1">
        <f>'Claims Data'!D1283</f>
        <v>45453</v>
      </c>
      <c r="E1283">
        <f>'Claims Data'!H1283</f>
        <v>5.5</v>
      </c>
      <c r="F1283">
        <f>'Claims Data'!J1283</f>
        <v>319.91000000000003</v>
      </c>
      <c r="G1283">
        <f>'Claims Data'!M1283</f>
        <v>0</v>
      </c>
      <c r="H1283" t="b">
        <f>'Claims Data'!L1283</f>
        <v>0</v>
      </c>
      <c r="I1283">
        <f t="shared" ref="I1283:I1346" si="40">IF(E1283&gt;16,40,0)+IF(MOD(F1283,250)=0,30,0)+IF(H1283=TRUE,10,0)</f>
        <v>0</v>
      </c>
      <c r="J1283" t="str">
        <f t="shared" ref="J1283:J1346" si="41">IF(I1283&gt;=70,"High Risk",IF(I1283&gt;=30,"Medium Risk","Low Risk"))</f>
        <v>Low Risk</v>
      </c>
    </row>
    <row r="1284" spans="1:10" x14ac:dyDescent="0.2">
      <c r="A1284" t="str">
        <f>'Claims Data'!A1284</f>
        <v>CLM01283</v>
      </c>
      <c r="B1284" t="str">
        <f>'Claims Data'!B1284</f>
        <v>PAT0269</v>
      </c>
      <c r="C1284" t="str">
        <f>'Claims Data'!C1284</f>
        <v>PRV0007</v>
      </c>
      <c r="D1284" s="1">
        <f>'Claims Data'!D1284</f>
        <v>45261</v>
      </c>
      <c r="E1284">
        <f>'Claims Data'!H1284</f>
        <v>4.5</v>
      </c>
      <c r="F1284">
        <f>'Claims Data'!J1284</f>
        <v>253.38</v>
      </c>
      <c r="G1284">
        <f>'Claims Data'!M1284</f>
        <v>0</v>
      </c>
      <c r="H1284" t="b">
        <f>'Claims Data'!L1284</f>
        <v>0</v>
      </c>
      <c r="I1284">
        <f t="shared" si="40"/>
        <v>0</v>
      </c>
      <c r="J1284" t="str">
        <f t="shared" si="41"/>
        <v>Low Risk</v>
      </c>
    </row>
    <row r="1285" spans="1:10" x14ac:dyDescent="0.2">
      <c r="A1285" t="str">
        <f>'Claims Data'!A1285</f>
        <v>CLM01284</v>
      </c>
      <c r="B1285" t="str">
        <f>'Claims Data'!B1285</f>
        <v>PAT0208</v>
      </c>
      <c r="C1285" t="str">
        <f>'Claims Data'!C1285</f>
        <v>PRV0045</v>
      </c>
      <c r="D1285" s="1">
        <f>'Claims Data'!D1285</f>
        <v>45258</v>
      </c>
      <c r="E1285">
        <f>'Claims Data'!H1285</f>
        <v>7</v>
      </c>
      <c r="F1285">
        <f>'Claims Data'!J1285</f>
        <v>292.25</v>
      </c>
      <c r="G1285">
        <f>'Claims Data'!M1285</f>
        <v>0</v>
      </c>
      <c r="H1285" t="b">
        <f>'Claims Data'!L1285</f>
        <v>0</v>
      </c>
      <c r="I1285">
        <f t="shared" si="40"/>
        <v>0</v>
      </c>
      <c r="J1285" t="str">
        <f t="shared" si="41"/>
        <v>Low Risk</v>
      </c>
    </row>
    <row r="1286" spans="1:10" x14ac:dyDescent="0.2">
      <c r="A1286" t="str">
        <f>'Claims Data'!A1286</f>
        <v>CLM01285</v>
      </c>
      <c r="B1286" t="str">
        <f>'Claims Data'!B1286</f>
        <v>PAT0133</v>
      </c>
      <c r="C1286" t="str">
        <f>'Claims Data'!C1286</f>
        <v>PRV0006</v>
      </c>
      <c r="D1286" s="1">
        <f>'Claims Data'!D1286</f>
        <v>45262</v>
      </c>
      <c r="E1286">
        <f>'Claims Data'!H1286</f>
        <v>6.4</v>
      </c>
      <c r="F1286">
        <f>'Claims Data'!J1286</f>
        <v>254.72</v>
      </c>
      <c r="G1286">
        <f>'Claims Data'!M1286</f>
        <v>0</v>
      </c>
      <c r="H1286" t="b">
        <f>'Claims Data'!L1286</f>
        <v>0</v>
      </c>
      <c r="I1286">
        <f t="shared" si="40"/>
        <v>0</v>
      </c>
      <c r="J1286" t="str">
        <f t="shared" si="41"/>
        <v>Low Risk</v>
      </c>
    </row>
    <row r="1287" spans="1:10" x14ac:dyDescent="0.2">
      <c r="A1287" t="str">
        <f>'Claims Data'!A1287</f>
        <v>CLM01286</v>
      </c>
      <c r="B1287" t="str">
        <f>'Claims Data'!B1287</f>
        <v>PAT0052</v>
      </c>
      <c r="C1287" t="str">
        <f>'Claims Data'!C1287</f>
        <v>PRV0055</v>
      </c>
      <c r="D1287" s="1">
        <f>'Claims Data'!D1287</f>
        <v>45211</v>
      </c>
      <c r="E1287">
        <f>'Claims Data'!H1287</f>
        <v>5.5</v>
      </c>
      <c r="F1287">
        <f>'Claims Data'!J1287</f>
        <v>431.8</v>
      </c>
      <c r="G1287">
        <f>'Claims Data'!M1287</f>
        <v>0</v>
      </c>
      <c r="H1287" t="b">
        <f>'Claims Data'!L1287</f>
        <v>0</v>
      </c>
      <c r="I1287">
        <f t="shared" si="40"/>
        <v>0</v>
      </c>
      <c r="J1287" t="str">
        <f t="shared" si="41"/>
        <v>Low Risk</v>
      </c>
    </row>
    <row r="1288" spans="1:10" x14ac:dyDescent="0.2">
      <c r="A1288" t="str">
        <f>'Claims Data'!A1288</f>
        <v>CLM01287</v>
      </c>
      <c r="B1288" t="str">
        <f>'Claims Data'!B1288</f>
        <v>PAT0195</v>
      </c>
      <c r="C1288" t="str">
        <f>'Claims Data'!C1288</f>
        <v>PRV0056</v>
      </c>
      <c r="D1288" s="1">
        <f>'Claims Data'!D1288</f>
        <v>44988</v>
      </c>
      <c r="E1288">
        <f>'Claims Data'!H1288</f>
        <v>7.5</v>
      </c>
      <c r="F1288">
        <f>'Claims Data'!J1288</f>
        <v>591.71</v>
      </c>
      <c r="G1288">
        <f>'Claims Data'!M1288</f>
        <v>0</v>
      </c>
      <c r="H1288" t="b">
        <f>'Claims Data'!L1288</f>
        <v>0</v>
      </c>
      <c r="I1288">
        <f t="shared" si="40"/>
        <v>0</v>
      </c>
      <c r="J1288" t="str">
        <f t="shared" si="41"/>
        <v>Low Risk</v>
      </c>
    </row>
    <row r="1289" spans="1:10" x14ac:dyDescent="0.2">
      <c r="A1289" t="str">
        <f>'Claims Data'!A1289</f>
        <v>CLM01288</v>
      </c>
      <c r="B1289" t="str">
        <f>'Claims Data'!B1289</f>
        <v>PAT0092</v>
      </c>
      <c r="C1289" t="str">
        <f>'Claims Data'!C1289</f>
        <v>PRV0047</v>
      </c>
      <c r="D1289" s="1">
        <f>'Claims Data'!D1289</f>
        <v>45044</v>
      </c>
      <c r="E1289">
        <f>'Claims Data'!H1289</f>
        <v>2.2000000000000002</v>
      </c>
      <c r="F1289">
        <f>'Claims Data'!J1289</f>
        <v>117.13</v>
      </c>
      <c r="G1289">
        <f>'Claims Data'!M1289</f>
        <v>0</v>
      </c>
      <c r="H1289" t="b">
        <f>'Claims Data'!L1289</f>
        <v>0</v>
      </c>
      <c r="I1289">
        <f t="shared" si="40"/>
        <v>0</v>
      </c>
      <c r="J1289" t="str">
        <f t="shared" si="41"/>
        <v>Low Risk</v>
      </c>
    </row>
    <row r="1290" spans="1:10" x14ac:dyDescent="0.2">
      <c r="A1290" t="str">
        <f>'Claims Data'!A1290</f>
        <v>CLM01289</v>
      </c>
      <c r="B1290" t="str">
        <f>'Claims Data'!B1290</f>
        <v>PAT0217</v>
      </c>
      <c r="C1290" t="str">
        <f>'Claims Data'!C1290</f>
        <v>PRV0031</v>
      </c>
      <c r="D1290" s="1">
        <f>'Claims Data'!D1290</f>
        <v>45291</v>
      </c>
      <c r="E1290">
        <f>'Claims Data'!H1290</f>
        <v>4.5999999999999996</v>
      </c>
      <c r="F1290">
        <f>'Claims Data'!J1290</f>
        <v>223.83</v>
      </c>
      <c r="G1290">
        <f>'Claims Data'!M1290</f>
        <v>0</v>
      </c>
      <c r="H1290" t="b">
        <f>'Claims Data'!L1290</f>
        <v>0</v>
      </c>
      <c r="I1290">
        <f t="shared" si="40"/>
        <v>0</v>
      </c>
      <c r="J1290" t="str">
        <f t="shared" si="41"/>
        <v>Low Risk</v>
      </c>
    </row>
    <row r="1291" spans="1:10" x14ac:dyDescent="0.2">
      <c r="A1291" t="str">
        <f>'Claims Data'!A1291</f>
        <v>CLM01290</v>
      </c>
      <c r="B1291" t="str">
        <f>'Claims Data'!B1291</f>
        <v>PAT0206</v>
      </c>
      <c r="C1291" t="str">
        <f>'Claims Data'!C1291</f>
        <v>PRV0001</v>
      </c>
      <c r="D1291" s="1">
        <f>'Claims Data'!D1291</f>
        <v>45060</v>
      </c>
      <c r="E1291">
        <f>'Claims Data'!H1291</f>
        <v>4.7</v>
      </c>
      <c r="F1291">
        <f>'Claims Data'!J1291</f>
        <v>185.32</v>
      </c>
      <c r="G1291" t="str">
        <f>'Claims Data'!M1291</f>
        <v>duplicate_claim</v>
      </c>
      <c r="H1291" t="b">
        <f>'Claims Data'!L1291</f>
        <v>1</v>
      </c>
      <c r="I1291">
        <f t="shared" si="40"/>
        <v>10</v>
      </c>
      <c r="J1291" t="str">
        <f t="shared" si="41"/>
        <v>Low Risk</v>
      </c>
    </row>
    <row r="1292" spans="1:10" x14ac:dyDescent="0.2">
      <c r="A1292" t="str">
        <f>'Claims Data'!A1292</f>
        <v>CLM01291</v>
      </c>
      <c r="B1292" t="str">
        <f>'Claims Data'!B1292</f>
        <v>PAT0162</v>
      </c>
      <c r="C1292" t="str">
        <f>'Claims Data'!C1292</f>
        <v>PRV0039</v>
      </c>
      <c r="D1292" s="1">
        <f>'Claims Data'!D1292</f>
        <v>45525</v>
      </c>
      <c r="E1292">
        <f>'Claims Data'!H1292</f>
        <v>6.2</v>
      </c>
      <c r="F1292">
        <f>'Claims Data'!J1292</f>
        <v>306.26</v>
      </c>
      <c r="G1292">
        <f>'Claims Data'!M1292</f>
        <v>0</v>
      </c>
      <c r="H1292" t="b">
        <f>'Claims Data'!L1292</f>
        <v>0</v>
      </c>
      <c r="I1292">
        <f t="shared" si="40"/>
        <v>0</v>
      </c>
      <c r="J1292" t="str">
        <f t="shared" si="41"/>
        <v>Low Risk</v>
      </c>
    </row>
    <row r="1293" spans="1:10" x14ac:dyDescent="0.2">
      <c r="A1293" t="str">
        <f>'Claims Data'!A1293</f>
        <v>CLM01292</v>
      </c>
      <c r="B1293" t="str">
        <f>'Claims Data'!B1293</f>
        <v>PAT0164</v>
      </c>
      <c r="C1293" t="str">
        <f>'Claims Data'!C1293</f>
        <v>PRV0043</v>
      </c>
      <c r="D1293" s="1">
        <f>'Claims Data'!D1293</f>
        <v>44956</v>
      </c>
      <c r="E1293">
        <f>'Claims Data'!H1293</f>
        <v>4.2</v>
      </c>
      <c r="F1293">
        <f>'Claims Data'!J1293</f>
        <v>165.24</v>
      </c>
      <c r="G1293">
        <f>'Claims Data'!M1293</f>
        <v>0</v>
      </c>
      <c r="H1293" t="b">
        <f>'Claims Data'!L1293</f>
        <v>0</v>
      </c>
      <c r="I1293">
        <f t="shared" si="40"/>
        <v>0</v>
      </c>
      <c r="J1293" t="str">
        <f t="shared" si="41"/>
        <v>Low Risk</v>
      </c>
    </row>
    <row r="1294" spans="1:10" x14ac:dyDescent="0.2">
      <c r="A1294" t="str">
        <f>'Claims Data'!A1294</f>
        <v>CLM01293</v>
      </c>
      <c r="B1294" t="str">
        <f>'Claims Data'!B1294</f>
        <v>PAT0212</v>
      </c>
      <c r="C1294" t="str">
        <f>'Claims Data'!C1294</f>
        <v>PRV0007</v>
      </c>
      <c r="D1294" s="1">
        <f>'Claims Data'!D1294</f>
        <v>45492</v>
      </c>
      <c r="E1294">
        <f>'Claims Data'!H1294</f>
        <v>17.3</v>
      </c>
      <c r="F1294">
        <f>'Claims Data'!J1294</f>
        <v>750</v>
      </c>
      <c r="G1294" t="str">
        <f>'Claims Data'!M1294</f>
        <v>phantom_round_amount</v>
      </c>
      <c r="H1294" t="b">
        <f>'Claims Data'!L1294</f>
        <v>1</v>
      </c>
      <c r="I1294">
        <f t="shared" si="40"/>
        <v>80</v>
      </c>
      <c r="J1294" t="str">
        <f t="shared" si="41"/>
        <v>High Risk</v>
      </c>
    </row>
    <row r="1295" spans="1:10" x14ac:dyDescent="0.2">
      <c r="A1295" t="str">
        <f>'Claims Data'!A1295</f>
        <v>CLM01294</v>
      </c>
      <c r="B1295" t="str">
        <f>'Claims Data'!B1295</f>
        <v>PAT0020</v>
      </c>
      <c r="C1295" t="str">
        <f>'Claims Data'!C1295</f>
        <v>PRV0020</v>
      </c>
      <c r="D1295" s="1">
        <f>'Claims Data'!D1295</f>
        <v>45441</v>
      </c>
      <c r="E1295">
        <f>'Claims Data'!H1295</f>
        <v>7.1</v>
      </c>
      <c r="F1295">
        <f>'Claims Data'!J1295</f>
        <v>495.84</v>
      </c>
      <c r="G1295">
        <f>'Claims Data'!M1295</f>
        <v>0</v>
      </c>
      <c r="H1295" t="b">
        <f>'Claims Data'!L1295</f>
        <v>0</v>
      </c>
      <c r="I1295">
        <f t="shared" si="40"/>
        <v>0</v>
      </c>
      <c r="J1295" t="str">
        <f t="shared" si="41"/>
        <v>Low Risk</v>
      </c>
    </row>
    <row r="1296" spans="1:10" x14ac:dyDescent="0.2">
      <c r="A1296" t="str">
        <f>'Claims Data'!A1296</f>
        <v>CLM01295</v>
      </c>
      <c r="B1296" t="str">
        <f>'Claims Data'!B1296</f>
        <v>PAT0263</v>
      </c>
      <c r="C1296" t="str">
        <f>'Claims Data'!C1296</f>
        <v>PRV0013</v>
      </c>
      <c r="D1296" s="1">
        <f>'Claims Data'!D1296</f>
        <v>45378</v>
      </c>
      <c r="E1296">
        <f>'Claims Data'!H1296</f>
        <v>4.8</v>
      </c>
      <c r="F1296">
        <f>'Claims Data'!J1296</f>
        <v>159.91999999999999</v>
      </c>
      <c r="G1296">
        <f>'Claims Data'!M1296</f>
        <v>0</v>
      </c>
      <c r="H1296" t="b">
        <f>'Claims Data'!L1296</f>
        <v>0</v>
      </c>
      <c r="I1296">
        <f t="shared" si="40"/>
        <v>0</v>
      </c>
      <c r="J1296" t="str">
        <f t="shared" si="41"/>
        <v>Low Risk</v>
      </c>
    </row>
    <row r="1297" spans="1:10" x14ac:dyDescent="0.2">
      <c r="A1297" t="str">
        <f>'Claims Data'!A1297</f>
        <v>CLM01296</v>
      </c>
      <c r="B1297" t="str">
        <f>'Claims Data'!B1297</f>
        <v>PAT0065</v>
      </c>
      <c r="C1297" t="str">
        <f>'Claims Data'!C1297</f>
        <v>PRV0053</v>
      </c>
      <c r="D1297" s="1">
        <f>'Claims Data'!D1297</f>
        <v>45275</v>
      </c>
      <c r="E1297">
        <f>'Claims Data'!H1297</f>
        <v>3.1</v>
      </c>
      <c r="F1297">
        <f>'Claims Data'!J1297</f>
        <v>239.61</v>
      </c>
      <c r="G1297">
        <f>'Claims Data'!M1297</f>
        <v>0</v>
      </c>
      <c r="H1297" t="b">
        <f>'Claims Data'!L1297</f>
        <v>0</v>
      </c>
      <c r="I1297">
        <f t="shared" si="40"/>
        <v>0</v>
      </c>
      <c r="J1297" t="str">
        <f t="shared" si="41"/>
        <v>Low Risk</v>
      </c>
    </row>
    <row r="1298" spans="1:10" x14ac:dyDescent="0.2">
      <c r="A1298" t="str">
        <f>'Claims Data'!A1298</f>
        <v>CLM01297</v>
      </c>
      <c r="B1298" t="str">
        <f>'Claims Data'!B1298</f>
        <v>PAT0166</v>
      </c>
      <c r="C1298" t="str">
        <f>'Claims Data'!C1298</f>
        <v>PRV0055</v>
      </c>
      <c r="D1298" s="1">
        <f>'Claims Data'!D1298</f>
        <v>45013</v>
      </c>
      <c r="E1298">
        <f>'Claims Data'!H1298</f>
        <v>6.2</v>
      </c>
      <c r="F1298">
        <f>'Claims Data'!J1298</f>
        <v>155.51</v>
      </c>
      <c r="G1298" t="str">
        <f>'Claims Data'!M1298</f>
        <v>duplicate_claim</v>
      </c>
      <c r="H1298" t="b">
        <f>'Claims Data'!L1298</f>
        <v>1</v>
      </c>
      <c r="I1298">
        <f t="shared" si="40"/>
        <v>10</v>
      </c>
      <c r="J1298" t="str">
        <f t="shared" si="41"/>
        <v>Low Risk</v>
      </c>
    </row>
    <row r="1299" spans="1:10" x14ac:dyDescent="0.2">
      <c r="A1299" t="str">
        <f>'Claims Data'!A1299</f>
        <v>CLM01298</v>
      </c>
      <c r="B1299" t="str">
        <f>'Claims Data'!B1299</f>
        <v>PAT0118</v>
      </c>
      <c r="C1299" t="str">
        <f>'Claims Data'!C1299</f>
        <v>PRV0034</v>
      </c>
      <c r="D1299" s="1">
        <f>'Claims Data'!D1299</f>
        <v>45502</v>
      </c>
      <c r="E1299">
        <f>'Claims Data'!H1299</f>
        <v>4.3</v>
      </c>
      <c r="F1299">
        <f>'Claims Data'!J1299</f>
        <v>285.70999999999998</v>
      </c>
      <c r="G1299">
        <f>'Claims Data'!M1299</f>
        <v>0</v>
      </c>
      <c r="H1299" t="b">
        <f>'Claims Data'!L1299</f>
        <v>0</v>
      </c>
      <c r="I1299">
        <f t="shared" si="40"/>
        <v>0</v>
      </c>
      <c r="J1299" t="str">
        <f t="shared" si="41"/>
        <v>Low Risk</v>
      </c>
    </row>
    <row r="1300" spans="1:10" x14ac:dyDescent="0.2">
      <c r="A1300" t="str">
        <f>'Claims Data'!A1300</f>
        <v>CLM01299</v>
      </c>
      <c r="B1300" t="str">
        <f>'Claims Data'!B1300</f>
        <v>PAT0166</v>
      </c>
      <c r="C1300" t="str">
        <f>'Claims Data'!C1300</f>
        <v>PRV0007</v>
      </c>
      <c r="D1300" s="1">
        <f>'Claims Data'!D1300</f>
        <v>45579</v>
      </c>
      <c r="E1300">
        <f>'Claims Data'!H1300</f>
        <v>3.8</v>
      </c>
      <c r="F1300">
        <f>'Claims Data'!J1300</f>
        <v>266.66000000000003</v>
      </c>
      <c r="G1300">
        <f>'Claims Data'!M1300</f>
        <v>0</v>
      </c>
      <c r="H1300" t="b">
        <f>'Claims Data'!L1300</f>
        <v>0</v>
      </c>
      <c r="I1300">
        <f t="shared" si="40"/>
        <v>0</v>
      </c>
      <c r="J1300" t="str">
        <f t="shared" si="41"/>
        <v>Low Risk</v>
      </c>
    </row>
    <row r="1301" spans="1:10" x14ac:dyDescent="0.2">
      <c r="A1301" t="str">
        <f>'Claims Data'!A1301</f>
        <v>CLM01300</v>
      </c>
      <c r="B1301" t="str">
        <f>'Claims Data'!B1301</f>
        <v>PAT0174</v>
      </c>
      <c r="C1301" t="str">
        <f>'Claims Data'!C1301</f>
        <v>PRV0045</v>
      </c>
      <c r="D1301" s="1">
        <f>'Claims Data'!D1301</f>
        <v>44972</v>
      </c>
      <c r="E1301">
        <f>'Claims Data'!H1301</f>
        <v>18.3</v>
      </c>
      <c r="F1301">
        <f>'Claims Data'!J1301</f>
        <v>546.44000000000005</v>
      </c>
      <c r="G1301" t="str">
        <f>'Claims Data'!M1301</f>
        <v>inflated_hours</v>
      </c>
      <c r="H1301" t="b">
        <f>'Claims Data'!L1301</f>
        <v>1</v>
      </c>
      <c r="I1301">
        <f t="shared" si="40"/>
        <v>50</v>
      </c>
      <c r="J1301" t="str">
        <f t="shared" si="41"/>
        <v>Medium Risk</v>
      </c>
    </row>
    <row r="1302" spans="1:10" x14ac:dyDescent="0.2">
      <c r="A1302" t="str">
        <f>'Claims Data'!A1302</f>
        <v>CLM01301</v>
      </c>
      <c r="B1302" t="str">
        <f>'Claims Data'!B1302</f>
        <v>PAT0274</v>
      </c>
      <c r="C1302" t="str">
        <f>'Claims Data'!C1302</f>
        <v>PRV0004</v>
      </c>
      <c r="D1302" s="1">
        <f>'Claims Data'!D1302</f>
        <v>45132</v>
      </c>
      <c r="E1302">
        <f>'Claims Data'!H1302</f>
        <v>5.0999999999999996</v>
      </c>
      <c r="F1302">
        <f>'Claims Data'!J1302</f>
        <v>405.96</v>
      </c>
      <c r="G1302">
        <f>'Claims Data'!M1302</f>
        <v>0</v>
      </c>
      <c r="H1302" t="b">
        <f>'Claims Data'!L1302</f>
        <v>0</v>
      </c>
      <c r="I1302">
        <f t="shared" si="40"/>
        <v>0</v>
      </c>
      <c r="J1302" t="str">
        <f t="shared" si="41"/>
        <v>Low Risk</v>
      </c>
    </row>
    <row r="1303" spans="1:10" x14ac:dyDescent="0.2">
      <c r="A1303" t="str">
        <f>'Claims Data'!A1303</f>
        <v>CLM01302</v>
      </c>
      <c r="B1303" t="str">
        <f>'Claims Data'!B1303</f>
        <v>PAT0120</v>
      </c>
      <c r="C1303" t="str">
        <f>'Claims Data'!C1303</f>
        <v>PRV0053</v>
      </c>
      <c r="D1303" s="1">
        <f>'Claims Data'!D1303</f>
        <v>45656</v>
      </c>
      <c r="E1303">
        <f>'Claims Data'!H1303</f>
        <v>23.5</v>
      </c>
      <c r="F1303">
        <f>'Claims Data'!J1303</f>
        <v>1103.0899999999999</v>
      </c>
      <c r="G1303" t="str">
        <f>'Claims Data'!M1303</f>
        <v>inflated_hours</v>
      </c>
      <c r="H1303" t="b">
        <f>'Claims Data'!L1303</f>
        <v>1</v>
      </c>
      <c r="I1303">
        <f t="shared" si="40"/>
        <v>50</v>
      </c>
      <c r="J1303" t="str">
        <f t="shared" si="41"/>
        <v>Medium Risk</v>
      </c>
    </row>
    <row r="1304" spans="1:10" x14ac:dyDescent="0.2">
      <c r="A1304" t="str">
        <f>'Claims Data'!A1304</f>
        <v>CLM01303</v>
      </c>
      <c r="B1304" t="str">
        <f>'Claims Data'!B1304</f>
        <v>PAT0028</v>
      </c>
      <c r="C1304" t="str">
        <f>'Claims Data'!C1304</f>
        <v>PRV0048</v>
      </c>
      <c r="D1304" s="1">
        <f>'Claims Data'!D1304</f>
        <v>44943</v>
      </c>
      <c r="E1304">
        <f>'Claims Data'!H1304</f>
        <v>4.2</v>
      </c>
      <c r="F1304">
        <f>'Claims Data'!J1304</f>
        <v>149.16999999999999</v>
      </c>
      <c r="G1304">
        <f>'Claims Data'!M1304</f>
        <v>0</v>
      </c>
      <c r="H1304" t="b">
        <f>'Claims Data'!L1304</f>
        <v>0</v>
      </c>
      <c r="I1304">
        <f t="shared" si="40"/>
        <v>0</v>
      </c>
      <c r="J1304" t="str">
        <f t="shared" si="41"/>
        <v>Low Risk</v>
      </c>
    </row>
    <row r="1305" spans="1:10" x14ac:dyDescent="0.2">
      <c r="A1305" t="str">
        <f>'Claims Data'!A1305</f>
        <v>CLM01304</v>
      </c>
      <c r="B1305" t="str">
        <f>'Claims Data'!B1305</f>
        <v>PAT0132</v>
      </c>
      <c r="C1305" t="str">
        <f>'Claims Data'!C1305</f>
        <v>PRV0052</v>
      </c>
      <c r="D1305" s="1">
        <f>'Claims Data'!D1305</f>
        <v>44962</v>
      </c>
      <c r="E1305">
        <f>'Claims Data'!H1305</f>
        <v>5.4</v>
      </c>
      <c r="F1305">
        <f>'Claims Data'!J1305</f>
        <v>385.64</v>
      </c>
      <c r="G1305">
        <f>'Claims Data'!M1305</f>
        <v>0</v>
      </c>
      <c r="H1305" t="b">
        <f>'Claims Data'!L1305</f>
        <v>0</v>
      </c>
      <c r="I1305">
        <f t="shared" si="40"/>
        <v>0</v>
      </c>
      <c r="J1305" t="str">
        <f t="shared" si="41"/>
        <v>Low Risk</v>
      </c>
    </row>
    <row r="1306" spans="1:10" x14ac:dyDescent="0.2">
      <c r="A1306" t="str">
        <f>'Claims Data'!A1306</f>
        <v>CLM01305</v>
      </c>
      <c r="B1306" t="str">
        <f>'Claims Data'!B1306</f>
        <v>PAT0117</v>
      </c>
      <c r="C1306" t="str">
        <f>'Claims Data'!C1306</f>
        <v>PRV0022</v>
      </c>
      <c r="D1306" s="1">
        <f>'Claims Data'!D1306</f>
        <v>44945</v>
      </c>
      <c r="E1306">
        <f>'Claims Data'!H1306</f>
        <v>3.4</v>
      </c>
      <c r="F1306">
        <f>'Claims Data'!J1306</f>
        <v>108.17</v>
      </c>
      <c r="G1306">
        <f>'Claims Data'!M1306</f>
        <v>0</v>
      </c>
      <c r="H1306" t="b">
        <f>'Claims Data'!L1306</f>
        <v>0</v>
      </c>
      <c r="I1306">
        <f t="shared" si="40"/>
        <v>0</v>
      </c>
      <c r="J1306" t="str">
        <f t="shared" si="41"/>
        <v>Low Risk</v>
      </c>
    </row>
    <row r="1307" spans="1:10" x14ac:dyDescent="0.2">
      <c r="A1307" t="str">
        <f>'Claims Data'!A1307</f>
        <v>CLM01306</v>
      </c>
      <c r="B1307" t="str">
        <f>'Claims Data'!B1307</f>
        <v>PAT0057</v>
      </c>
      <c r="C1307" t="str">
        <f>'Claims Data'!C1307</f>
        <v>PRV0001</v>
      </c>
      <c r="D1307" s="1">
        <f>'Claims Data'!D1307</f>
        <v>44937</v>
      </c>
      <c r="E1307">
        <f>'Claims Data'!H1307</f>
        <v>6.5</v>
      </c>
      <c r="F1307">
        <f>'Claims Data'!J1307</f>
        <v>459.25</v>
      </c>
      <c r="G1307">
        <f>'Claims Data'!M1307</f>
        <v>0</v>
      </c>
      <c r="H1307" t="b">
        <f>'Claims Data'!L1307</f>
        <v>0</v>
      </c>
      <c r="I1307">
        <f t="shared" si="40"/>
        <v>0</v>
      </c>
      <c r="J1307" t="str">
        <f t="shared" si="41"/>
        <v>Low Risk</v>
      </c>
    </row>
    <row r="1308" spans="1:10" x14ac:dyDescent="0.2">
      <c r="A1308" t="str">
        <f>'Claims Data'!A1308</f>
        <v>CLM01307</v>
      </c>
      <c r="B1308" t="str">
        <f>'Claims Data'!B1308</f>
        <v>PAT0215</v>
      </c>
      <c r="C1308" t="str">
        <f>'Claims Data'!C1308</f>
        <v>PRV0042</v>
      </c>
      <c r="D1308" s="1">
        <f>'Claims Data'!D1308</f>
        <v>45381</v>
      </c>
      <c r="E1308">
        <f>'Claims Data'!H1308</f>
        <v>7.4</v>
      </c>
      <c r="F1308">
        <f>'Claims Data'!J1308</f>
        <v>408.58</v>
      </c>
      <c r="G1308">
        <f>'Claims Data'!M1308</f>
        <v>0</v>
      </c>
      <c r="H1308" t="b">
        <f>'Claims Data'!L1308</f>
        <v>0</v>
      </c>
      <c r="I1308">
        <f t="shared" si="40"/>
        <v>0</v>
      </c>
      <c r="J1308" t="str">
        <f t="shared" si="41"/>
        <v>Low Risk</v>
      </c>
    </row>
    <row r="1309" spans="1:10" x14ac:dyDescent="0.2">
      <c r="A1309" t="str">
        <f>'Claims Data'!A1309</f>
        <v>CLM01308</v>
      </c>
      <c r="B1309" t="str">
        <f>'Claims Data'!B1309</f>
        <v>PAT0028</v>
      </c>
      <c r="C1309" t="str">
        <f>'Claims Data'!C1309</f>
        <v>PRV0014</v>
      </c>
      <c r="D1309" s="1">
        <f>'Claims Data'!D1309</f>
        <v>45515</v>
      </c>
      <c r="E1309">
        <f>'Claims Data'!H1309</f>
        <v>2.2999999999999998</v>
      </c>
      <c r="F1309">
        <f>'Claims Data'!J1309</f>
        <v>108.95</v>
      </c>
      <c r="G1309">
        <f>'Claims Data'!M1309</f>
        <v>0</v>
      </c>
      <c r="H1309" t="b">
        <f>'Claims Data'!L1309</f>
        <v>0</v>
      </c>
      <c r="I1309">
        <f t="shared" si="40"/>
        <v>0</v>
      </c>
      <c r="J1309" t="str">
        <f t="shared" si="41"/>
        <v>Low Risk</v>
      </c>
    </row>
    <row r="1310" spans="1:10" x14ac:dyDescent="0.2">
      <c r="A1310" t="str">
        <f>'Claims Data'!A1310</f>
        <v>CLM01309</v>
      </c>
      <c r="B1310" t="str">
        <f>'Claims Data'!B1310</f>
        <v>PAT0210</v>
      </c>
      <c r="C1310" t="str">
        <f>'Claims Data'!C1310</f>
        <v>PRV0057</v>
      </c>
      <c r="D1310" s="1">
        <f>'Claims Data'!D1310</f>
        <v>45575</v>
      </c>
      <c r="E1310">
        <f>'Claims Data'!H1310</f>
        <v>5</v>
      </c>
      <c r="F1310">
        <f>'Claims Data'!J1310</f>
        <v>373.87</v>
      </c>
      <c r="G1310">
        <f>'Claims Data'!M1310</f>
        <v>0</v>
      </c>
      <c r="H1310" t="b">
        <f>'Claims Data'!L1310</f>
        <v>0</v>
      </c>
      <c r="I1310">
        <f t="shared" si="40"/>
        <v>0</v>
      </c>
      <c r="J1310" t="str">
        <f t="shared" si="41"/>
        <v>Low Risk</v>
      </c>
    </row>
    <row r="1311" spans="1:10" x14ac:dyDescent="0.2">
      <c r="A1311" t="str">
        <f>'Claims Data'!A1311</f>
        <v>CLM01310</v>
      </c>
      <c r="B1311" t="str">
        <f>'Claims Data'!B1311</f>
        <v>PAT0293</v>
      </c>
      <c r="C1311" t="str">
        <f>'Claims Data'!C1311</f>
        <v>PRV0042</v>
      </c>
      <c r="D1311" s="1">
        <f>'Claims Data'!D1311</f>
        <v>45490</v>
      </c>
      <c r="E1311">
        <f>'Claims Data'!H1311</f>
        <v>23.4</v>
      </c>
      <c r="F1311">
        <f>'Claims Data'!J1311</f>
        <v>1101.9100000000001</v>
      </c>
      <c r="G1311" t="str">
        <f>'Claims Data'!M1311</f>
        <v>inflated_hours</v>
      </c>
      <c r="H1311" t="b">
        <f>'Claims Data'!L1311</f>
        <v>1</v>
      </c>
      <c r="I1311">
        <f t="shared" si="40"/>
        <v>50</v>
      </c>
      <c r="J1311" t="str">
        <f t="shared" si="41"/>
        <v>Medium Risk</v>
      </c>
    </row>
    <row r="1312" spans="1:10" x14ac:dyDescent="0.2">
      <c r="A1312" t="str">
        <f>'Claims Data'!A1312</f>
        <v>CLM01311</v>
      </c>
      <c r="B1312" t="str">
        <f>'Claims Data'!B1312</f>
        <v>PAT0080</v>
      </c>
      <c r="C1312" t="str">
        <f>'Claims Data'!C1312</f>
        <v>PRV0008</v>
      </c>
      <c r="D1312" s="1">
        <f>'Claims Data'!D1312</f>
        <v>45156</v>
      </c>
      <c r="E1312">
        <f>'Claims Data'!H1312</f>
        <v>3.1</v>
      </c>
      <c r="F1312">
        <f>'Claims Data'!J1312</f>
        <v>241.92</v>
      </c>
      <c r="G1312">
        <f>'Claims Data'!M1312</f>
        <v>0</v>
      </c>
      <c r="H1312" t="b">
        <f>'Claims Data'!L1312</f>
        <v>0</v>
      </c>
      <c r="I1312">
        <f t="shared" si="40"/>
        <v>0</v>
      </c>
      <c r="J1312" t="str">
        <f t="shared" si="41"/>
        <v>Low Risk</v>
      </c>
    </row>
    <row r="1313" spans="1:10" x14ac:dyDescent="0.2">
      <c r="A1313" t="str">
        <f>'Claims Data'!A1313</f>
        <v>CLM01312</v>
      </c>
      <c r="B1313" t="str">
        <f>'Claims Data'!B1313</f>
        <v>PAT0244</v>
      </c>
      <c r="C1313" t="str">
        <f>'Claims Data'!C1313</f>
        <v>PRV0007</v>
      </c>
      <c r="D1313" s="1">
        <f>'Claims Data'!D1313</f>
        <v>45011</v>
      </c>
      <c r="E1313">
        <f>'Claims Data'!H1313</f>
        <v>4.3</v>
      </c>
      <c r="F1313">
        <f>'Claims Data'!J1313</f>
        <v>153.63</v>
      </c>
      <c r="G1313" t="str">
        <f>'Claims Data'!M1313</f>
        <v>duplicate_claim</v>
      </c>
      <c r="H1313" t="b">
        <f>'Claims Data'!L1313</f>
        <v>1</v>
      </c>
      <c r="I1313">
        <f t="shared" si="40"/>
        <v>10</v>
      </c>
      <c r="J1313" t="str">
        <f t="shared" si="41"/>
        <v>Low Risk</v>
      </c>
    </row>
    <row r="1314" spans="1:10" x14ac:dyDescent="0.2">
      <c r="A1314" t="str">
        <f>'Claims Data'!A1314</f>
        <v>CLM01313</v>
      </c>
      <c r="B1314" t="str">
        <f>'Claims Data'!B1314</f>
        <v>PAT0251</v>
      </c>
      <c r="C1314" t="str">
        <f>'Claims Data'!C1314</f>
        <v>PRV0052</v>
      </c>
      <c r="D1314" s="1">
        <f>'Claims Data'!D1314</f>
        <v>45022</v>
      </c>
      <c r="E1314">
        <f>'Claims Data'!H1314</f>
        <v>3</v>
      </c>
      <c r="F1314">
        <f>'Claims Data'!J1314</f>
        <v>95.16</v>
      </c>
      <c r="G1314">
        <f>'Claims Data'!M1314</f>
        <v>0</v>
      </c>
      <c r="H1314" t="b">
        <f>'Claims Data'!L1314</f>
        <v>0</v>
      </c>
      <c r="I1314">
        <f t="shared" si="40"/>
        <v>0</v>
      </c>
      <c r="J1314" t="str">
        <f t="shared" si="41"/>
        <v>Low Risk</v>
      </c>
    </row>
    <row r="1315" spans="1:10" x14ac:dyDescent="0.2">
      <c r="A1315" t="str">
        <f>'Claims Data'!A1315</f>
        <v>CLM01314</v>
      </c>
      <c r="B1315" t="str">
        <f>'Claims Data'!B1315</f>
        <v>PAT0005</v>
      </c>
      <c r="C1315" t="str">
        <f>'Claims Data'!C1315</f>
        <v>PRV0030</v>
      </c>
      <c r="D1315" s="1">
        <f>'Claims Data'!D1315</f>
        <v>44930</v>
      </c>
      <c r="E1315">
        <f>'Claims Data'!H1315</f>
        <v>2.9</v>
      </c>
      <c r="F1315">
        <f>'Claims Data'!J1315</f>
        <v>108.04</v>
      </c>
      <c r="G1315">
        <f>'Claims Data'!M1315</f>
        <v>0</v>
      </c>
      <c r="H1315" t="b">
        <f>'Claims Data'!L1315</f>
        <v>0</v>
      </c>
      <c r="I1315">
        <f t="shared" si="40"/>
        <v>0</v>
      </c>
      <c r="J1315" t="str">
        <f t="shared" si="41"/>
        <v>Low Risk</v>
      </c>
    </row>
    <row r="1316" spans="1:10" x14ac:dyDescent="0.2">
      <c r="A1316" t="str">
        <f>'Claims Data'!A1316</f>
        <v>CLM01315</v>
      </c>
      <c r="B1316" t="str">
        <f>'Claims Data'!B1316</f>
        <v>PAT0241</v>
      </c>
      <c r="C1316" t="str">
        <f>'Claims Data'!C1316</f>
        <v>PRV0009</v>
      </c>
      <c r="D1316" s="1">
        <f>'Claims Data'!D1316</f>
        <v>45332</v>
      </c>
      <c r="E1316">
        <f>'Claims Data'!H1316</f>
        <v>3.8</v>
      </c>
      <c r="F1316">
        <f>'Claims Data'!J1316</f>
        <v>316.06</v>
      </c>
      <c r="G1316">
        <f>'Claims Data'!M1316</f>
        <v>0</v>
      </c>
      <c r="H1316" t="b">
        <f>'Claims Data'!L1316</f>
        <v>0</v>
      </c>
      <c r="I1316">
        <f t="shared" si="40"/>
        <v>0</v>
      </c>
      <c r="J1316" t="str">
        <f t="shared" si="41"/>
        <v>Low Risk</v>
      </c>
    </row>
    <row r="1317" spans="1:10" x14ac:dyDescent="0.2">
      <c r="A1317" t="str">
        <f>'Claims Data'!A1317</f>
        <v>CLM01316</v>
      </c>
      <c r="B1317" t="str">
        <f>'Claims Data'!B1317</f>
        <v>PAT0291</v>
      </c>
      <c r="C1317" t="str">
        <f>'Claims Data'!C1317</f>
        <v>PRV0016</v>
      </c>
      <c r="D1317" s="1">
        <f>'Claims Data'!D1317</f>
        <v>45585</v>
      </c>
      <c r="E1317">
        <f>'Claims Data'!H1317</f>
        <v>4.8</v>
      </c>
      <c r="F1317">
        <f>'Claims Data'!J1317</f>
        <v>241</v>
      </c>
      <c r="G1317">
        <f>'Claims Data'!M1317</f>
        <v>0</v>
      </c>
      <c r="H1317" t="b">
        <f>'Claims Data'!L1317</f>
        <v>0</v>
      </c>
      <c r="I1317">
        <f t="shared" si="40"/>
        <v>0</v>
      </c>
      <c r="J1317" t="str">
        <f t="shared" si="41"/>
        <v>Low Risk</v>
      </c>
    </row>
    <row r="1318" spans="1:10" x14ac:dyDescent="0.2">
      <c r="A1318" t="str">
        <f>'Claims Data'!A1318</f>
        <v>CLM01317</v>
      </c>
      <c r="B1318" t="str">
        <f>'Claims Data'!B1318</f>
        <v>PAT0213</v>
      </c>
      <c r="C1318" t="str">
        <f>'Claims Data'!C1318</f>
        <v>PRV0015</v>
      </c>
      <c r="D1318" s="1">
        <f>'Claims Data'!D1318</f>
        <v>45142</v>
      </c>
      <c r="E1318">
        <f>'Claims Data'!H1318</f>
        <v>17.399999999999999</v>
      </c>
      <c r="F1318">
        <f>'Claims Data'!J1318</f>
        <v>500</v>
      </c>
      <c r="G1318" t="str">
        <f>'Claims Data'!M1318</f>
        <v>phantom_round_amount</v>
      </c>
      <c r="H1318" t="b">
        <f>'Claims Data'!L1318</f>
        <v>1</v>
      </c>
      <c r="I1318">
        <f t="shared" si="40"/>
        <v>80</v>
      </c>
      <c r="J1318" t="str">
        <f t="shared" si="41"/>
        <v>High Risk</v>
      </c>
    </row>
    <row r="1319" spans="1:10" x14ac:dyDescent="0.2">
      <c r="A1319" t="str">
        <f>'Claims Data'!A1319</f>
        <v>CLM01318</v>
      </c>
      <c r="B1319" t="str">
        <f>'Claims Data'!B1319</f>
        <v>PAT0073</v>
      </c>
      <c r="C1319" t="str">
        <f>'Claims Data'!C1319</f>
        <v>PRV0021</v>
      </c>
      <c r="D1319" s="1">
        <f>'Claims Data'!D1319</f>
        <v>45263</v>
      </c>
      <c r="E1319">
        <f>'Claims Data'!H1319</f>
        <v>4.5</v>
      </c>
      <c r="F1319">
        <f>'Claims Data'!J1319</f>
        <v>205.05</v>
      </c>
      <c r="G1319">
        <f>'Claims Data'!M1319</f>
        <v>0</v>
      </c>
      <c r="H1319" t="b">
        <f>'Claims Data'!L1319</f>
        <v>0</v>
      </c>
      <c r="I1319">
        <f t="shared" si="40"/>
        <v>0</v>
      </c>
      <c r="J1319" t="str">
        <f t="shared" si="41"/>
        <v>Low Risk</v>
      </c>
    </row>
    <row r="1320" spans="1:10" x14ac:dyDescent="0.2">
      <c r="A1320" t="str">
        <f>'Claims Data'!A1320</f>
        <v>CLM01319</v>
      </c>
      <c r="B1320" t="str">
        <f>'Claims Data'!B1320</f>
        <v>PAT0218</v>
      </c>
      <c r="C1320" t="str">
        <f>'Claims Data'!C1320</f>
        <v>PRV0050</v>
      </c>
      <c r="D1320" s="1">
        <f>'Claims Data'!D1320</f>
        <v>45280</v>
      </c>
      <c r="E1320">
        <f>'Claims Data'!H1320</f>
        <v>4.9000000000000004</v>
      </c>
      <c r="F1320">
        <f>'Claims Data'!J1320</f>
        <v>318.26</v>
      </c>
      <c r="G1320">
        <f>'Claims Data'!M1320</f>
        <v>0</v>
      </c>
      <c r="H1320" t="b">
        <f>'Claims Data'!L1320</f>
        <v>0</v>
      </c>
      <c r="I1320">
        <f t="shared" si="40"/>
        <v>0</v>
      </c>
      <c r="J1320" t="str">
        <f t="shared" si="41"/>
        <v>Low Risk</v>
      </c>
    </row>
    <row r="1321" spans="1:10" x14ac:dyDescent="0.2">
      <c r="A1321" t="str">
        <f>'Claims Data'!A1321</f>
        <v>CLM01320</v>
      </c>
      <c r="B1321" t="str">
        <f>'Claims Data'!B1321</f>
        <v>PAT0283</v>
      </c>
      <c r="C1321" t="str">
        <f>'Claims Data'!C1321</f>
        <v>PRV0047</v>
      </c>
      <c r="D1321" s="1">
        <f>'Claims Data'!D1321</f>
        <v>45125</v>
      </c>
      <c r="E1321">
        <f>'Claims Data'!H1321</f>
        <v>4.7</v>
      </c>
      <c r="F1321">
        <f>'Claims Data'!J1321</f>
        <v>277.45999999999998</v>
      </c>
      <c r="G1321">
        <f>'Claims Data'!M1321</f>
        <v>0</v>
      </c>
      <c r="H1321" t="b">
        <f>'Claims Data'!L1321</f>
        <v>0</v>
      </c>
      <c r="I1321">
        <f t="shared" si="40"/>
        <v>0</v>
      </c>
      <c r="J1321" t="str">
        <f t="shared" si="41"/>
        <v>Low Risk</v>
      </c>
    </row>
    <row r="1322" spans="1:10" x14ac:dyDescent="0.2">
      <c r="A1322" t="str">
        <f>'Claims Data'!A1322</f>
        <v>CLM01321</v>
      </c>
      <c r="B1322" t="str">
        <f>'Claims Data'!B1322</f>
        <v>PAT0286</v>
      </c>
      <c r="C1322" t="str">
        <f>'Claims Data'!C1322</f>
        <v>PRV0020</v>
      </c>
      <c r="D1322" s="1">
        <f>'Claims Data'!D1322</f>
        <v>44950</v>
      </c>
      <c r="E1322">
        <f>'Claims Data'!H1322</f>
        <v>6.7</v>
      </c>
      <c r="F1322">
        <f>'Claims Data'!J1322</f>
        <v>258.67</v>
      </c>
      <c r="G1322">
        <f>'Claims Data'!M1322</f>
        <v>0</v>
      </c>
      <c r="H1322" t="b">
        <f>'Claims Data'!L1322</f>
        <v>0</v>
      </c>
      <c r="I1322">
        <f t="shared" si="40"/>
        <v>0</v>
      </c>
      <c r="J1322" t="str">
        <f t="shared" si="41"/>
        <v>Low Risk</v>
      </c>
    </row>
    <row r="1323" spans="1:10" x14ac:dyDescent="0.2">
      <c r="A1323" t="str">
        <f>'Claims Data'!A1323</f>
        <v>CLM01322</v>
      </c>
      <c r="B1323" t="str">
        <f>'Claims Data'!B1323</f>
        <v>PAT0190</v>
      </c>
      <c r="C1323" t="str">
        <f>'Claims Data'!C1323</f>
        <v>PRV0045</v>
      </c>
      <c r="D1323" s="1">
        <f>'Claims Data'!D1323</f>
        <v>45242</v>
      </c>
      <c r="E1323">
        <f>'Claims Data'!H1323</f>
        <v>6.6</v>
      </c>
      <c r="F1323">
        <f>'Claims Data'!J1323</f>
        <v>183.74</v>
      </c>
      <c r="G1323">
        <f>'Claims Data'!M1323</f>
        <v>0</v>
      </c>
      <c r="H1323" t="b">
        <f>'Claims Data'!L1323</f>
        <v>0</v>
      </c>
      <c r="I1323">
        <f t="shared" si="40"/>
        <v>0</v>
      </c>
      <c r="J1323" t="str">
        <f t="shared" si="41"/>
        <v>Low Risk</v>
      </c>
    </row>
    <row r="1324" spans="1:10" x14ac:dyDescent="0.2">
      <c r="A1324" t="str">
        <f>'Claims Data'!A1324</f>
        <v>CLM01323</v>
      </c>
      <c r="B1324" t="str">
        <f>'Claims Data'!B1324</f>
        <v>PAT0061</v>
      </c>
      <c r="C1324" t="str">
        <f>'Claims Data'!C1324</f>
        <v>PRV0048</v>
      </c>
      <c r="D1324" s="1">
        <f>'Claims Data'!D1324</f>
        <v>44977</v>
      </c>
      <c r="E1324">
        <f>'Claims Data'!H1324</f>
        <v>4.7</v>
      </c>
      <c r="F1324">
        <f>'Claims Data'!J1324</f>
        <v>164.41</v>
      </c>
      <c r="G1324" t="str">
        <f>'Claims Data'!M1324</f>
        <v>duplicate_claim</v>
      </c>
      <c r="H1324" t="b">
        <f>'Claims Data'!L1324</f>
        <v>1</v>
      </c>
      <c r="I1324">
        <f t="shared" si="40"/>
        <v>10</v>
      </c>
      <c r="J1324" t="str">
        <f t="shared" si="41"/>
        <v>Low Risk</v>
      </c>
    </row>
    <row r="1325" spans="1:10" x14ac:dyDescent="0.2">
      <c r="A1325" t="str">
        <f>'Claims Data'!A1325</f>
        <v>CLM01324</v>
      </c>
      <c r="B1325" t="str">
        <f>'Claims Data'!B1325</f>
        <v>PAT0085</v>
      </c>
      <c r="C1325" t="str">
        <f>'Claims Data'!C1325</f>
        <v>PRV0042</v>
      </c>
      <c r="D1325" s="1">
        <f>'Claims Data'!D1325</f>
        <v>45615</v>
      </c>
      <c r="E1325">
        <f>'Claims Data'!H1325</f>
        <v>3.1</v>
      </c>
      <c r="F1325">
        <f>'Claims Data'!J1325</f>
        <v>110.12</v>
      </c>
      <c r="G1325">
        <f>'Claims Data'!M1325</f>
        <v>0</v>
      </c>
      <c r="H1325" t="b">
        <f>'Claims Data'!L1325</f>
        <v>0</v>
      </c>
      <c r="I1325">
        <f t="shared" si="40"/>
        <v>0</v>
      </c>
      <c r="J1325" t="str">
        <f t="shared" si="41"/>
        <v>Low Risk</v>
      </c>
    </row>
    <row r="1326" spans="1:10" x14ac:dyDescent="0.2">
      <c r="A1326" t="str">
        <f>'Claims Data'!A1326</f>
        <v>CLM01325</v>
      </c>
      <c r="B1326" t="str">
        <f>'Claims Data'!B1326</f>
        <v>PAT0252</v>
      </c>
      <c r="C1326" t="str">
        <f>'Claims Data'!C1326</f>
        <v>PRV0005</v>
      </c>
      <c r="D1326" s="1">
        <f>'Claims Data'!D1326</f>
        <v>44996</v>
      </c>
      <c r="E1326">
        <f>'Claims Data'!H1326</f>
        <v>3</v>
      </c>
      <c r="F1326">
        <f>'Claims Data'!J1326</f>
        <v>96.05</v>
      </c>
      <c r="G1326">
        <f>'Claims Data'!M1326</f>
        <v>0</v>
      </c>
      <c r="H1326" t="b">
        <f>'Claims Data'!L1326</f>
        <v>0</v>
      </c>
      <c r="I1326">
        <f t="shared" si="40"/>
        <v>0</v>
      </c>
      <c r="J1326" t="str">
        <f t="shared" si="41"/>
        <v>Low Risk</v>
      </c>
    </row>
    <row r="1327" spans="1:10" x14ac:dyDescent="0.2">
      <c r="A1327" t="str">
        <f>'Claims Data'!A1327</f>
        <v>CLM01326</v>
      </c>
      <c r="B1327" t="str">
        <f>'Claims Data'!B1327</f>
        <v>PAT0206</v>
      </c>
      <c r="C1327" t="str">
        <f>'Claims Data'!C1327</f>
        <v>PRV0027</v>
      </c>
      <c r="D1327" s="1">
        <f>'Claims Data'!D1327</f>
        <v>45223</v>
      </c>
      <c r="E1327">
        <f>'Claims Data'!H1327</f>
        <v>4.5999999999999996</v>
      </c>
      <c r="F1327">
        <f>'Claims Data'!J1327</f>
        <v>217.03</v>
      </c>
      <c r="G1327">
        <f>'Claims Data'!M1327</f>
        <v>0</v>
      </c>
      <c r="H1327" t="b">
        <f>'Claims Data'!L1327</f>
        <v>0</v>
      </c>
      <c r="I1327">
        <f t="shared" si="40"/>
        <v>0</v>
      </c>
      <c r="J1327" t="str">
        <f t="shared" si="41"/>
        <v>Low Risk</v>
      </c>
    </row>
    <row r="1328" spans="1:10" x14ac:dyDescent="0.2">
      <c r="A1328" t="str">
        <f>'Claims Data'!A1328</f>
        <v>CLM01327</v>
      </c>
      <c r="B1328" t="str">
        <f>'Claims Data'!B1328</f>
        <v>PAT0195</v>
      </c>
      <c r="C1328" t="str">
        <f>'Claims Data'!C1328</f>
        <v>PRV0035</v>
      </c>
      <c r="D1328" s="1">
        <f>'Claims Data'!D1328</f>
        <v>45247</v>
      </c>
      <c r="E1328">
        <f>'Claims Data'!H1328</f>
        <v>6</v>
      </c>
      <c r="F1328">
        <f>'Claims Data'!J1328</f>
        <v>502.09</v>
      </c>
      <c r="G1328" t="str">
        <f>'Claims Data'!M1328</f>
        <v>duplicate_claim</v>
      </c>
      <c r="H1328" t="b">
        <f>'Claims Data'!L1328</f>
        <v>1</v>
      </c>
      <c r="I1328">
        <f t="shared" si="40"/>
        <v>10</v>
      </c>
      <c r="J1328" t="str">
        <f t="shared" si="41"/>
        <v>Low Risk</v>
      </c>
    </row>
    <row r="1329" spans="1:10" x14ac:dyDescent="0.2">
      <c r="A1329" t="str">
        <f>'Claims Data'!A1329</f>
        <v>CLM01328</v>
      </c>
      <c r="B1329" t="str">
        <f>'Claims Data'!B1329</f>
        <v>PAT0115</v>
      </c>
      <c r="C1329" t="str">
        <f>'Claims Data'!C1329</f>
        <v>PRV0026</v>
      </c>
      <c r="D1329" s="1">
        <f>'Claims Data'!D1329</f>
        <v>45440</v>
      </c>
      <c r="E1329">
        <f>'Claims Data'!H1329</f>
        <v>4.7</v>
      </c>
      <c r="F1329">
        <f>'Claims Data'!J1329</f>
        <v>392.58</v>
      </c>
      <c r="G1329">
        <f>'Claims Data'!M1329</f>
        <v>0</v>
      </c>
      <c r="H1329" t="b">
        <f>'Claims Data'!L1329</f>
        <v>0</v>
      </c>
      <c r="I1329">
        <f t="shared" si="40"/>
        <v>0</v>
      </c>
      <c r="J1329" t="str">
        <f t="shared" si="41"/>
        <v>Low Risk</v>
      </c>
    </row>
    <row r="1330" spans="1:10" x14ac:dyDescent="0.2">
      <c r="A1330" t="str">
        <f>'Claims Data'!A1330</f>
        <v>CLM01329</v>
      </c>
      <c r="B1330" t="str">
        <f>'Claims Data'!B1330</f>
        <v>PAT0222</v>
      </c>
      <c r="C1330" t="str">
        <f>'Claims Data'!C1330</f>
        <v>PRV0041</v>
      </c>
      <c r="D1330" s="1">
        <f>'Claims Data'!D1330</f>
        <v>45081</v>
      </c>
      <c r="E1330">
        <f>'Claims Data'!H1330</f>
        <v>2.7</v>
      </c>
      <c r="F1330">
        <f>'Claims Data'!J1330</f>
        <v>71.540000000000006</v>
      </c>
      <c r="G1330">
        <f>'Claims Data'!M1330</f>
        <v>0</v>
      </c>
      <c r="H1330" t="b">
        <f>'Claims Data'!L1330</f>
        <v>0</v>
      </c>
      <c r="I1330">
        <f t="shared" si="40"/>
        <v>0</v>
      </c>
      <c r="J1330" t="str">
        <f t="shared" si="41"/>
        <v>Low Risk</v>
      </c>
    </row>
    <row r="1331" spans="1:10" x14ac:dyDescent="0.2">
      <c r="A1331" t="str">
        <f>'Claims Data'!A1331</f>
        <v>CLM01330</v>
      </c>
      <c r="B1331" t="str">
        <f>'Claims Data'!B1331</f>
        <v>PAT0286</v>
      </c>
      <c r="C1331" t="str">
        <f>'Claims Data'!C1331</f>
        <v>PRV0004</v>
      </c>
      <c r="D1331" s="1">
        <f>'Claims Data'!D1331</f>
        <v>45131</v>
      </c>
      <c r="E1331">
        <f>'Claims Data'!H1331</f>
        <v>7.7</v>
      </c>
      <c r="F1331">
        <f>'Claims Data'!J1331</f>
        <v>621.15</v>
      </c>
      <c r="G1331">
        <f>'Claims Data'!M1331</f>
        <v>0</v>
      </c>
      <c r="H1331" t="b">
        <f>'Claims Data'!L1331</f>
        <v>0</v>
      </c>
      <c r="I1331">
        <f t="shared" si="40"/>
        <v>0</v>
      </c>
      <c r="J1331" t="str">
        <f t="shared" si="41"/>
        <v>Low Risk</v>
      </c>
    </row>
    <row r="1332" spans="1:10" x14ac:dyDescent="0.2">
      <c r="A1332" t="str">
        <f>'Claims Data'!A1332</f>
        <v>CLM01331</v>
      </c>
      <c r="B1332" t="str">
        <f>'Claims Data'!B1332</f>
        <v>PAT0083</v>
      </c>
      <c r="C1332" t="str">
        <f>'Claims Data'!C1332</f>
        <v>PRV0048</v>
      </c>
      <c r="D1332" s="1">
        <f>'Claims Data'!D1332</f>
        <v>45603</v>
      </c>
      <c r="E1332">
        <f>'Claims Data'!H1332</f>
        <v>7.8</v>
      </c>
      <c r="F1332">
        <f>'Claims Data'!J1332</f>
        <v>450.6</v>
      </c>
      <c r="G1332">
        <f>'Claims Data'!M1332</f>
        <v>0</v>
      </c>
      <c r="H1332" t="b">
        <f>'Claims Data'!L1332</f>
        <v>0</v>
      </c>
      <c r="I1332">
        <f t="shared" si="40"/>
        <v>0</v>
      </c>
      <c r="J1332" t="str">
        <f t="shared" si="41"/>
        <v>Low Risk</v>
      </c>
    </row>
    <row r="1333" spans="1:10" x14ac:dyDescent="0.2">
      <c r="A1333" t="str">
        <f>'Claims Data'!A1333</f>
        <v>CLM01332</v>
      </c>
      <c r="B1333" t="str">
        <f>'Claims Data'!B1333</f>
        <v>PAT0034</v>
      </c>
      <c r="C1333" t="str">
        <f>'Claims Data'!C1333</f>
        <v>PRV0026</v>
      </c>
      <c r="D1333" s="1">
        <f>'Claims Data'!D1333</f>
        <v>45295</v>
      </c>
      <c r="E1333">
        <f>'Claims Data'!H1333</f>
        <v>5.9</v>
      </c>
      <c r="F1333">
        <f>'Claims Data'!J1333</f>
        <v>252.13</v>
      </c>
      <c r="G1333">
        <f>'Claims Data'!M1333</f>
        <v>0</v>
      </c>
      <c r="H1333" t="b">
        <f>'Claims Data'!L1333</f>
        <v>0</v>
      </c>
      <c r="I1333">
        <f t="shared" si="40"/>
        <v>0</v>
      </c>
      <c r="J1333" t="str">
        <f t="shared" si="41"/>
        <v>Low Risk</v>
      </c>
    </row>
    <row r="1334" spans="1:10" x14ac:dyDescent="0.2">
      <c r="A1334" t="str">
        <f>'Claims Data'!A1334</f>
        <v>CLM01333</v>
      </c>
      <c r="B1334" t="str">
        <f>'Claims Data'!B1334</f>
        <v>PAT0084</v>
      </c>
      <c r="C1334" t="str">
        <f>'Claims Data'!C1334</f>
        <v>PRV0018</v>
      </c>
      <c r="D1334" s="1">
        <f>'Claims Data'!D1334</f>
        <v>44933</v>
      </c>
      <c r="E1334">
        <f>'Claims Data'!H1334</f>
        <v>6.8</v>
      </c>
      <c r="F1334">
        <f>'Claims Data'!J1334</f>
        <v>467.25</v>
      </c>
      <c r="G1334">
        <f>'Claims Data'!M1334</f>
        <v>0</v>
      </c>
      <c r="H1334" t="b">
        <f>'Claims Data'!L1334</f>
        <v>0</v>
      </c>
      <c r="I1334">
        <f t="shared" si="40"/>
        <v>0</v>
      </c>
      <c r="J1334" t="str">
        <f t="shared" si="41"/>
        <v>Low Risk</v>
      </c>
    </row>
    <row r="1335" spans="1:10" x14ac:dyDescent="0.2">
      <c r="A1335" t="str">
        <f>'Claims Data'!A1335</f>
        <v>CLM01334</v>
      </c>
      <c r="B1335" t="str">
        <f>'Claims Data'!B1335</f>
        <v>PAT0040</v>
      </c>
      <c r="C1335" t="str">
        <f>'Claims Data'!C1335</f>
        <v>PRV0011</v>
      </c>
      <c r="D1335" s="1">
        <f>'Claims Data'!D1335</f>
        <v>45452</v>
      </c>
      <c r="E1335">
        <f>'Claims Data'!H1335</f>
        <v>6.1</v>
      </c>
      <c r="F1335">
        <f>'Claims Data'!J1335</f>
        <v>420.28</v>
      </c>
      <c r="G1335">
        <f>'Claims Data'!M1335</f>
        <v>0</v>
      </c>
      <c r="H1335" t="b">
        <f>'Claims Data'!L1335</f>
        <v>0</v>
      </c>
      <c r="I1335">
        <f t="shared" si="40"/>
        <v>0</v>
      </c>
      <c r="J1335" t="str">
        <f t="shared" si="41"/>
        <v>Low Risk</v>
      </c>
    </row>
    <row r="1336" spans="1:10" x14ac:dyDescent="0.2">
      <c r="A1336" t="str">
        <f>'Claims Data'!A1336</f>
        <v>CLM01335</v>
      </c>
      <c r="B1336" t="str">
        <f>'Claims Data'!B1336</f>
        <v>PAT0150</v>
      </c>
      <c r="C1336" t="str">
        <f>'Claims Data'!C1336</f>
        <v>PRV0007</v>
      </c>
      <c r="D1336" s="1">
        <f>'Claims Data'!D1336</f>
        <v>45460</v>
      </c>
      <c r="E1336">
        <f>'Claims Data'!H1336</f>
        <v>6.1</v>
      </c>
      <c r="F1336">
        <f>'Claims Data'!J1336</f>
        <v>195.28</v>
      </c>
      <c r="G1336">
        <f>'Claims Data'!M1336</f>
        <v>0</v>
      </c>
      <c r="H1336" t="b">
        <f>'Claims Data'!L1336</f>
        <v>0</v>
      </c>
      <c r="I1336">
        <f t="shared" si="40"/>
        <v>0</v>
      </c>
      <c r="J1336" t="str">
        <f t="shared" si="41"/>
        <v>Low Risk</v>
      </c>
    </row>
    <row r="1337" spans="1:10" x14ac:dyDescent="0.2">
      <c r="A1337" t="str">
        <f>'Claims Data'!A1337</f>
        <v>CLM01336</v>
      </c>
      <c r="B1337" t="str">
        <f>'Claims Data'!B1337</f>
        <v>PAT0107</v>
      </c>
      <c r="C1337" t="str">
        <f>'Claims Data'!C1337</f>
        <v>PRV0013</v>
      </c>
      <c r="D1337" s="1">
        <f>'Claims Data'!D1337</f>
        <v>44948</v>
      </c>
      <c r="E1337">
        <f>'Claims Data'!H1337</f>
        <v>5.7</v>
      </c>
      <c r="F1337">
        <f>'Claims Data'!J1337</f>
        <v>217.86</v>
      </c>
      <c r="G1337">
        <f>'Claims Data'!M1337</f>
        <v>0</v>
      </c>
      <c r="H1337" t="b">
        <f>'Claims Data'!L1337</f>
        <v>0</v>
      </c>
      <c r="I1337">
        <f t="shared" si="40"/>
        <v>0</v>
      </c>
      <c r="J1337" t="str">
        <f t="shared" si="41"/>
        <v>Low Risk</v>
      </c>
    </row>
    <row r="1338" spans="1:10" x14ac:dyDescent="0.2">
      <c r="A1338" t="str">
        <f>'Claims Data'!A1338</f>
        <v>CLM01337</v>
      </c>
      <c r="B1338" t="str">
        <f>'Claims Data'!B1338</f>
        <v>PAT0240</v>
      </c>
      <c r="C1338" t="str">
        <f>'Claims Data'!C1338</f>
        <v>PRV0017</v>
      </c>
      <c r="D1338" s="1">
        <f>'Claims Data'!D1338</f>
        <v>45145</v>
      </c>
      <c r="E1338">
        <f>'Claims Data'!H1338</f>
        <v>4</v>
      </c>
      <c r="F1338">
        <f>'Claims Data'!J1338</f>
        <v>245.96</v>
      </c>
      <c r="G1338">
        <f>'Claims Data'!M1338</f>
        <v>0</v>
      </c>
      <c r="H1338" t="b">
        <f>'Claims Data'!L1338</f>
        <v>0</v>
      </c>
      <c r="I1338">
        <f t="shared" si="40"/>
        <v>0</v>
      </c>
      <c r="J1338" t="str">
        <f t="shared" si="41"/>
        <v>Low Risk</v>
      </c>
    </row>
    <row r="1339" spans="1:10" x14ac:dyDescent="0.2">
      <c r="A1339" t="str">
        <f>'Claims Data'!A1339</f>
        <v>CLM01338</v>
      </c>
      <c r="B1339" t="str">
        <f>'Claims Data'!B1339</f>
        <v>PAT0009</v>
      </c>
      <c r="C1339" t="str">
        <f>'Claims Data'!C1339</f>
        <v>PRV0037</v>
      </c>
      <c r="D1339" s="1">
        <f>'Claims Data'!D1339</f>
        <v>45235</v>
      </c>
      <c r="E1339">
        <f>'Claims Data'!H1339</f>
        <v>6.7</v>
      </c>
      <c r="F1339">
        <f>'Claims Data'!J1339</f>
        <v>475.87</v>
      </c>
      <c r="G1339">
        <f>'Claims Data'!M1339</f>
        <v>0</v>
      </c>
      <c r="H1339" t="b">
        <f>'Claims Data'!L1339</f>
        <v>0</v>
      </c>
      <c r="I1339">
        <f t="shared" si="40"/>
        <v>0</v>
      </c>
      <c r="J1339" t="str">
        <f t="shared" si="41"/>
        <v>Low Risk</v>
      </c>
    </row>
    <row r="1340" spans="1:10" x14ac:dyDescent="0.2">
      <c r="A1340" t="str">
        <f>'Claims Data'!A1340</f>
        <v>CLM01339</v>
      </c>
      <c r="B1340" t="str">
        <f>'Claims Data'!B1340</f>
        <v>PAT0115</v>
      </c>
      <c r="C1340" t="str">
        <f>'Claims Data'!C1340</f>
        <v>PRV0050</v>
      </c>
      <c r="D1340" s="1">
        <f>'Claims Data'!D1340</f>
        <v>44932</v>
      </c>
      <c r="E1340">
        <f>'Claims Data'!H1340</f>
        <v>2.5</v>
      </c>
      <c r="F1340">
        <f>'Claims Data'!J1340</f>
        <v>189.92</v>
      </c>
      <c r="G1340">
        <f>'Claims Data'!M1340</f>
        <v>0</v>
      </c>
      <c r="H1340" t="b">
        <f>'Claims Data'!L1340</f>
        <v>0</v>
      </c>
      <c r="I1340">
        <f t="shared" si="40"/>
        <v>0</v>
      </c>
      <c r="J1340" t="str">
        <f t="shared" si="41"/>
        <v>Low Risk</v>
      </c>
    </row>
    <row r="1341" spans="1:10" x14ac:dyDescent="0.2">
      <c r="A1341" t="str">
        <f>'Claims Data'!A1341</f>
        <v>CLM01340</v>
      </c>
      <c r="B1341" t="str">
        <f>'Claims Data'!B1341</f>
        <v>PAT0209</v>
      </c>
      <c r="C1341" t="str">
        <f>'Claims Data'!C1341</f>
        <v>PRV0011</v>
      </c>
      <c r="D1341" s="1">
        <f>'Claims Data'!D1341</f>
        <v>45553</v>
      </c>
      <c r="E1341">
        <f>'Claims Data'!H1341</f>
        <v>7.9</v>
      </c>
      <c r="F1341">
        <f>'Claims Data'!J1341</f>
        <v>384.46</v>
      </c>
      <c r="G1341">
        <f>'Claims Data'!M1341</f>
        <v>0</v>
      </c>
      <c r="H1341" t="b">
        <f>'Claims Data'!L1341</f>
        <v>0</v>
      </c>
      <c r="I1341">
        <f t="shared" si="40"/>
        <v>0</v>
      </c>
      <c r="J1341" t="str">
        <f t="shared" si="41"/>
        <v>Low Risk</v>
      </c>
    </row>
    <row r="1342" spans="1:10" x14ac:dyDescent="0.2">
      <c r="A1342" t="str">
        <f>'Claims Data'!A1342</f>
        <v>CLM01341</v>
      </c>
      <c r="B1342" t="str">
        <f>'Claims Data'!B1342</f>
        <v>PAT0219</v>
      </c>
      <c r="C1342" t="str">
        <f>'Claims Data'!C1342</f>
        <v>PRV0010</v>
      </c>
      <c r="D1342" s="1">
        <f>'Claims Data'!D1342</f>
        <v>45566</v>
      </c>
      <c r="E1342">
        <f>'Claims Data'!H1342</f>
        <v>5.6</v>
      </c>
      <c r="F1342">
        <f>'Claims Data'!J1342</f>
        <v>311.88</v>
      </c>
      <c r="G1342">
        <f>'Claims Data'!M1342</f>
        <v>0</v>
      </c>
      <c r="H1342" t="b">
        <f>'Claims Data'!L1342</f>
        <v>0</v>
      </c>
      <c r="I1342">
        <f t="shared" si="40"/>
        <v>0</v>
      </c>
      <c r="J1342" t="str">
        <f t="shared" si="41"/>
        <v>Low Risk</v>
      </c>
    </row>
    <row r="1343" spans="1:10" x14ac:dyDescent="0.2">
      <c r="A1343" t="str">
        <f>'Claims Data'!A1343</f>
        <v>CLM01342</v>
      </c>
      <c r="B1343" t="str">
        <f>'Claims Data'!B1343</f>
        <v>PAT0236</v>
      </c>
      <c r="C1343" t="str">
        <f>'Claims Data'!C1343</f>
        <v>PRV0051</v>
      </c>
      <c r="D1343" s="1">
        <f>'Claims Data'!D1343</f>
        <v>45544</v>
      </c>
      <c r="E1343">
        <f>'Claims Data'!H1343</f>
        <v>4.4000000000000004</v>
      </c>
      <c r="F1343">
        <f>'Claims Data'!J1343</f>
        <v>299.01</v>
      </c>
      <c r="G1343">
        <f>'Claims Data'!M1343</f>
        <v>0</v>
      </c>
      <c r="H1343" t="b">
        <f>'Claims Data'!L1343</f>
        <v>0</v>
      </c>
      <c r="I1343">
        <f t="shared" si="40"/>
        <v>0</v>
      </c>
      <c r="J1343" t="str">
        <f t="shared" si="41"/>
        <v>Low Risk</v>
      </c>
    </row>
    <row r="1344" spans="1:10" x14ac:dyDescent="0.2">
      <c r="A1344" t="str">
        <f>'Claims Data'!A1344</f>
        <v>CLM01343</v>
      </c>
      <c r="B1344" t="str">
        <f>'Claims Data'!B1344</f>
        <v>PAT0256</v>
      </c>
      <c r="C1344" t="str">
        <f>'Claims Data'!C1344</f>
        <v>PRV0057</v>
      </c>
      <c r="D1344" s="1">
        <f>'Claims Data'!D1344</f>
        <v>45131</v>
      </c>
      <c r="E1344">
        <f>'Claims Data'!H1344</f>
        <v>4.3</v>
      </c>
      <c r="F1344">
        <f>'Claims Data'!J1344</f>
        <v>110.65</v>
      </c>
      <c r="G1344">
        <f>'Claims Data'!M1344</f>
        <v>0</v>
      </c>
      <c r="H1344" t="b">
        <f>'Claims Data'!L1344</f>
        <v>0</v>
      </c>
      <c r="I1344">
        <f t="shared" si="40"/>
        <v>0</v>
      </c>
      <c r="J1344" t="str">
        <f t="shared" si="41"/>
        <v>Low Risk</v>
      </c>
    </row>
    <row r="1345" spans="1:10" x14ac:dyDescent="0.2">
      <c r="A1345" t="str">
        <f>'Claims Data'!A1345</f>
        <v>CLM01344</v>
      </c>
      <c r="B1345" t="str">
        <f>'Claims Data'!B1345</f>
        <v>PAT0246</v>
      </c>
      <c r="C1345" t="str">
        <f>'Claims Data'!C1345</f>
        <v>PRV0037</v>
      </c>
      <c r="D1345" s="1">
        <f>'Claims Data'!D1345</f>
        <v>45257</v>
      </c>
      <c r="E1345">
        <f>'Claims Data'!H1345</f>
        <v>3.8</v>
      </c>
      <c r="F1345">
        <f>'Claims Data'!J1345</f>
        <v>196.59</v>
      </c>
      <c r="G1345">
        <f>'Claims Data'!M1345</f>
        <v>0</v>
      </c>
      <c r="H1345" t="b">
        <f>'Claims Data'!L1345</f>
        <v>0</v>
      </c>
      <c r="I1345">
        <f t="shared" si="40"/>
        <v>0</v>
      </c>
      <c r="J1345" t="str">
        <f t="shared" si="41"/>
        <v>Low Risk</v>
      </c>
    </row>
    <row r="1346" spans="1:10" x14ac:dyDescent="0.2">
      <c r="A1346" t="str">
        <f>'Claims Data'!A1346</f>
        <v>CLM01345</v>
      </c>
      <c r="B1346" t="str">
        <f>'Claims Data'!B1346</f>
        <v>PAT0256</v>
      </c>
      <c r="C1346" t="str">
        <f>'Claims Data'!C1346</f>
        <v>PRV0057</v>
      </c>
      <c r="D1346" s="1">
        <f>'Claims Data'!D1346</f>
        <v>45575</v>
      </c>
      <c r="E1346">
        <f>'Claims Data'!H1346</f>
        <v>16</v>
      </c>
      <c r="F1346">
        <f>'Claims Data'!J1346</f>
        <v>1250</v>
      </c>
      <c r="G1346" t="str">
        <f>'Claims Data'!M1346</f>
        <v>phantom_round_amount</v>
      </c>
      <c r="H1346" t="b">
        <f>'Claims Data'!L1346</f>
        <v>1</v>
      </c>
      <c r="I1346">
        <f t="shared" si="40"/>
        <v>40</v>
      </c>
      <c r="J1346" t="str">
        <f t="shared" si="41"/>
        <v>Medium Risk</v>
      </c>
    </row>
    <row r="1347" spans="1:10" x14ac:dyDescent="0.2">
      <c r="A1347" t="str">
        <f>'Claims Data'!A1347</f>
        <v>CLM01346</v>
      </c>
      <c r="B1347" t="str">
        <f>'Claims Data'!B1347</f>
        <v>PAT0212</v>
      </c>
      <c r="C1347" t="str">
        <f>'Claims Data'!C1347</f>
        <v>PRV0045</v>
      </c>
      <c r="D1347" s="1">
        <f>'Claims Data'!D1347</f>
        <v>45250</v>
      </c>
      <c r="E1347">
        <f>'Claims Data'!H1347</f>
        <v>6.8</v>
      </c>
      <c r="F1347">
        <f>'Claims Data'!J1347</f>
        <v>287.76</v>
      </c>
      <c r="G1347">
        <f>'Claims Data'!M1347</f>
        <v>0</v>
      </c>
      <c r="H1347" t="b">
        <f>'Claims Data'!L1347</f>
        <v>0</v>
      </c>
      <c r="I1347">
        <f t="shared" ref="I1347:I1410" si="42">IF(E1347&gt;16,40,0)+IF(MOD(F1347,250)=0,30,0)+IF(H1347=TRUE,10,0)</f>
        <v>0</v>
      </c>
      <c r="J1347" t="str">
        <f t="shared" ref="J1347:J1410" si="43">IF(I1347&gt;=70,"High Risk",IF(I1347&gt;=30,"Medium Risk","Low Risk"))</f>
        <v>Low Risk</v>
      </c>
    </row>
    <row r="1348" spans="1:10" x14ac:dyDescent="0.2">
      <c r="A1348" t="str">
        <f>'Claims Data'!A1348</f>
        <v>CLM01347</v>
      </c>
      <c r="B1348" t="str">
        <f>'Claims Data'!B1348</f>
        <v>PAT0210</v>
      </c>
      <c r="C1348" t="str">
        <f>'Claims Data'!C1348</f>
        <v>PRV0028</v>
      </c>
      <c r="D1348" s="1">
        <f>'Claims Data'!D1348</f>
        <v>45242</v>
      </c>
      <c r="E1348">
        <f>'Claims Data'!H1348</f>
        <v>6.4</v>
      </c>
      <c r="F1348">
        <f>'Claims Data'!J1348</f>
        <v>319.05</v>
      </c>
      <c r="G1348" t="str">
        <f>'Claims Data'!M1348</f>
        <v>duplicate_claim</v>
      </c>
      <c r="H1348" t="b">
        <f>'Claims Data'!L1348</f>
        <v>1</v>
      </c>
      <c r="I1348">
        <f t="shared" si="42"/>
        <v>10</v>
      </c>
      <c r="J1348" t="str">
        <f t="shared" si="43"/>
        <v>Low Risk</v>
      </c>
    </row>
    <row r="1349" spans="1:10" x14ac:dyDescent="0.2">
      <c r="A1349" t="str">
        <f>'Claims Data'!A1349</f>
        <v>CLM01348</v>
      </c>
      <c r="B1349" t="str">
        <f>'Claims Data'!B1349</f>
        <v>PAT0005</v>
      </c>
      <c r="C1349" t="str">
        <f>'Claims Data'!C1349</f>
        <v>PRV0058</v>
      </c>
      <c r="D1349" s="1">
        <f>'Claims Data'!D1349</f>
        <v>45218</v>
      </c>
      <c r="E1349">
        <f>'Claims Data'!H1349</f>
        <v>2.9</v>
      </c>
      <c r="F1349">
        <f>'Claims Data'!J1349</f>
        <v>125.26</v>
      </c>
      <c r="G1349">
        <f>'Claims Data'!M1349</f>
        <v>0</v>
      </c>
      <c r="H1349" t="b">
        <f>'Claims Data'!L1349</f>
        <v>0</v>
      </c>
      <c r="I1349">
        <f t="shared" si="42"/>
        <v>0</v>
      </c>
      <c r="J1349" t="str">
        <f t="shared" si="43"/>
        <v>Low Risk</v>
      </c>
    </row>
    <row r="1350" spans="1:10" x14ac:dyDescent="0.2">
      <c r="A1350" t="str">
        <f>'Claims Data'!A1350</f>
        <v>CLM01349</v>
      </c>
      <c r="B1350" t="str">
        <f>'Claims Data'!B1350</f>
        <v>PAT0273</v>
      </c>
      <c r="C1350" t="str">
        <f>'Claims Data'!C1350</f>
        <v>PRV0009</v>
      </c>
      <c r="D1350" s="1">
        <f>'Claims Data'!D1350</f>
        <v>44942</v>
      </c>
      <c r="E1350">
        <f>'Claims Data'!H1350</f>
        <v>2.4</v>
      </c>
      <c r="F1350">
        <f>'Claims Data'!J1350</f>
        <v>198.25</v>
      </c>
      <c r="G1350">
        <f>'Claims Data'!M1350</f>
        <v>0</v>
      </c>
      <c r="H1350" t="b">
        <f>'Claims Data'!L1350</f>
        <v>0</v>
      </c>
      <c r="I1350">
        <f t="shared" si="42"/>
        <v>0</v>
      </c>
      <c r="J1350" t="str">
        <f t="shared" si="43"/>
        <v>Low Risk</v>
      </c>
    </row>
    <row r="1351" spans="1:10" x14ac:dyDescent="0.2">
      <c r="A1351" t="str">
        <f>'Claims Data'!A1351</f>
        <v>CLM01350</v>
      </c>
      <c r="B1351" t="str">
        <f>'Claims Data'!B1351</f>
        <v>PAT0021</v>
      </c>
      <c r="C1351" t="str">
        <f>'Claims Data'!C1351</f>
        <v>PRV0049</v>
      </c>
      <c r="D1351" s="1">
        <f>'Claims Data'!D1351</f>
        <v>45151</v>
      </c>
      <c r="E1351">
        <f>'Claims Data'!H1351</f>
        <v>2</v>
      </c>
      <c r="F1351">
        <f>'Claims Data'!J1351</f>
        <v>126.66</v>
      </c>
      <c r="G1351">
        <f>'Claims Data'!M1351</f>
        <v>0</v>
      </c>
      <c r="H1351" t="b">
        <f>'Claims Data'!L1351</f>
        <v>0</v>
      </c>
      <c r="I1351">
        <f t="shared" si="42"/>
        <v>0</v>
      </c>
      <c r="J1351" t="str">
        <f t="shared" si="43"/>
        <v>Low Risk</v>
      </c>
    </row>
    <row r="1352" spans="1:10" x14ac:dyDescent="0.2">
      <c r="A1352" t="str">
        <f>'Claims Data'!A1352</f>
        <v>CLM01351</v>
      </c>
      <c r="B1352" t="str">
        <f>'Claims Data'!B1352</f>
        <v>PAT0242</v>
      </c>
      <c r="C1352" t="str">
        <f>'Claims Data'!C1352</f>
        <v>PRV0043</v>
      </c>
      <c r="D1352" s="1">
        <f>'Claims Data'!D1352</f>
        <v>45604</v>
      </c>
      <c r="E1352">
        <f>'Claims Data'!H1352</f>
        <v>3</v>
      </c>
      <c r="F1352">
        <f>'Claims Data'!J1352</f>
        <v>158.18</v>
      </c>
      <c r="G1352">
        <f>'Claims Data'!M1352</f>
        <v>0</v>
      </c>
      <c r="H1352" t="b">
        <f>'Claims Data'!L1352</f>
        <v>0</v>
      </c>
      <c r="I1352">
        <f t="shared" si="42"/>
        <v>0</v>
      </c>
      <c r="J1352" t="str">
        <f t="shared" si="43"/>
        <v>Low Risk</v>
      </c>
    </row>
    <row r="1353" spans="1:10" x14ac:dyDescent="0.2">
      <c r="A1353" t="str">
        <f>'Claims Data'!A1353</f>
        <v>CLM01352</v>
      </c>
      <c r="B1353" t="str">
        <f>'Claims Data'!B1353</f>
        <v>PAT0027</v>
      </c>
      <c r="C1353" t="str">
        <f>'Claims Data'!C1353</f>
        <v>PRV0047</v>
      </c>
      <c r="D1353" s="1">
        <f>'Claims Data'!D1353</f>
        <v>45257</v>
      </c>
      <c r="E1353">
        <f>'Claims Data'!H1353</f>
        <v>3.2</v>
      </c>
      <c r="F1353">
        <f>'Claims Data'!J1353</f>
        <v>239.8</v>
      </c>
      <c r="G1353">
        <f>'Claims Data'!M1353</f>
        <v>0</v>
      </c>
      <c r="H1353" t="b">
        <f>'Claims Data'!L1353</f>
        <v>0</v>
      </c>
      <c r="I1353">
        <f t="shared" si="42"/>
        <v>0</v>
      </c>
      <c r="J1353" t="str">
        <f t="shared" si="43"/>
        <v>Low Risk</v>
      </c>
    </row>
    <row r="1354" spans="1:10" x14ac:dyDescent="0.2">
      <c r="A1354" t="str">
        <f>'Claims Data'!A1354</f>
        <v>CLM01353</v>
      </c>
      <c r="B1354" t="str">
        <f>'Claims Data'!B1354</f>
        <v>PAT0004</v>
      </c>
      <c r="C1354" t="str">
        <f>'Claims Data'!C1354</f>
        <v>PRV0013</v>
      </c>
      <c r="D1354" s="1">
        <f>'Claims Data'!D1354</f>
        <v>45221</v>
      </c>
      <c r="E1354">
        <f>'Claims Data'!H1354</f>
        <v>2.2999999999999998</v>
      </c>
      <c r="F1354">
        <f>'Claims Data'!J1354</f>
        <v>171.52</v>
      </c>
      <c r="G1354">
        <f>'Claims Data'!M1354</f>
        <v>0</v>
      </c>
      <c r="H1354" t="b">
        <f>'Claims Data'!L1354</f>
        <v>0</v>
      </c>
      <c r="I1354">
        <f t="shared" si="42"/>
        <v>0</v>
      </c>
      <c r="J1354" t="str">
        <f t="shared" si="43"/>
        <v>Low Risk</v>
      </c>
    </row>
    <row r="1355" spans="1:10" x14ac:dyDescent="0.2">
      <c r="A1355" t="str">
        <f>'Claims Data'!A1355</f>
        <v>CLM01354</v>
      </c>
      <c r="B1355" t="str">
        <f>'Claims Data'!B1355</f>
        <v>PAT0156</v>
      </c>
      <c r="C1355" t="str">
        <f>'Claims Data'!C1355</f>
        <v>PRV0045</v>
      </c>
      <c r="D1355" s="1">
        <f>'Claims Data'!D1355</f>
        <v>45502</v>
      </c>
      <c r="E1355">
        <f>'Claims Data'!H1355</f>
        <v>5</v>
      </c>
      <c r="F1355">
        <f>'Claims Data'!J1355</f>
        <v>346.96</v>
      </c>
      <c r="G1355">
        <f>'Claims Data'!M1355</f>
        <v>0</v>
      </c>
      <c r="H1355" t="b">
        <f>'Claims Data'!L1355</f>
        <v>0</v>
      </c>
      <c r="I1355">
        <f t="shared" si="42"/>
        <v>0</v>
      </c>
      <c r="J1355" t="str">
        <f t="shared" si="43"/>
        <v>Low Risk</v>
      </c>
    </row>
    <row r="1356" spans="1:10" x14ac:dyDescent="0.2">
      <c r="A1356" t="str">
        <f>'Claims Data'!A1356</f>
        <v>CLM01355</v>
      </c>
      <c r="B1356" t="str">
        <f>'Claims Data'!B1356</f>
        <v>PAT0095</v>
      </c>
      <c r="C1356" t="str">
        <f>'Claims Data'!C1356</f>
        <v>PRV0058</v>
      </c>
      <c r="D1356" s="1">
        <f>'Claims Data'!D1356</f>
        <v>45112</v>
      </c>
      <c r="E1356">
        <f>'Claims Data'!H1356</f>
        <v>43.8</v>
      </c>
      <c r="F1356">
        <f>'Claims Data'!J1356</f>
        <v>1500</v>
      </c>
      <c r="G1356" t="str">
        <f>'Claims Data'!M1356</f>
        <v>phantom_round_amount</v>
      </c>
      <c r="H1356" t="b">
        <f>'Claims Data'!L1356</f>
        <v>1</v>
      </c>
      <c r="I1356">
        <f t="shared" si="42"/>
        <v>80</v>
      </c>
      <c r="J1356" t="str">
        <f t="shared" si="43"/>
        <v>High Risk</v>
      </c>
    </row>
    <row r="1357" spans="1:10" x14ac:dyDescent="0.2">
      <c r="A1357" t="str">
        <f>'Claims Data'!A1357</f>
        <v>CLM01356</v>
      </c>
      <c r="B1357" t="str">
        <f>'Claims Data'!B1357</f>
        <v>PAT0230</v>
      </c>
      <c r="C1357" t="str">
        <f>'Claims Data'!C1357</f>
        <v>PRV0017</v>
      </c>
      <c r="D1357" s="1">
        <f>'Claims Data'!D1357</f>
        <v>45228</v>
      </c>
      <c r="E1357">
        <f>'Claims Data'!H1357</f>
        <v>2.7</v>
      </c>
      <c r="F1357">
        <f>'Claims Data'!J1357</f>
        <v>175.38</v>
      </c>
      <c r="G1357">
        <f>'Claims Data'!M1357</f>
        <v>0</v>
      </c>
      <c r="H1357" t="b">
        <f>'Claims Data'!L1357</f>
        <v>0</v>
      </c>
      <c r="I1357">
        <f t="shared" si="42"/>
        <v>0</v>
      </c>
      <c r="J1357" t="str">
        <f t="shared" si="43"/>
        <v>Low Risk</v>
      </c>
    </row>
    <row r="1358" spans="1:10" x14ac:dyDescent="0.2">
      <c r="A1358" t="str">
        <f>'Claims Data'!A1358</f>
        <v>CLM01357</v>
      </c>
      <c r="B1358" t="str">
        <f>'Claims Data'!B1358</f>
        <v>PAT0121</v>
      </c>
      <c r="C1358" t="str">
        <f>'Claims Data'!C1358</f>
        <v>PRV0019</v>
      </c>
      <c r="D1358" s="1">
        <f>'Claims Data'!D1358</f>
        <v>45630</v>
      </c>
      <c r="E1358">
        <f>'Claims Data'!H1358</f>
        <v>3.1</v>
      </c>
      <c r="F1358">
        <f>'Claims Data'!J1358</f>
        <v>246.16</v>
      </c>
      <c r="G1358">
        <f>'Claims Data'!M1358</f>
        <v>0</v>
      </c>
      <c r="H1358" t="b">
        <f>'Claims Data'!L1358</f>
        <v>0</v>
      </c>
      <c r="I1358">
        <f t="shared" si="42"/>
        <v>0</v>
      </c>
      <c r="J1358" t="str">
        <f t="shared" si="43"/>
        <v>Low Risk</v>
      </c>
    </row>
    <row r="1359" spans="1:10" x14ac:dyDescent="0.2">
      <c r="A1359" t="str">
        <f>'Claims Data'!A1359</f>
        <v>CLM01358</v>
      </c>
      <c r="B1359" t="str">
        <f>'Claims Data'!B1359</f>
        <v>PAT0262</v>
      </c>
      <c r="C1359" t="str">
        <f>'Claims Data'!C1359</f>
        <v>PRV0035</v>
      </c>
      <c r="D1359" s="1">
        <f>'Claims Data'!D1359</f>
        <v>45367</v>
      </c>
      <c r="E1359">
        <f>'Claims Data'!H1359</f>
        <v>2.2000000000000002</v>
      </c>
      <c r="F1359">
        <f>'Claims Data'!J1359</f>
        <v>155.94</v>
      </c>
      <c r="G1359">
        <f>'Claims Data'!M1359</f>
        <v>0</v>
      </c>
      <c r="H1359" t="b">
        <f>'Claims Data'!L1359</f>
        <v>0</v>
      </c>
      <c r="I1359">
        <f t="shared" si="42"/>
        <v>0</v>
      </c>
      <c r="J1359" t="str">
        <f t="shared" si="43"/>
        <v>Low Risk</v>
      </c>
    </row>
    <row r="1360" spans="1:10" x14ac:dyDescent="0.2">
      <c r="A1360" t="str">
        <f>'Claims Data'!A1360</f>
        <v>CLM01359</v>
      </c>
      <c r="B1360" t="str">
        <f>'Claims Data'!B1360</f>
        <v>PAT0235</v>
      </c>
      <c r="C1360" t="str">
        <f>'Claims Data'!C1360</f>
        <v>PRV0024</v>
      </c>
      <c r="D1360" s="1">
        <f>'Claims Data'!D1360</f>
        <v>45079</v>
      </c>
      <c r="E1360">
        <f>'Claims Data'!H1360</f>
        <v>5.6</v>
      </c>
      <c r="F1360">
        <f>'Claims Data'!J1360</f>
        <v>261.55</v>
      </c>
      <c r="G1360">
        <f>'Claims Data'!M1360</f>
        <v>0</v>
      </c>
      <c r="H1360" t="b">
        <f>'Claims Data'!L1360</f>
        <v>0</v>
      </c>
      <c r="I1360">
        <f t="shared" si="42"/>
        <v>0</v>
      </c>
      <c r="J1360" t="str">
        <f t="shared" si="43"/>
        <v>Low Risk</v>
      </c>
    </row>
    <row r="1361" spans="1:10" x14ac:dyDescent="0.2">
      <c r="A1361" t="str">
        <f>'Claims Data'!A1361</f>
        <v>CLM01360</v>
      </c>
      <c r="B1361" t="str">
        <f>'Claims Data'!B1361</f>
        <v>PAT0279</v>
      </c>
      <c r="C1361" t="str">
        <f>'Claims Data'!C1361</f>
        <v>PRV0003</v>
      </c>
      <c r="D1361" s="1">
        <f>'Claims Data'!D1361</f>
        <v>45085</v>
      </c>
      <c r="E1361">
        <f>'Claims Data'!H1361</f>
        <v>7.2</v>
      </c>
      <c r="F1361">
        <f>'Claims Data'!J1361</f>
        <v>451.29</v>
      </c>
      <c r="G1361">
        <f>'Claims Data'!M1361</f>
        <v>0</v>
      </c>
      <c r="H1361" t="b">
        <f>'Claims Data'!L1361</f>
        <v>0</v>
      </c>
      <c r="I1361">
        <f t="shared" si="42"/>
        <v>0</v>
      </c>
      <c r="J1361" t="str">
        <f t="shared" si="43"/>
        <v>Low Risk</v>
      </c>
    </row>
    <row r="1362" spans="1:10" x14ac:dyDescent="0.2">
      <c r="A1362" t="str">
        <f>'Claims Data'!A1362</f>
        <v>CLM01361</v>
      </c>
      <c r="B1362" t="str">
        <f>'Claims Data'!B1362</f>
        <v>PAT0250</v>
      </c>
      <c r="C1362" t="str">
        <f>'Claims Data'!C1362</f>
        <v>PRV0015</v>
      </c>
      <c r="D1362" s="1">
        <f>'Claims Data'!D1362</f>
        <v>45118</v>
      </c>
      <c r="E1362">
        <f>'Claims Data'!H1362</f>
        <v>4.2</v>
      </c>
      <c r="F1362">
        <f>'Claims Data'!J1362</f>
        <v>289.70999999999998</v>
      </c>
      <c r="G1362">
        <f>'Claims Data'!M1362</f>
        <v>0</v>
      </c>
      <c r="H1362" t="b">
        <f>'Claims Data'!L1362</f>
        <v>0</v>
      </c>
      <c r="I1362">
        <f t="shared" si="42"/>
        <v>0</v>
      </c>
      <c r="J1362" t="str">
        <f t="shared" si="43"/>
        <v>Low Risk</v>
      </c>
    </row>
    <row r="1363" spans="1:10" x14ac:dyDescent="0.2">
      <c r="A1363" t="str">
        <f>'Claims Data'!A1363</f>
        <v>CLM01362</v>
      </c>
      <c r="B1363" t="str">
        <f>'Claims Data'!B1363</f>
        <v>PAT0284</v>
      </c>
      <c r="C1363" t="str">
        <f>'Claims Data'!C1363</f>
        <v>PRV0052</v>
      </c>
      <c r="D1363" s="1">
        <f>'Claims Data'!D1363</f>
        <v>45648</v>
      </c>
      <c r="E1363">
        <f>'Claims Data'!H1363</f>
        <v>3</v>
      </c>
      <c r="F1363">
        <f>'Claims Data'!J1363</f>
        <v>85.53</v>
      </c>
      <c r="G1363">
        <f>'Claims Data'!M1363</f>
        <v>0</v>
      </c>
      <c r="H1363" t="b">
        <f>'Claims Data'!L1363</f>
        <v>0</v>
      </c>
      <c r="I1363">
        <f t="shared" si="42"/>
        <v>0</v>
      </c>
      <c r="J1363" t="str">
        <f t="shared" si="43"/>
        <v>Low Risk</v>
      </c>
    </row>
    <row r="1364" spans="1:10" x14ac:dyDescent="0.2">
      <c r="A1364" t="str">
        <f>'Claims Data'!A1364</f>
        <v>CLM01363</v>
      </c>
      <c r="B1364" t="str">
        <f>'Claims Data'!B1364</f>
        <v>PAT0276</v>
      </c>
      <c r="C1364" t="str">
        <f>'Claims Data'!C1364</f>
        <v>PRV0033</v>
      </c>
      <c r="D1364" s="1">
        <f>'Claims Data'!D1364</f>
        <v>45277</v>
      </c>
      <c r="E1364">
        <f>'Claims Data'!H1364</f>
        <v>7.3</v>
      </c>
      <c r="F1364">
        <f>'Claims Data'!J1364</f>
        <v>241.85</v>
      </c>
      <c r="G1364">
        <f>'Claims Data'!M1364</f>
        <v>0</v>
      </c>
      <c r="H1364" t="b">
        <f>'Claims Data'!L1364</f>
        <v>0</v>
      </c>
      <c r="I1364">
        <f t="shared" si="42"/>
        <v>0</v>
      </c>
      <c r="J1364" t="str">
        <f t="shared" si="43"/>
        <v>Low Risk</v>
      </c>
    </row>
    <row r="1365" spans="1:10" x14ac:dyDescent="0.2">
      <c r="A1365" t="str">
        <f>'Claims Data'!A1365</f>
        <v>CLM01364</v>
      </c>
      <c r="B1365" t="str">
        <f>'Claims Data'!B1365</f>
        <v>PAT0045</v>
      </c>
      <c r="C1365" t="str">
        <f>'Claims Data'!C1365</f>
        <v>PRV0011</v>
      </c>
      <c r="D1365" s="1">
        <f>'Claims Data'!D1365</f>
        <v>45078</v>
      </c>
      <c r="E1365">
        <f>'Claims Data'!H1365</f>
        <v>3.6</v>
      </c>
      <c r="F1365">
        <f>'Claims Data'!J1365</f>
        <v>180.62</v>
      </c>
      <c r="G1365">
        <f>'Claims Data'!M1365</f>
        <v>0</v>
      </c>
      <c r="H1365" t="b">
        <f>'Claims Data'!L1365</f>
        <v>0</v>
      </c>
      <c r="I1365">
        <f t="shared" si="42"/>
        <v>0</v>
      </c>
      <c r="J1365" t="str">
        <f t="shared" si="43"/>
        <v>Low Risk</v>
      </c>
    </row>
    <row r="1366" spans="1:10" x14ac:dyDescent="0.2">
      <c r="A1366" t="str">
        <f>'Claims Data'!A1366</f>
        <v>CLM01365</v>
      </c>
      <c r="B1366" t="str">
        <f>'Claims Data'!B1366</f>
        <v>PAT0225</v>
      </c>
      <c r="C1366" t="str">
        <f>'Claims Data'!C1366</f>
        <v>PRV0029</v>
      </c>
      <c r="D1366" s="1">
        <f>'Claims Data'!D1366</f>
        <v>45546</v>
      </c>
      <c r="E1366">
        <f>'Claims Data'!H1366</f>
        <v>3.7</v>
      </c>
      <c r="F1366">
        <f>'Claims Data'!J1366</f>
        <v>210.07</v>
      </c>
      <c r="G1366">
        <f>'Claims Data'!M1366</f>
        <v>0</v>
      </c>
      <c r="H1366" t="b">
        <f>'Claims Data'!L1366</f>
        <v>0</v>
      </c>
      <c r="I1366">
        <f t="shared" si="42"/>
        <v>0</v>
      </c>
      <c r="J1366" t="str">
        <f t="shared" si="43"/>
        <v>Low Risk</v>
      </c>
    </row>
    <row r="1367" spans="1:10" x14ac:dyDescent="0.2">
      <c r="A1367" t="str">
        <f>'Claims Data'!A1367</f>
        <v>CLM01366</v>
      </c>
      <c r="B1367" t="str">
        <f>'Claims Data'!B1367</f>
        <v>PAT0149</v>
      </c>
      <c r="C1367" t="str">
        <f>'Claims Data'!C1367</f>
        <v>PRV0051</v>
      </c>
      <c r="D1367" s="1">
        <f>'Claims Data'!D1367</f>
        <v>45572</v>
      </c>
      <c r="E1367">
        <f>'Claims Data'!H1367</f>
        <v>6.6</v>
      </c>
      <c r="F1367">
        <f>'Claims Data'!J1367</f>
        <v>237.57</v>
      </c>
      <c r="G1367">
        <f>'Claims Data'!M1367</f>
        <v>0</v>
      </c>
      <c r="H1367" t="b">
        <f>'Claims Data'!L1367</f>
        <v>0</v>
      </c>
      <c r="I1367">
        <f t="shared" si="42"/>
        <v>0</v>
      </c>
      <c r="J1367" t="str">
        <f t="shared" si="43"/>
        <v>Low Risk</v>
      </c>
    </row>
    <row r="1368" spans="1:10" x14ac:dyDescent="0.2">
      <c r="A1368" t="str">
        <f>'Claims Data'!A1368</f>
        <v>CLM01367</v>
      </c>
      <c r="B1368" t="str">
        <f>'Claims Data'!B1368</f>
        <v>PAT0288</v>
      </c>
      <c r="C1368" t="str">
        <f>'Claims Data'!C1368</f>
        <v>PRV0008</v>
      </c>
      <c r="D1368" s="1">
        <f>'Claims Data'!D1368</f>
        <v>45286</v>
      </c>
      <c r="E1368">
        <f>'Claims Data'!H1368</f>
        <v>5.3</v>
      </c>
      <c r="F1368">
        <f>'Claims Data'!J1368</f>
        <v>409.94</v>
      </c>
      <c r="G1368">
        <f>'Claims Data'!M1368</f>
        <v>0</v>
      </c>
      <c r="H1368" t="b">
        <f>'Claims Data'!L1368</f>
        <v>0</v>
      </c>
      <c r="I1368">
        <f t="shared" si="42"/>
        <v>0</v>
      </c>
      <c r="J1368" t="str">
        <f t="shared" si="43"/>
        <v>Low Risk</v>
      </c>
    </row>
    <row r="1369" spans="1:10" x14ac:dyDescent="0.2">
      <c r="A1369" t="str">
        <f>'Claims Data'!A1369</f>
        <v>CLM01368</v>
      </c>
      <c r="B1369" t="str">
        <f>'Claims Data'!B1369</f>
        <v>PAT0204</v>
      </c>
      <c r="C1369" t="str">
        <f>'Claims Data'!C1369</f>
        <v>PRV0055</v>
      </c>
      <c r="D1369" s="1">
        <f>'Claims Data'!D1369</f>
        <v>45381</v>
      </c>
      <c r="E1369">
        <f>'Claims Data'!H1369</f>
        <v>3.6</v>
      </c>
      <c r="F1369">
        <f>'Claims Data'!J1369</f>
        <v>240.76</v>
      </c>
      <c r="G1369">
        <f>'Claims Data'!M1369</f>
        <v>0</v>
      </c>
      <c r="H1369" t="b">
        <f>'Claims Data'!L1369</f>
        <v>0</v>
      </c>
      <c r="I1369">
        <f t="shared" si="42"/>
        <v>0</v>
      </c>
      <c r="J1369" t="str">
        <f t="shared" si="43"/>
        <v>Low Risk</v>
      </c>
    </row>
    <row r="1370" spans="1:10" x14ac:dyDescent="0.2">
      <c r="A1370" t="str">
        <f>'Claims Data'!A1370</f>
        <v>CLM01369</v>
      </c>
      <c r="B1370" t="str">
        <f>'Claims Data'!B1370</f>
        <v>PAT0097</v>
      </c>
      <c r="C1370" t="str">
        <f>'Claims Data'!C1370</f>
        <v>PRV0022</v>
      </c>
      <c r="D1370" s="1">
        <f>'Claims Data'!D1370</f>
        <v>45221</v>
      </c>
      <c r="E1370">
        <f>'Claims Data'!H1370</f>
        <v>5.2</v>
      </c>
      <c r="F1370">
        <f>'Claims Data'!J1370</f>
        <v>239.71</v>
      </c>
      <c r="G1370">
        <f>'Claims Data'!M1370</f>
        <v>0</v>
      </c>
      <c r="H1370" t="b">
        <f>'Claims Data'!L1370</f>
        <v>0</v>
      </c>
      <c r="I1370">
        <f t="shared" si="42"/>
        <v>0</v>
      </c>
      <c r="J1370" t="str">
        <f t="shared" si="43"/>
        <v>Low Risk</v>
      </c>
    </row>
    <row r="1371" spans="1:10" x14ac:dyDescent="0.2">
      <c r="A1371" t="str">
        <f>'Claims Data'!A1371</f>
        <v>CLM01370</v>
      </c>
      <c r="B1371" t="str">
        <f>'Claims Data'!B1371</f>
        <v>PAT0167</v>
      </c>
      <c r="C1371" t="str">
        <f>'Claims Data'!C1371</f>
        <v>PRV0001</v>
      </c>
      <c r="D1371" s="1">
        <f>'Claims Data'!D1371</f>
        <v>45187</v>
      </c>
      <c r="E1371">
        <f>'Claims Data'!H1371</f>
        <v>2.8</v>
      </c>
      <c r="F1371">
        <f>'Claims Data'!J1371</f>
        <v>117.28</v>
      </c>
      <c r="G1371">
        <f>'Claims Data'!M1371</f>
        <v>0</v>
      </c>
      <c r="H1371" t="b">
        <f>'Claims Data'!L1371</f>
        <v>0</v>
      </c>
      <c r="I1371">
        <f t="shared" si="42"/>
        <v>0</v>
      </c>
      <c r="J1371" t="str">
        <f t="shared" si="43"/>
        <v>Low Risk</v>
      </c>
    </row>
    <row r="1372" spans="1:10" x14ac:dyDescent="0.2">
      <c r="A1372" t="str">
        <f>'Claims Data'!A1372</f>
        <v>CLM01371</v>
      </c>
      <c r="B1372" t="str">
        <f>'Claims Data'!B1372</f>
        <v>PAT0230</v>
      </c>
      <c r="C1372" t="str">
        <f>'Claims Data'!C1372</f>
        <v>PRV0048</v>
      </c>
      <c r="D1372" s="1">
        <f>'Claims Data'!D1372</f>
        <v>45642</v>
      </c>
      <c r="E1372">
        <f>'Claims Data'!H1372</f>
        <v>4</v>
      </c>
      <c r="F1372">
        <f>'Claims Data'!J1372</f>
        <v>318.58999999999997</v>
      </c>
      <c r="G1372">
        <f>'Claims Data'!M1372</f>
        <v>0</v>
      </c>
      <c r="H1372" t="b">
        <f>'Claims Data'!L1372</f>
        <v>0</v>
      </c>
      <c r="I1372">
        <f t="shared" si="42"/>
        <v>0</v>
      </c>
      <c r="J1372" t="str">
        <f t="shared" si="43"/>
        <v>Low Risk</v>
      </c>
    </row>
    <row r="1373" spans="1:10" x14ac:dyDescent="0.2">
      <c r="A1373" t="str">
        <f>'Claims Data'!A1373</f>
        <v>CLM01372</v>
      </c>
      <c r="B1373" t="str">
        <f>'Claims Data'!B1373</f>
        <v>PAT0040</v>
      </c>
      <c r="C1373" t="str">
        <f>'Claims Data'!C1373</f>
        <v>PRV0001</v>
      </c>
      <c r="D1373" s="1">
        <f>'Claims Data'!D1373</f>
        <v>45395</v>
      </c>
      <c r="E1373">
        <f>'Claims Data'!H1373</f>
        <v>2.9</v>
      </c>
      <c r="F1373">
        <f>'Claims Data'!J1373</f>
        <v>110.97</v>
      </c>
      <c r="G1373">
        <f>'Claims Data'!M1373</f>
        <v>0</v>
      </c>
      <c r="H1373" t="b">
        <f>'Claims Data'!L1373</f>
        <v>0</v>
      </c>
      <c r="I1373">
        <f t="shared" si="42"/>
        <v>0</v>
      </c>
      <c r="J1373" t="str">
        <f t="shared" si="43"/>
        <v>Low Risk</v>
      </c>
    </row>
    <row r="1374" spans="1:10" x14ac:dyDescent="0.2">
      <c r="A1374" t="str">
        <f>'Claims Data'!A1374</f>
        <v>CLM01373</v>
      </c>
      <c r="B1374" t="str">
        <f>'Claims Data'!B1374</f>
        <v>PAT0063</v>
      </c>
      <c r="C1374" t="str">
        <f>'Claims Data'!C1374</f>
        <v>PRV0010</v>
      </c>
      <c r="D1374" s="1">
        <f>'Claims Data'!D1374</f>
        <v>45443</v>
      </c>
      <c r="E1374">
        <f>'Claims Data'!H1374</f>
        <v>4.5</v>
      </c>
      <c r="F1374">
        <f>'Claims Data'!J1374</f>
        <v>359.83</v>
      </c>
      <c r="G1374">
        <f>'Claims Data'!M1374</f>
        <v>0</v>
      </c>
      <c r="H1374" t="b">
        <f>'Claims Data'!L1374</f>
        <v>0</v>
      </c>
      <c r="I1374">
        <f t="shared" si="42"/>
        <v>0</v>
      </c>
      <c r="J1374" t="str">
        <f t="shared" si="43"/>
        <v>Low Risk</v>
      </c>
    </row>
    <row r="1375" spans="1:10" x14ac:dyDescent="0.2">
      <c r="A1375" t="str">
        <f>'Claims Data'!A1375</f>
        <v>CLM01374</v>
      </c>
      <c r="B1375" t="str">
        <f>'Claims Data'!B1375</f>
        <v>PAT0076</v>
      </c>
      <c r="C1375" t="str">
        <f>'Claims Data'!C1375</f>
        <v>PRV0052</v>
      </c>
      <c r="D1375" s="1">
        <f>'Claims Data'!D1375</f>
        <v>45013</v>
      </c>
      <c r="E1375">
        <f>'Claims Data'!H1375</f>
        <v>7.5</v>
      </c>
      <c r="F1375">
        <f>'Claims Data'!J1375</f>
        <v>403.28</v>
      </c>
      <c r="G1375">
        <f>'Claims Data'!M1375</f>
        <v>0</v>
      </c>
      <c r="H1375" t="b">
        <f>'Claims Data'!L1375</f>
        <v>0</v>
      </c>
      <c r="I1375">
        <f t="shared" si="42"/>
        <v>0</v>
      </c>
      <c r="J1375" t="str">
        <f t="shared" si="43"/>
        <v>Low Risk</v>
      </c>
    </row>
    <row r="1376" spans="1:10" x14ac:dyDescent="0.2">
      <c r="A1376" t="str">
        <f>'Claims Data'!A1376</f>
        <v>CLM01375</v>
      </c>
      <c r="B1376" t="str">
        <f>'Claims Data'!B1376</f>
        <v>PAT0259</v>
      </c>
      <c r="C1376" t="str">
        <f>'Claims Data'!C1376</f>
        <v>PRV0056</v>
      </c>
      <c r="D1376" s="1">
        <f>'Claims Data'!D1376</f>
        <v>45170</v>
      </c>
      <c r="E1376">
        <f>'Claims Data'!H1376</f>
        <v>2.8</v>
      </c>
      <c r="F1376">
        <f>'Claims Data'!J1376</f>
        <v>144.25</v>
      </c>
      <c r="G1376">
        <f>'Claims Data'!M1376</f>
        <v>0</v>
      </c>
      <c r="H1376" t="b">
        <f>'Claims Data'!L1376</f>
        <v>0</v>
      </c>
      <c r="I1376">
        <f t="shared" si="42"/>
        <v>0</v>
      </c>
      <c r="J1376" t="str">
        <f t="shared" si="43"/>
        <v>Low Risk</v>
      </c>
    </row>
    <row r="1377" spans="1:10" x14ac:dyDescent="0.2">
      <c r="A1377" t="str">
        <f>'Claims Data'!A1377</f>
        <v>CLM01376</v>
      </c>
      <c r="B1377" t="str">
        <f>'Claims Data'!B1377</f>
        <v>PAT0031</v>
      </c>
      <c r="C1377" t="str">
        <f>'Claims Data'!C1377</f>
        <v>PRV0058</v>
      </c>
      <c r="D1377" s="1">
        <f>'Claims Data'!D1377</f>
        <v>45410</v>
      </c>
      <c r="E1377">
        <f>'Claims Data'!H1377</f>
        <v>3</v>
      </c>
      <c r="F1377">
        <f>'Claims Data'!J1377</f>
        <v>129.84</v>
      </c>
      <c r="G1377">
        <f>'Claims Data'!M1377</f>
        <v>0</v>
      </c>
      <c r="H1377" t="b">
        <f>'Claims Data'!L1377</f>
        <v>0</v>
      </c>
      <c r="I1377">
        <f t="shared" si="42"/>
        <v>0</v>
      </c>
      <c r="J1377" t="str">
        <f t="shared" si="43"/>
        <v>Low Risk</v>
      </c>
    </row>
    <row r="1378" spans="1:10" x14ac:dyDescent="0.2">
      <c r="A1378" t="str">
        <f>'Claims Data'!A1378</f>
        <v>CLM01377</v>
      </c>
      <c r="B1378" t="str">
        <f>'Claims Data'!B1378</f>
        <v>PAT0129</v>
      </c>
      <c r="C1378" t="str">
        <f>'Claims Data'!C1378</f>
        <v>PRV0014</v>
      </c>
      <c r="D1378" s="1">
        <f>'Claims Data'!D1378</f>
        <v>45421</v>
      </c>
      <c r="E1378">
        <f>'Claims Data'!H1378</f>
        <v>3.3</v>
      </c>
      <c r="F1378">
        <f>'Claims Data'!J1378</f>
        <v>252.15</v>
      </c>
      <c r="G1378">
        <f>'Claims Data'!M1378</f>
        <v>0</v>
      </c>
      <c r="H1378" t="b">
        <f>'Claims Data'!L1378</f>
        <v>0</v>
      </c>
      <c r="I1378">
        <f t="shared" si="42"/>
        <v>0</v>
      </c>
      <c r="J1378" t="str">
        <f t="shared" si="43"/>
        <v>Low Risk</v>
      </c>
    </row>
    <row r="1379" spans="1:10" x14ac:dyDescent="0.2">
      <c r="A1379" t="str">
        <f>'Claims Data'!A1379</f>
        <v>CLM01378</v>
      </c>
      <c r="B1379" t="str">
        <f>'Claims Data'!B1379</f>
        <v>PAT0201</v>
      </c>
      <c r="C1379" t="str">
        <f>'Claims Data'!C1379</f>
        <v>PRV0025</v>
      </c>
      <c r="D1379" s="1">
        <f>'Claims Data'!D1379</f>
        <v>44953</v>
      </c>
      <c r="E1379">
        <f>'Claims Data'!H1379</f>
        <v>3.8</v>
      </c>
      <c r="F1379">
        <f>'Claims Data'!J1379</f>
        <v>142.84</v>
      </c>
      <c r="G1379">
        <f>'Claims Data'!M1379</f>
        <v>0</v>
      </c>
      <c r="H1379" t="b">
        <f>'Claims Data'!L1379</f>
        <v>0</v>
      </c>
      <c r="I1379">
        <f t="shared" si="42"/>
        <v>0</v>
      </c>
      <c r="J1379" t="str">
        <f t="shared" si="43"/>
        <v>Low Risk</v>
      </c>
    </row>
    <row r="1380" spans="1:10" x14ac:dyDescent="0.2">
      <c r="A1380" t="str">
        <f>'Claims Data'!A1380</f>
        <v>CLM01379</v>
      </c>
      <c r="B1380" t="str">
        <f>'Claims Data'!B1380</f>
        <v>PAT0168</v>
      </c>
      <c r="C1380" t="str">
        <f>'Claims Data'!C1380</f>
        <v>PRV0014</v>
      </c>
      <c r="D1380" s="1">
        <f>'Claims Data'!D1380</f>
        <v>45230</v>
      </c>
      <c r="E1380">
        <f>'Claims Data'!H1380</f>
        <v>6.1</v>
      </c>
      <c r="F1380">
        <f>'Claims Data'!J1380</f>
        <v>439.45</v>
      </c>
      <c r="G1380">
        <f>'Claims Data'!M1380</f>
        <v>0</v>
      </c>
      <c r="H1380" t="b">
        <f>'Claims Data'!L1380</f>
        <v>0</v>
      </c>
      <c r="I1380">
        <f t="shared" si="42"/>
        <v>0</v>
      </c>
      <c r="J1380" t="str">
        <f t="shared" si="43"/>
        <v>Low Risk</v>
      </c>
    </row>
    <row r="1381" spans="1:10" x14ac:dyDescent="0.2">
      <c r="A1381" t="str">
        <f>'Claims Data'!A1381</f>
        <v>CLM01380</v>
      </c>
      <c r="B1381" t="str">
        <f>'Claims Data'!B1381</f>
        <v>PAT0218</v>
      </c>
      <c r="C1381" t="str">
        <f>'Claims Data'!C1381</f>
        <v>PRV0050</v>
      </c>
      <c r="D1381" s="1">
        <f>'Claims Data'!D1381</f>
        <v>45415</v>
      </c>
      <c r="E1381">
        <f>'Claims Data'!H1381</f>
        <v>6.6</v>
      </c>
      <c r="F1381">
        <f>'Claims Data'!J1381</f>
        <v>464.9</v>
      </c>
      <c r="G1381">
        <f>'Claims Data'!M1381</f>
        <v>0</v>
      </c>
      <c r="H1381" t="b">
        <f>'Claims Data'!L1381</f>
        <v>0</v>
      </c>
      <c r="I1381">
        <f t="shared" si="42"/>
        <v>0</v>
      </c>
      <c r="J1381" t="str">
        <f t="shared" si="43"/>
        <v>Low Risk</v>
      </c>
    </row>
    <row r="1382" spans="1:10" x14ac:dyDescent="0.2">
      <c r="A1382" t="str">
        <f>'Claims Data'!A1382</f>
        <v>CLM01381</v>
      </c>
      <c r="B1382" t="str">
        <f>'Claims Data'!B1382</f>
        <v>PAT0055</v>
      </c>
      <c r="C1382" t="str">
        <f>'Claims Data'!C1382</f>
        <v>PRV0002</v>
      </c>
      <c r="D1382" s="1">
        <f>'Claims Data'!D1382</f>
        <v>45272</v>
      </c>
      <c r="E1382">
        <f>'Claims Data'!H1382</f>
        <v>2.6</v>
      </c>
      <c r="F1382">
        <f>'Claims Data'!J1382</f>
        <v>188.72</v>
      </c>
      <c r="G1382">
        <f>'Claims Data'!M1382</f>
        <v>0</v>
      </c>
      <c r="H1382" t="b">
        <f>'Claims Data'!L1382</f>
        <v>0</v>
      </c>
      <c r="I1382">
        <f t="shared" si="42"/>
        <v>0</v>
      </c>
      <c r="J1382" t="str">
        <f t="shared" si="43"/>
        <v>Low Risk</v>
      </c>
    </row>
    <row r="1383" spans="1:10" x14ac:dyDescent="0.2">
      <c r="A1383" t="str">
        <f>'Claims Data'!A1383</f>
        <v>CLM01382</v>
      </c>
      <c r="B1383" t="str">
        <f>'Claims Data'!B1383</f>
        <v>PAT0052</v>
      </c>
      <c r="C1383" t="str">
        <f>'Claims Data'!C1383</f>
        <v>PRV0045</v>
      </c>
      <c r="D1383" s="1">
        <f>'Claims Data'!D1383</f>
        <v>45525</v>
      </c>
      <c r="E1383">
        <f>'Claims Data'!H1383</f>
        <v>9.4</v>
      </c>
      <c r="F1383">
        <f>'Claims Data'!J1383</f>
        <v>750</v>
      </c>
      <c r="G1383" t="str">
        <f>'Claims Data'!M1383</f>
        <v>phantom_round_amount</v>
      </c>
      <c r="H1383" t="b">
        <f>'Claims Data'!L1383</f>
        <v>1</v>
      </c>
      <c r="I1383">
        <f t="shared" si="42"/>
        <v>40</v>
      </c>
      <c r="J1383" t="str">
        <f t="shared" si="43"/>
        <v>Medium Risk</v>
      </c>
    </row>
    <row r="1384" spans="1:10" x14ac:dyDescent="0.2">
      <c r="A1384" t="str">
        <f>'Claims Data'!A1384</f>
        <v>CLM01383</v>
      </c>
      <c r="B1384" t="str">
        <f>'Claims Data'!B1384</f>
        <v>PAT0145</v>
      </c>
      <c r="C1384" t="str">
        <f>'Claims Data'!C1384</f>
        <v>PRV0052</v>
      </c>
      <c r="D1384" s="1">
        <f>'Claims Data'!D1384</f>
        <v>45302</v>
      </c>
      <c r="E1384">
        <f>'Claims Data'!H1384</f>
        <v>3.8</v>
      </c>
      <c r="F1384">
        <f>'Claims Data'!J1384</f>
        <v>97.34</v>
      </c>
      <c r="G1384">
        <f>'Claims Data'!M1384</f>
        <v>0</v>
      </c>
      <c r="H1384" t="b">
        <f>'Claims Data'!L1384</f>
        <v>0</v>
      </c>
      <c r="I1384">
        <f t="shared" si="42"/>
        <v>0</v>
      </c>
      <c r="J1384" t="str">
        <f t="shared" si="43"/>
        <v>Low Risk</v>
      </c>
    </row>
    <row r="1385" spans="1:10" x14ac:dyDescent="0.2">
      <c r="A1385" t="str">
        <f>'Claims Data'!A1385</f>
        <v>CLM01384</v>
      </c>
      <c r="B1385" t="str">
        <f>'Claims Data'!B1385</f>
        <v>PAT0280</v>
      </c>
      <c r="C1385" t="str">
        <f>'Claims Data'!C1385</f>
        <v>PRV0057</v>
      </c>
      <c r="D1385" s="1">
        <f>'Claims Data'!D1385</f>
        <v>45080</v>
      </c>
      <c r="E1385">
        <f>'Claims Data'!H1385</f>
        <v>7.5</v>
      </c>
      <c r="F1385">
        <f>'Claims Data'!J1385</f>
        <v>279.93</v>
      </c>
      <c r="G1385">
        <f>'Claims Data'!M1385</f>
        <v>0</v>
      </c>
      <c r="H1385" t="b">
        <f>'Claims Data'!L1385</f>
        <v>0</v>
      </c>
      <c r="I1385">
        <f t="shared" si="42"/>
        <v>0</v>
      </c>
      <c r="J1385" t="str">
        <f t="shared" si="43"/>
        <v>Low Risk</v>
      </c>
    </row>
    <row r="1386" spans="1:10" x14ac:dyDescent="0.2">
      <c r="A1386" t="str">
        <f>'Claims Data'!A1386</f>
        <v>CLM01385</v>
      </c>
      <c r="B1386" t="str">
        <f>'Claims Data'!B1386</f>
        <v>PAT0282</v>
      </c>
      <c r="C1386" t="str">
        <f>'Claims Data'!C1386</f>
        <v>PRV0049</v>
      </c>
      <c r="D1386" s="1">
        <f>'Claims Data'!D1386</f>
        <v>45200</v>
      </c>
      <c r="E1386">
        <f>'Claims Data'!H1386</f>
        <v>6</v>
      </c>
      <c r="F1386">
        <f>'Claims Data'!J1386</f>
        <v>160.53</v>
      </c>
      <c r="G1386">
        <f>'Claims Data'!M1386</f>
        <v>0</v>
      </c>
      <c r="H1386" t="b">
        <f>'Claims Data'!L1386</f>
        <v>0</v>
      </c>
      <c r="I1386">
        <f t="shared" si="42"/>
        <v>0</v>
      </c>
      <c r="J1386" t="str">
        <f t="shared" si="43"/>
        <v>Low Risk</v>
      </c>
    </row>
    <row r="1387" spans="1:10" x14ac:dyDescent="0.2">
      <c r="A1387" t="str">
        <f>'Claims Data'!A1387</f>
        <v>CLM01386</v>
      </c>
      <c r="B1387" t="str">
        <f>'Claims Data'!B1387</f>
        <v>PAT0158</v>
      </c>
      <c r="C1387" t="str">
        <f>'Claims Data'!C1387</f>
        <v>PRV0050</v>
      </c>
      <c r="D1387" s="1">
        <f>'Claims Data'!D1387</f>
        <v>45286</v>
      </c>
      <c r="E1387">
        <f>'Claims Data'!H1387</f>
        <v>7.7</v>
      </c>
      <c r="F1387">
        <f>'Claims Data'!J1387</f>
        <v>353.2</v>
      </c>
      <c r="G1387">
        <f>'Claims Data'!M1387</f>
        <v>0</v>
      </c>
      <c r="H1387" t="b">
        <f>'Claims Data'!L1387</f>
        <v>0</v>
      </c>
      <c r="I1387">
        <f t="shared" si="42"/>
        <v>0</v>
      </c>
      <c r="J1387" t="str">
        <f t="shared" si="43"/>
        <v>Low Risk</v>
      </c>
    </row>
    <row r="1388" spans="1:10" x14ac:dyDescent="0.2">
      <c r="A1388" t="str">
        <f>'Claims Data'!A1388</f>
        <v>CLM01387</v>
      </c>
      <c r="B1388" t="str">
        <f>'Claims Data'!B1388</f>
        <v>PAT0008</v>
      </c>
      <c r="C1388" t="str">
        <f>'Claims Data'!C1388</f>
        <v>PRV0031</v>
      </c>
      <c r="D1388" s="1">
        <f>'Claims Data'!D1388</f>
        <v>44999</v>
      </c>
      <c r="E1388">
        <f>'Claims Data'!H1388</f>
        <v>21.9</v>
      </c>
      <c r="F1388">
        <f>'Claims Data'!J1388</f>
        <v>637.29</v>
      </c>
      <c r="G1388" t="str">
        <f>'Claims Data'!M1388</f>
        <v>inflated_hours</v>
      </c>
      <c r="H1388" t="b">
        <f>'Claims Data'!L1388</f>
        <v>1</v>
      </c>
      <c r="I1388">
        <f t="shared" si="42"/>
        <v>50</v>
      </c>
      <c r="J1388" t="str">
        <f t="shared" si="43"/>
        <v>Medium Risk</v>
      </c>
    </row>
    <row r="1389" spans="1:10" x14ac:dyDescent="0.2">
      <c r="A1389" t="str">
        <f>'Claims Data'!A1389</f>
        <v>CLM01388</v>
      </c>
      <c r="B1389" t="str">
        <f>'Claims Data'!B1389</f>
        <v>PAT0221</v>
      </c>
      <c r="C1389" t="str">
        <f>'Claims Data'!C1389</f>
        <v>PRV0033</v>
      </c>
      <c r="D1389" s="1">
        <f>'Claims Data'!D1389</f>
        <v>45562</v>
      </c>
      <c r="E1389">
        <f>'Claims Data'!H1389</f>
        <v>5.2</v>
      </c>
      <c r="F1389">
        <f>'Claims Data'!J1389</f>
        <v>353.33</v>
      </c>
      <c r="G1389">
        <f>'Claims Data'!M1389</f>
        <v>0</v>
      </c>
      <c r="H1389" t="b">
        <f>'Claims Data'!L1389</f>
        <v>0</v>
      </c>
      <c r="I1389">
        <f t="shared" si="42"/>
        <v>0</v>
      </c>
      <c r="J1389" t="str">
        <f t="shared" si="43"/>
        <v>Low Risk</v>
      </c>
    </row>
    <row r="1390" spans="1:10" x14ac:dyDescent="0.2">
      <c r="A1390" t="str">
        <f>'Claims Data'!A1390</f>
        <v>CLM01389</v>
      </c>
      <c r="B1390" t="str">
        <f>'Claims Data'!B1390</f>
        <v>PAT0131</v>
      </c>
      <c r="C1390" t="str">
        <f>'Claims Data'!C1390</f>
        <v>PRV0012</v>
      </c>
      <c r="D1390" s="1">
        <f>'Claims Data'!D1390</f>
        <v>38339</v>
      </c>
      <c r="E1390">
        <f>'Claims Data'!H1390</f>
        <v>7.4</v>
      </c>
      <c r="F1390">
        <f>'Claims Data'!J1390</f>
        <v>423.48</v>
      </c>
      <c r="G1390" t="str">
        <f>'Claims Data'!M1390</f>
        <v>deceased_patient_billing</v>
      </c>
      <c r="H1390" t="b">
        <f>'Claims Data'!L1390</f>
        <v>1</v>
      </c>
      <c r="I1390">
        <f t="shared" si="42"/>
        <v>10</v>
      </c>
      <c r="J1390" t="str">
        <f t="shared" si="43"/>
        <v>Low Risk</v>
      </c>
    </row>
    <row r="1391" spans="1:10" x14ac:dyDescent="0.2">
      <c r="A1391" t="str">
        <f>'Claims Data'!A1391</f>
        <v>CLM01390</v>
      </c>
      <c r="B1391" t="str">
        <f>'Claims Data'!B1391</f>
        <v>PAT0059</v>
      </c>
      <c r="C1391" t="str">
        <f>'Claims Data'!C1391</f>
        <v>PRV0019</v>
      </c>
      <c r="D1391" s="1">
        <f>'Claims Data'!D1391</f>
        <v>45603</v>
      </c>
      <c r="E1391">
        <f>'Claims Data'!H1391</f>
        <v>7.5</v>
      </c>
      <c r="F1391">
        <f>'Claims Data'!J1391</f>
        <v>601.71</v>
      </c>
      <c r="G1391">
        <f>'Claims Data'!M1391</f>
        <v>0</v>
      </c>
      <c r="H1391" t="b">
        <f>'Claims Data'!L1391</f>
        <v>0</v>
      </c>
      <c r="I1391">
        <f t="shared" si="42"/>
        <v>0</v>
      </c>
      <c r="J1391" t="str">
        <f t="shared" si="43"/>
        <v>Low Risk</v>
      </c>
    </row>
    <row r="1392" spans="1:10" x14ac:dyDescent="0.2">
      <c r="A1392" t="str">
        <f>'Claims Data'!A1392</f>
        <v>CLM01391</v>
      </c>
      <c r="B1392" t="str">
        <f>'Claims Data'!B1392</f>
        <v>PAT0271</v>
      </c>
      <c r="C1392" t="str">
        <f>'Claims Data'!C1392</f>
        <v>PRV0052</v>
      </c>
      <c r="D1392" s="1">
        <f>'Claims Data'!D1392</f>
        <v>45441</v>
      </c>
      <c r="E1392">
        <f>'Claims Data'!H1392</f>
        <v>16.600000000000001</v>
      </c>
      <c r="F1392">
        <f>'Claims Data'!J1392</f>
        <v>1000</v>
      </c>
      <c r="G1392" t="str">
        <f>'Claims Data'!M1392</f>
        <v>phantom_round_amount</v>
      </c>
      <c r="H1392" t="b">
        <f>'Claims Data'!L1392</f>
        <v>1</v>
      </c>
      <c r="I1392">
        <f t="shared" si="42"/>
        <v>80</v>
      </c>
      <c r="J1392" t="str">
        <f t="shared" si="43"/>
        <v>High Risk</v>
      </c>
    </row>
    <row r="1393" spans="1:10" x14ac:dyDescent="0.2">
      <c r="A1393" t="str">
        <f>'Claims Data'!A1393</f>
        <v>CLM01392</v>
      </c>
      <c r="B1393" t="str">
        <f>'Claims Data'!B1393</f>
        <v>PAT0252</v>
      </c>
      <c r="C1393" t="str">
        <f>'Claims Data'!C1393</f>
        <v>PRV0035</v>
      </c>
      <c r="D1393" s="1">
        <f>'Claims Data'!D1393</f>
        <v>45584</v>
      </c>
      <c r="E1393">
        <f>'Claims Data'!H1393</f>
        <v>3.1</v>
      </c>
      <c r="F1393">
        <f>'Claims Data'!J1393</f>
        <v>143.5</v>
      </c>
      <c r="G1393">
        <f>'Claims Data'!M1393</f>
        <v>0</v>
      </c>
      <c r="H1393" t="b">
        <f>'Claims Data'!L1393</f>
        <v>0</v>
      </c>
      <c r="I1393">
        <f t="shared" si="42"/>
        <v>0</v>
      </c>
      <c r="J1393" t="str">
        <f t="shared" si="43"/>
        <v>Low Risk</v>
      </c>
    </row>
    <row r="1394" spans="1:10" x14ac:dyDescent="0.2">
      <c r="A1394" t="str">
        <f>'Claims Data'!A1394</f>
        <v>CLM01393</v>
      </c>
      <c r="B1394" t="str">
        <f>'Claims Data'!B1394</f>
        <v>PAT0134</v>
      </c>
      <c r="C1394" t="str">
        <f>'Claims Data'!C1394</f>
        <v>PRV0054</v>
      </c>
      <c r="D1394" s="1">
        <f>'Claims Data'!D1394</f>
        <v>45293</v>
      </c>
      <c r="E1394">
        <f>'Claims Data'!H1394</f>
        <v>3.3</v>
      </c>
      <c r="F1394">
        <f>'Claims Data'!J1394</f>
        <v>127.56</v>
      </c>
      <c r="G1394">
        <f>'Claims Data'!M1394</f>
        <v>0</v>
      </c>
      <c r="H1394" t="b">
        <f>'Claims Data'!L1394</f>
        <v>0</v>
      </c>
      <c r="I1394">
        <f t="shared" si="42"/>
        <v>0</v>
      </c>
      <c r="J1394" t="str">
        <f t="shared" si="43"/>
        <v>Low Risk</v>
      </c>
    </row>
    <row r="1395" spans="1:10" x14ac:dyDescent="0.2">
      <c r="A1395" t="str">
        <f>'Claims Data'!A1395</f>
        <v>CLM01394</v>
      </c>
      <c r="B1395" t="str">
        <f>'Claims Data'!B1395</f>
        <v>PAT0058</v>
      </c>
      <c r="C1395" t="str">
        <f>'Claims Data'!C1395</f>
        <v>PRV0045</v>
      </c>
      <c r="D1395" s="1">
        <f>'Claims Data'!D1395</f>
        <v>45580</v>
      </c>
      <c r="E1395">
        <f>'Claims Data'!H1395</f>
        <v>2.7</v>
      </c>
      <c r="F1395">
        <f>'Claims Data'!J1395</f>
        <v>85.37</v>
      </c>
      <c r="G1395">
        <f>'Claims Data'!M1395</f>
        <v>0</v>
      </c>
      <c r="H1395" t="b">
        <f>'Claims Data'!L1395</f>
        <v>0</v>
      </c>
      <c r="I1395">
        <f t="shared" si="42"/>
        <v>0</v>
      </c>
      <c r="J1395" t="str">
        <f t="shared" si="43"/>
        <v>Low Risk</v>
      </c>
    </row>
    <row r="1396" spans="1:10" x14ac:dyDescent="0.2">
      <c r="A1396" t="str">
        <f>'Claims Data'!A1396</f>
        <v>CLM01395</v>
      </c>
      <c r="B1396" t="str">
        <f>'Claims Data'!B1396</f>
        <v>PAT0114</v>
      </c>
      <c r="C1396" t="str">
        <f>'Claims Data'!C1396</f>
        <v>PRV0019</v>
      </c>
      <c r="D1396" s="1">
        <f>'Claims Data'!D1396</f>
        <v>45327</v>
      </c>
      <c r="E1396">
        <f>'Claims Data'!H1396</f>
        <v>6.6</v>
      </c>
      <c r="F1396">
        <f>'Claims Data'!J1396</f>
        <v>444.07</v>
      </c>
      <c r="G1396">
        <f>'Claims Data'!M1396</f>
        <v>0</v>
      </c>
      <c r="H1396" t="b">
        <f>'Claims Data'!L1396</f>
        <v>0</v>
      </c>
      <c r="I1396">
        <f t="shared" si="42"/>
        <v>0</v>
      </c>
      <c r="J1396" t="str">
        <f t="shared" si="43"/>
        <v>Low Risk</v>
      </c>
    </row>
    <row r="1397" spans="1:10" x14ac:dyDescent="0.2">
      <c r="A1397" t="str">
        <f>'Claims Data'!A1397</f>
        <v>CLM01396</v>
      </c>
      <c r="B1397" t="str">
        <f>'Claims Data'!B1397</f>
        <v>PAT0143</v>
      </c>
      <c r="C1397" t="str">
        <f>'Claims Data'!C1397</f>
        <v>PRV0055</v>
      </c>
      <c r="D1397" s="1">
        <f>'Claims Data'!D1397</f>
        <v>45199</v>
      </c>
      <c r="E1397">
        <f>'Claims Data'!H1397</f>
        <v>2.5</v>
      </c>
      <c r="F1397">
        <f>'Claims Data'!J1397</f>
        <v>136.56</v>
      </c>
      <c r="G1397">
        <f>'Claims Data'!M1397</f>
        <v>0</v>
      </c>
      <c r="H1397" t="b">
        <f>'Claims Data'!L1397</f>
        <v>0</v>
      </c>
      <c r="I1397">
        <f t="shared" si="42"/>
        <v>0</v>
      </c>
      <c r="J1397" t="str">
        <f t="shared" si="43"/>
        <v>Low Risk</v>
      </c>
    </row>
    <row r="1398" spans="1:10" x14ac:dyDescent="0.2">
      <c r="A1398" t="str">
        <f>'Claims Data'!A1398</f>
        <v>CLM01397</v>
      </c>
      <c r="B1398" t="str">
        <f>'Claims Data'!B1398</f>
        <v>PAT0114</v>
      </c>
      <c r="C1398" t="str">
        <f>'Claims Data'!C1398</f>
        <v>PRV0054</v>
      </c>
      <c r="D1398" s="1">
        <f>'Claims Data'!D1398</f>
        <v>45361</v>
      </c>
      <c r="E1398">
        <f>'Claims Data'!H1398</f>
        <v>4.7</v>
      </c>
      <c r="F1398">
        <f>'Claims Data'!J1398</f>
        <v>325.10000000000002</v>
      </c>
      <c r="G1398">
        <f>'Claims Data'!M1398</f>
        <v>0</v>
      </c>
      <c r="H1398" t="b">
        <f>'Claims Data'!L1398</f>
        <v>0</v>
      </c>
      <c r="I1398">
        <f t="shared" si="42"/>
        <v>0</v>
      </c>
      <c r="J1398" t="str">
        <f t="shared" si="43"/>
        <v>Low Risk</v>
      </c>
    </row>
    <row r="1399" spans="1:10" x14ac:dyDescent="0.2">
      <c r="A1399" t="str">
        <f>'Claims Data'!A1399</f>
        <v>CLM01398</v>
      </c>
      <c r="B1399" t="str">
        <f>'Claims Data'!B1399</f>
        <v>PAT0030</v>
      </c>
      <c r="C1399" t="str">
        <f>'Claims Data'!C1399</f>
        <v>PRV0049</v>
      </c>
      <c r="D1399" s="1">
        <f>'Claims Data'!D1399</f>
        <v>45378</v>
      </c>
      <c r="E1399">
        <f>'Claims Data'!H1399</f>
        <v>3.4</v>
      </c>
      <c r="F1399">
        <f>'Claims Data'!J1399</f>
        <v>168.09</v>
      </c>
      <c r="G1399">
        <f>'Claims Data'!M1399</f>
        <v>0</v>
      </c>
      <c r="H1399" t="b">
        <f>'Claims Data'!L1399</f>
        <v>0</v>
      </c>
      <c r="I1399">
        <f t="shared" si="42"/>
        <v>0</v>
      </c>
      <c r="J1399" t="str">
        <f t="shared" si="43"/>
        <v>Low Risk</v>
      </c>
    </row>
    <row r="1400" spans="1:10" x14ac:dyDescent="0.2">
      <c r="A1400" t="str">
        <f>'Claims Data'!A1400</f>
        <v>CLM01399</v>
      </c>
      <c r="B1400" t="str">
        <f>'Claims Data'!B1400</f>
        <v>PAT0171</v>
      </c>
      <c r="C1400" t="str">
        <f>'Claims Data'!C1400</f>
        <v>PRV0032</v>
      </c>
      <c r="D1400" s="1">
        <f>'Claims Data'!D1400</f>
        <v>45493</v>
      </c>
      <c r="E1400">
        <f>'Claims Data'!H1400</f>
        <v>7.1</v>
      </c>
      <c r="F1400">
        <f>'Claims Data'!J1400</f>
        <v>558.66999999999996</v>
      </c>
      <c r="G1400">
        <f>'Claims Data'!M1400</f>
        <v>0</v>
      </c>
      <c r="H1400" t="b">
        <f>'Claims Data'!L1400</f>
        <v>0</v>
      </c>
      <c r="I1400">
        <f t="shared" si="42"/>
        <v>0</v>
      </c>
      <c r="J1400" t="str">
        <f t="shared" si="43"/>
        <v>Low Risk</v>
      </c>
    </row>
    <row r="1401" spans="1:10" x14ac:dyDescent="0.2">
      <c r="A1401" t="str">
        <f>'Claims Data'!A1401</f>
        <v>CLM01400</v>
      </c>
      <c r="B1401" t="str">
        <f>'Claims Data'!B1401</f>
        <v>PAT0017</v>
      </c>
      <c r="C1401" t="str">
        <f>'Claims Data'!C1401</f>
        <v>PRV0056</v>
      </c>
      <c r="D1401" s="1">
        <f>'Claims Data'!D1401</f>
        <v>45490</v>
      </c>
      <c r="E1401">
        <f>'Claims Data'!H1401</f>
        <v>3.1</v>
      </c>
      <c r="F1401">
        <f>'Claims Data'!J1401</f>
        <v>263.26</v>
      </c>
      <c r="G1401">
        <f>'Claims Data'!M1401</f>
        <v>0</v>
      </c>
      <c r="H1401" t="b">
        <f>'Claims Data'!L1401</f>
        <v>0</v>
      </c>
      <c r="I1401">
        <f t="shared" si="42"/>
        <v>0</v>
      </c>
      <c r="J1401" t="str">
        <f t="shared" si="43"/>
        <v>Low Risk</v>
      </c>
    </row>
    <row r="1402" spans="1:10" x14ac:dyDescent="0.2">
      <c r="A1402" t="str">
        <f>'Claims Data'!A1402</f>
        <v>CLM01401</v>
      </c>
      <c r="B1402" t="str">
        <f>'Claims Data'!B1402</f>
        <v>PAT0150</v>
      </c>
      <c r="C1402" t="str">
        <f>'Claims Data'!C1402</f>
        <v>PRV0027</v>
      </c>
      <c r="D1402" s="1">
        <f>'Claims Data'!D1402</f>
        <v>45350</v>
      </c>
      <c r="E1402">
        <f>'Claims Data'!H1402</f>
        <v>4.4000000000000004</v>
      </c>
      <c r="F1402">
        <f>'Claims Data'!J1402</f>
        <v>247.98</v>
      </c>
      <c r="G1402" t="str">
        <f>'Claims Data'!M1402</f>
        <v>duplicate_claim</v>
      </c>
      <c r="H1402" t="b">
        <f>'Claims Data'!L1402</f>
        <v>1</v>
      </c>
      <c r="I1402">
        <f t="shared" si="42"/>
        <v>10</v>
      </c>
      <c r="J1402" t="str">
        <f t="shared" si="43"/>
        <v>Low Risk</v>
      </c>
    </row>
    <row r="1403" spans="1:10" x14ac:dyDescent="0.2">
      <c r="A1403" t="str">
        <f>'Claims Data'!A1403</f>
        <v>CLM01402</v>
      </c>
      <c r="B1403" t="str">
        <f>'Claims Data'!B1403</f>
        <v>PAT0149</v>
      </c>
      <c r="C1403" t="str">
        <f>'Claims Data'!C1403</f>
        <v>PRV0057</v>
      </c>
      <c r="D1403" s="1">
        <f>'Claims Data'!D1403</f>
        <v>45373</v>
      </c>
      <c r="E1403">
        <f>'Claims Data'!H1403</f>
        <v>2.7</v>
      </c>
      <c r="F1403">
        <f>'Claims Data'!J1403</f>
        <v>131.46</v>
      </c>
      <c r="G1403">
        <f>'Claims Data'!M1403</f>
        <v>0</v>
      </c>
      <c r="H1403" t="b">
        <f>'Claims Data'!L1403</f>
        <v>0</v>
      </c>
      <c r="I1403">
        <f t="shared" si="42"/>
        <v>0</v>
      </c>
      <c r="J1403" t="str">
        <f t="shared" si="43"/>
        <v>Low Risk</v>
      </c>
    </row>
    <row r="1404" spans="1:10" x14ac:dyDescent="0.2">
      <c r="A1404" t="str">
        <f>'Claims Data'!A1404</f>
        <v>CLM01403</v>
      </c>
      <c r="B1404" t="str">
        <f>'Claims Data'!B1404</f>
        <v>PAT0068</v>
      </c>
      <c r="C1404" t="str">
        <f>'Claims Data'!C1404</f>
        <v>PRV0041</v>
      </c>
      <c r="D1404" s="1">
        <f>'Claims Data'!D1404</f>
        <v>45584</v>
      </c>
      <c r="E1404">
        <f>'Claims Data'!H1404</f>
        <v>6.4</v>
      </c>
      <c r="F1404">
        <f>'Claims Data'!J1404</f>
        <v>502.69</v>
      </c>
      <c r="G1404">
        <f>'Claims Data'!M1404</f>
        <v>0</v>
      </c>
      <c r="H1404" t="b">
        <f>'Claims Data'!L1404</f>
        <v>0</v>
      </c>
      <c r="I1404">
        <f t="shared" si="42"/>
        <v>0</v>
      </c>
      <c r="J1404" t="str">
        <f t="shared" si="43"/>
        <v>Low Risk</v>
      </c>
    </row>
    <row r="1405" spans="1:10" x14ac:dyDescent="0.2">
      <c r="A1405" t="str">
        <f>'Claims Data'!A1405</f>
        <v>CLM01404</v>
      </c>
      <c r="B1405" t="str">
        <f>'Claims Data'!B1405</f>
        <v>PAT0283</v>
      </c>
      <c r="C1405" t="str">
        <f>'Claims Data'!C1405</f>
        <v>PRV0026</v>
      </c>
      <c r="D1405" s="1">
        <f>'Claims Data'!D1405</f>
        <v>45603</v>
      </c>
      <c r="E1405">
        <f>'Claims Data'!H1405</f>
        <v>19.7</v>
      </c>
      <c r="F1405">
        <f>'Claims Data'!J1405</f>
        <v>727.92</v>
      </c>
      <c r="G1405" t="str">
        <f>'Claims Data'!M1405</f>
        <v>inflated_hours</v>
      </c>
      <c r="H1405" t="b">
        <f>'Claims Data'!L1405</f>
        <v>1</v>
      </c>
      <c r="I1405">
        <f t="shared" si="42"/>
        <v>50</v>
      </c>
      <c r="J1405" t="str">
        <f t="shared" si="43"/>
        <v>Medium Risk</v>
      </c>
    </row>
    <row r="1406" spans="1:10" x14ac:dyDescent="0.2">
      <c r="A1406" t="str">
        <f>'Claims Data'!A1406</f>
        <v>CLM01405</v>
      </c>
      <c r="B1406" t="str">
        <f>'Claims Data'!B1406</f>
        <v>PAT0052</v>
      </c>
      <c r="C1406" t="str">
        <f>'Claims Data'!C1406</f>
        <v>PRV0032</v>
      </c>
      <c r="D1406" s="1">
        <f>'Claims Data'!D1406</f>
        <v>45144</v>
      </c>
      <c r="E1406">
        <f>'Claims Data'!H1406</f>
        <v>2.7</v>
      </c>
      <c r="F1406">
        <f>'Claims Data'!J1406</f>
        <v>203.27</v>
      </c>
      <c r="G1406">
        <f>'Claims Data'!M1406</f>
        <v>0</v>
      </c>
      <c r="H1406" t="b">
        <f>'Claims Data'!L1406</f>
        <v>0</v>
      </c>
      <c r="I1406">
        <f t="shared" si="42"/>
        <v>0</v>
      </c>
      <c r="J1406" t="str">
        <f t="shared" si="43"/>
        <v>Low Risk</v>
      </c>
    </row>
    <row r="1407" spans="1:10" x14ac:dyDescent="0.2">
      <c r="A1407" t="str">
        <f>'Claims Data'!A1407</f>
        <v>CLM01406</v>
      </c>
      <c r="B1407" t="str">
        <f>'Claims Data'!B1407</f>
        <v>PAT0217</v>
      </c>
      <c r="C1407" t="str">
        <f>'Claims Data'!C1407</f>
        <v>PRV0028</v>
      </c>
      <c r="D1407" s="1">
        <f>'Claims Data'!D1407</f>
        <v>45440</v>
      </c>
      <c r="E1407">
        <f>'Claims Data'!H1407</f>
        <v>3.7</v>
      </c>
      <c r="F1407">
        <f>'Claims Data'!J1407</f>
        <v>250.9</v>
      </c>
      <c r="G1407">
        <f>'Claims Data'!M1407</f>
        <v>0</v>
      </c>
      <c r="H1407" t="b">
        <f>'Claims Data'!L1407</f>
        <v>0</v>
      </c>
      <c r="I1407">
        <f t="shared" si="42"/>
        <v>0</v>
      </c>
      <c r="J1407" t="str">
        <f t="shared" si="43"/>
        <v>Low Risk</v>
      </c>
    </row>
    <row r="1408" spans="1:10" x14ac:dyDescent="0.2">
      <c r="A1408" t="str">
        <f>'Claims Data'!A1408</f>
        <v>CLM01407</v>
      </c>
      <c r="B1408" t="str">
        <f>'Claims Data'!B1408</f>
        <v>PAT0131</v>
      </c>
      <c r="C1408" t="str">
        <f>'Claims Data'!C1408</f>
        <v>PRV0026</v>
      </c>
      <c r="D1408" s="1">
        <f>'Claims Data'!D1408</f>
        <v>38318</v>
      </c>
      <c r="E1408">
        <f>'Claims Data'!H1408</f>
        <v>6.5</v>
      </c>
      <c r="F1408">
        <f>'Claims Data'!J1408</f>
        <v>474.88</v>
      </c>
      <c r="G1408" t="str">
        <f>'Claims Data'!M1408</f>
        <v>deceased_patient_billing</v>
      </c>
      <c r="H1408" t="b">
        <f>'Claims Data'!L1408</f>
        <v>1</v>
      </c>
      <c r="I1408">
        <f t="shared" si="42"/>
        <v>10</v>
      </c>
      <c r="J1408" t="str">
        <f t="shared" si="43"/>
        <v>Low Risk</v>
      </c>
    </row>
    <row r="1409" spans="1:10" x14ac:dyDescent="0.2">
      <c r="A1409" t="str">
        <f>'Claims Data'!A1409</f>
        <v>CLM01408</v>
      </c>
      <c r="B1409" t="str">
        <f>'Claims Data'!B1409</f>
        <v>PAT0259</v>
      </c>
      <c r="C1409" t="str">
        <f>'Claims Data'!C1409</f>
        <v>PRV0020</v>
      </c>
      <c r="D1409" s="1">
        <f>'Claims Data'!D1409</f>
        <v>45206</v>
      </c>
      <c r="E1409">
        <f>'Claims Data'!H1409</f>
        <v>4.9000000000000004</v>
      </c>
      <c r="F1409">
        <f>'Claims Data'!J1409</f>
        <v>299.83</v>
      </c>
      <c r="G1409">
        <f>'Claims Data'!M1409</f>
        <v>0</v>
      </c>
      <c r="H1409" t="b">
        <f>'Claims Data'!L1409</f>
        <v>0</v>
      </c>
      <c r="I1409">
        <f t="shared" si="42"/>
        <v>0</v>
      </c>
      <c r="J1409" t="str">
        <f t="shared" si="43"/>
        <v>Low Risk</v>
      </c>
    </row>
    <row r="1410" spans="1:10" x14ac:dyDescent="0.2">
      <c r="A1410" t="str">
        <f>'Claims Data'!A1410</f>
        <v>CLM01409</v>
      </c>
      <c r="B1410" t="str">
        <f>'Claims Data'!B1410</f>
        <v>PAT0038</v>
      </c>
      <c r="C1410" t="str">
        <f>'Claims Data'!C1410</f>
        <v>PRV0002</v>
      </c>
      <c r="D1410" s="1">
        <f>'Claims Data'!D1410</f>
        <v>45187</v>
      </c>
      <c r="E1410">
        <f>'Claims Data'!H1410</f>
        <v>5.0999999999999996</v>
      </c>
      <c r="F1410">
        <f>'Claims Data'!J1410</f>
        <v>172.6</v>
      </c>
      <c r="G1410">
        <f>'Claims Data'!M1410</f>
        <v>0</v>
      </c>
      <c r="H1410" t="b">
        <f>'Claims Data'!L1410</f>
        <v>0</v>
      </c>
      <c r="I1410">
        <f t="shared" si="42"/>
        <v>0</v>
      </c>
      <c r="J1410" t="str">
        <f t="shared" si="43"/>
        <v>Low Risk</v>
      </c>
    </row>
    <row r="1411" spans="1:10" x14ac:dyDescent="0.2">
      <c r="A1411" t="str">
        <f>'Claims Data'!A1411</f>
        <v>CLM01410</v>
      </c>
      <c r="B1411" t="str">
        <f>'Claims Data'!B1411</f>
        <v>PAT0170</v>
      </c>
      <c r="C1411" t="str">
        <f>'Claims Data'!C1411</f>
        <v>PRV0025</v>
      </c>
      <c r="D1411" s="1">
        <f>'Claims Data'!D1411</f>
        <v>44984</v>
      </c>
      <c r="E1411">
        <f>'Claims Data'!H1411</f>
        <v>2.7</v>
      </c>
      <c r="F1411">
        <f>'Claims Data'!J1411</f>
        <v>146.77000000000001</v>
      </c>
      <c r="G1411">
        <f>'Claims Data'!M1411</f>
        <v>0</v>
      </c>
      <c r="H1411" t="b">
        <f>'Claims Data'!L1411</f>
        <v>0</v>
      </c>
      <c r="I1411">
        <f t="shared" ref="I1411:I1474" si="44">IF(E1411&gt;16,40,0)+IF(MOD(F1411,250)=0,30,0)+IF(H1411=TRUE,10,0)</f>
        <v>0</v>
      </c>
      <c r="J1411" t="str">
        <f t="shared" ref="J1411:J1474" si="45">IF(I1411&gt;=70,"High Risk",IF(I1411&gt;=30,"Medium Risk","Low Risk"))</f>
        <v>Low Risk</v>
      </c>
    </row>
    <row r="1412" spans="1:10" x14ac:dyDescent="0.2">
      <c r="A1412" t="str">
        <f>'Claims Data'!A1412</f>
        <v>CLM01411</v>
      </c>
      <c r="B1412" t="str">
        <f>'Claims Data'!B1412</f>
        <v>PAT0006</v>
      </c>
      <c r="C1412" t="str">
        <f>'Claims Data'!C1412</f>
        <v>PRV0029</v>
      </c>
      <c r="D1412" s="1">
        <f>'Claims Data'!D1412</f>
        <v>45311</v>
      </c>
      <c r="E1412">
        <f>'Claims Data'!H1412</f>
        <v>2.2000000000000002</v>
      </c>
      <c r="F1412">
        <f>'Claims Data'!J1412</f>
        <v>152.38999999999999</v>
      </c>
      <c r="G1412">
        <f>'Claims Data'!M1412</f>
        <v>0</v>
      </c>
      <c r="H1412" t="b">
        <f>'Claims Data'!L1412</f>
        <v>0</v>
      </c>
      <c r="I1412">
        <f t="shared" si="44"/>
        <v>0</v>
      </c>
      <c r="J1412" t="str">
        <f t="shared" si="45"/>
        <v>Low Risk</v>
      </c>
    </row>
    <row r="1413" spans="1:10" x14ac:dyDescent="0.2">
      <c r="A1413" t="str">
        <f>'Claims Data'!A1413</f>
        <v>CLM01412</v>
      </c>
      <c r="B1413" t="str">
        <f>'Claims Data'!B1413</f>
        <v>PAT0105</v>
      </c>
      <c r="C1413" t="str">
        <f>'Claims Data'!C1413</f>
        <v>PRV0008</v>
      </c>
      <c r="D1413" s="1">
        <f>'Claims Data'!D1413</f>
        <v>45092</v>
      </c>
      <c r="E1413">
        <f>'Claims Data'!H1413</f>
        <v>6.1</v>
      </c>
      <c r="F1413">
        <f>'Claims Data'!J1413</f>
        <v>508.28</v>
      </c>
      <c r="G1413">
        <f>'Claims Data'!M1413</f>
        <v>0</v>
      </c>
      <c r="H1413" t="b">
        <f>'Claims Data'!L1413</f>
        <v>0</v>
      </c>
      <c r="I1413">
        <f t="shared" si="44"/>
        <v>0</v>
      </c>
      <c r="J1413" t="str">
        <f t="shared" si="45"/>
        <v>Low Risk</v>
      </c>
    </row>
    <row r="1414" spans="1:10" x14ac:dyDescent="0.2">
      <c r="A1414" t="str">
        <f>'Claims Data'!A1414</f>
        <v>CLM01413</v>
      </c>
      <c r="B1414" t="str">
        <f>'Claims Data'!B1414</f>
        <v>PAT0132</v>
      </c>
      <c r="C1414" t="str">
        <f>'Claims Data'!C1414</f>
        <v>PRV0016</v>
      </c>
      <c r="D1414" s="1">
        <f>'Claims Data'!D1414</f>
        <v>45493</v>
      </c>
      <c r="E1414">
        <f>'Claims Data'!H1414</f>
        <v>2.9</v>
      </c>
      <c r="F1414">
        <f>'Claims Data'!J1414</f>
        <v>180.72</v>
      </c>
      <c r="G1414">
        <f>'Claims Data'!M1414</f>
        <v>0</v>
      </c>
      <c r="H1414" t="b">
        <f>'Claims Data'!L1414</f>
        <v>0</v>
      </c>
      <c r="I1414">
        <f t="shared" si="44"/>
        <v>0</v>
      </c>
      <c r="J1414" t="str">
        <f t="shared" si="45"/>
        <v>Low Risk</v>
      </c>
    </row>
    <row r="1415" spans="1:10" x14ac:dyDescent="0.2">
      <c r="A1415" t="str">
        <f>'Claims Data'!A1415</f>
        <v>CLM01414</v>
      </c>
      <c r="B1415" t="str">
        <f>'Claims Data'!B1415</f>
        <v>PAT0055</v>
      </c>
      <c r="C1415" t="str">
        <f>'Claims Data'!C1415</f>
        <v>PRV0042</v>
      </c>
      <c r="D1415" s="1">
        <f>'Claims Data'!D1415</f>
        <v>45213</v>
      </c>
      <c r="E1415">
        <f>'Claims Data'!H1415</f>
        <v>6</v>
      </c>
      <c r="F1415">
        <f>'Claims Data'!J1415</f>
        <v>337.18</v>
      </c>
      <c r="G1415">
        <f>'Claims Data'!M1415</f>
        <v>0</v>
      </c>
      <c r="H1415" t="b">
        <f>'Claims Data'!L1415</f>
        <v>0</v>
      </c>
      <c r="I1415">
        <f t="shared" si="44"/>
        <v>0</v>
      </c>
      <c r="J1415" t="str">
        <f t="shared" si="45"/>
        <v>Low Risk</v>
      </c>
    </row>
    <row r="1416" spans="1:10" x14ac:dyDescent="0.2">
      <c r="A1416" t="str">
        <f>'Claims Data'!A1416</f>
        <v>CLM01415</v>
      </c>
      <c r="B1416" t="str">
        <f>'Claims Data'!B1416</f>
        <v>PAT0033</v>
      </c>
      <c r="C1416" t="str">
        <f>'Claims Data'!C1416</f>
        <v>PRV0009</v>
      </c>
      <c r="D1416" s="1">
        <f>'Claims Data'!D1416</f>
        <v>45624</v>
      </c>
      <c r="E1416">
        <f>'Claims Data'!H1416</f>
        <v>3.2</v>
      </c>
      <c r="F1416">
        <f>'Claims Data'!J1416</f>
        <v>207.12</v>
      </c>
      <c r="G1416">
        <f>'Claims Data'!M1416</f>
        <v>0</v>
      </c>
      <c r="H1416" t="b">
        <f>'Claims Data'!L1416</f>
        <v>0</v>
      </c>
      <c r="I1416">
        <f t="shared" si="44"/>
        <v>0</v>
      </c>
      <c r="J1416" t="str">
        <f t="shared" si="45"/>
        <v>Low Risk</v>
      </c>
    </row>
    <row r="1417" spans="1:10" x14ac:dyDescent="0.2">
      <c r="A1417" t="str">
        <f>'Claims Data'!A1417</f>
        <v>CLM01416</v>
      </c>
      <c r="B1417" t="str">
        <f>'Claims Data'!B1417</f>
        <v>PAT0118</v>
      </c>
      <c r="C1417" t="str">
        <f>'Claims Data'!C1417</f>
        <v>PRV0039</v>
      </c>
      <c r="D1417" s="1">
        <f>'Claims Data'!D1417</f>
        <v>45422</v>
      </c>
      <c r="E1417">
        <f>'Claims Data'!H1417</f>
        <v>5.3</v>
      </c>
      <c r="F1417">
        <f>'Claims Data'!J1417</f>
        <v>389.92</v>
      </c>
      <c r="G1417">
        <f>'Claims Data'!M1417</f>
        <v>0</v>
      </c>
      <c r="H1417" t="b">
        <f>'Claims Data'!L1417</f>
        <v>0</v>
      </c>
      <c r="I1417">
        <f t="shared" si="44"/>
        <v>0</v>
      </c>
      <c r="J1417" t="str">
        <f t="shared" si="45"/>
        <v>Low Risk</v>
      </c>
    </row>
    <row r="1418" spans="1:10" x14ac:dyDescent="0.2">
      <c r="A1418" t="str">
        <f>'Claims Data'!A1418</f>
        <v>CLM01417</v>
      </c>
      <c r="B1418" t="str">
        <f>'Claims Data'!B1418</f>
        <v>PAT0259</v>
      </c>
      <c r="C1418" t="str">
        <f>'Claims Data'!C1418</f>
        <v>PRV0048</v>
      </c>
      <c r="D1418" s="1">
        <f>'Claims Data'!D1418</f>
        <v>45205</v>
      </c>
      <c r="E1418">
        <f>'Claims Data'!H1418</f>
        <v>7.7</v>
      </c>
      <c r="F1418">
        <f>'Claims Data'!J1418</f>
        <v>207.1</v>
      </c>
      <c r="G1418">
        <f>'Claims Data'!M1418</f>
        <v>0</v>
      </c>
      <c r="H1418" t="b">
        <f>'Claims Data'!L1418</f>
        <v>0</v>
      </c>
      <c r="I1418">
        <f t="shared" si="44"/>
        <v>0</v>
      </c>
      <c r="J1418" t="str">
        <f t="shared" si="45"/>
        <v>Low Risk</v>
      </c>
    </row>
    <row r="1419" spans="1:10" x14ac:dyDescent="0.2">
      <c r="A1419" t="str">
        <f>'Claims Data'!A1419</f>
        <v>CLM01418</v>
      </c>
      <c r="B1419" t="str">
        <f>'Claims Data'!B1419</f>
        <v>PAT0180</v>
      </c>
      <c r="C1419" t="str">
        <f>'Claims Data'!C1419</f>
        <v>PRV0050</v>
      </c>
      <c r="D1419" s="1">
        <f>'Claims Data'!D1419</f>
        <v>45243</v>
      </c>
      <c r="E1419">
        <f>'Claims Data'!H1419</f>
        <v>4.3</v>
      </c>
      <c r="F1419">
        <f>'Claims Data'!J1419</f>
        <v>188.66</v>
      </c>
      <c r="G1419">
        <f>'Claims Data'!M1419</f>
        <v>0</v>
      </c>
      <c r="H1419" t="b">
        <f>'Claims Data'!L1419</f>
        <v>0</v>
      </c>
      <c r="I1419">
        <f t="shared" si="44"/>
        <v>0</v>
      </c>
      <c r="J1419" t="str">
        <f t="shared" si="45"/>
        <v>Low Risk</v>
      </c>
    </row>
    <row r="1420" spans="1:10" x14ac:dyDescent="0.2">
      <c r="A1420" t="str">
        <f>'Claims Data'!A1420</f>
        <v>CLM01419</v>
      </c>
      <c r="B1420" t="str">
        <f>'Claims Data'!B1420</f>
        <v>PAT0046</v>
      </c>
      <c r="C1420" t="str">
        <f>'Claims Data'!C1420</f>
        <v>PRV0054</v>
      </c>
      <c r="D1420" s="1">
        <f>'Claims Data'!D1420</f>
        <v>45039</v>
      </c>
      <c r="E1420">
        <f>'Claims Data'!H1420</f>
        <v>4.8</v>
      </c>
      <c r="F1420">
        <f>'Claims Data'!J1420</f>
        <v>129.46</v>
      </c>
      <c r="G1420">
        <f>'Claims Data'!M1420</f>
        <v>0</v>
      </c>
      <c r="H1420" t="b">
        <f>'Claims Data'!L1420</f>
        <v>0</v>
      </c>
      <c r="I1420">
        <f t="shared" si="44"/>
        <v>0</v>
      </c>
      <c r="J1420" t="str">
        <f t="shared" si="45"/>
        <v>Low Risk</v>
      </c>
    </row>
    <row r="1421" spans="1:10" x14ac:dyDescent="0.2">
      <c r="A1421" t="str">
        <f>'Claims Data'!A1421</f>
        <v>CLM01420</v>
      </c>
      <c r="B1421" t="str">
        <f>'Claims Data'!B1421</f>
        <v>PAT0105</v>
      </c>
      <c r="C1421" t="str">
        <f>'Claims Data'!C1421</f>
        <v>PRV0054</v>
      </c>
      <c r="D1421" s="1">
        <f>'Claims Data'!D1421</f>
        <v>45344</v>
      </c>
      <c r="E1421">
        <f>'Claims Data'!H1421</f>
        <v>7.3</v>
      </c>
      <c r="F1421">
        <f>'Claims Data'!J1421</f>
        <v>254.4</v>
      </c>
      <c r="G1421">
        <f>'Claims Data'!M1421</f>
        <v>0</v>
      </c>
      <c r="H1421" t="b">
        <f>'Claims Data'!L1421</f>
        <v>0</v>
      </c>
      <c r="I1421">
        <f t="shared" si="44"/>
        <v>0</v>
      </c>
      <c r="J1421" t="str">
        <f t="shared" si="45"/>
        <v>Low Risk</v>
      </c>
    </row>
    <row r="1422" spans="1:10" x14ac:dyDescent="0.2">
      <c r="A1422" t="str">
        <f>'Claims Data'!A1422</f>
        <v>CLM01421</v>
      </c>
      <c r="B1422" t="str">
        <f>'Claims Data'!B1422</f>
        <v>PAT0218</v>
      </c>
      <c r="C1422" t="str">
        <f>'Claims Data'!C1422</f>
        <v>PRV0050</v>
      </c>
      <c r="D1422" s="1">
        <f>'Claims Data'!D1422</f>
        <v>45545</v>
      </c>
      <c r="E1422">
        <f>'Claims Data'!H1422</f>
        <v>3.9</v>
      </c>
      <c r="F1422">
        <f>'Claims Data'!J1422</f>
        <v>188.54</v>
      </c>
      <c r="G1422">
        <f>'Claims Data'!M1422</f>
        <v>0</v>
      </c>
      <c r="H1422" t="b">
        <f>'Claims Data'!L1422</f>
        <v>0</v>
      </c>
      <c r="I1422">
        <f t="shared" si="44"/>
        <v>0</v>
      </c>
      <c r="J1422" t="str">
        <f t="shared" si="45"/>
        <v>Low Risk</v>
      </c>
    </row>
    <row r="1423" spans="1:10" x14ac:dyDescent="0.2">
      <c r="A1423" t="str">
        <f>'Claims Data'!A1423</f>
        <v>CLM01422</v>
      </c>
      <c r="B1423" t="str">
        <f>'Claims Data'!B1423</f>
        <v>PAT0100</v>
      </c>
      <c r="C1423" t="str">
        <f>'Claims Data'!C1423</f>
        <v>PRV0025</v>
      </c>
      <c r="D1423" s="1">
        <f>'Claims Data'!D1423</f>
        <v>45178</v>
      </c>
      <c r="E1423">
        <f>'Claims Data'!H1423</f>
        <v>6</v>
      </c>
      <c r="F1423">
        <f>'Claims Data'!J1423</f>
        <v>396.73</v>
      </c>
      <c r="G1423">
        <f>'Claims Data'!M1423</f>
        <v>0</v>
      </c>
      <c r="H1423" t="b">
        <f>'Claims Data'!L1423</f>
        <v>0</v>
      </c>
      <c r="I1423">
        <f t="shared" si="44"/>
        <v>0</v>
      </c>
      <c r="J1423" t="str">
        <f t="shared" si="45"/>
        <v>Low Risk</v>
      </c>
    </row>
    <row r="1424" spans="1:10" x14ac:dyDescent="0.2">
      <c r="A1424" t="str">
        <f>'Claims Data'!A1424</f>
        <v>CLM01423</v>
      </c>
      <c r="B1424" t="str">
        <f>'Claims Data'!B1424</f>
        <v>PAT0005</v>
      </c>
      <c r="C1424" t="str">
        <f>'Claims Data'!C1424</f>
        <v>PRV0018</v>
      </c>
      <c r="D1424" s="1">
        <f>'Claims Data'!D1424</f>
        <v>45035</v>
      </c>
      <c r="E1424">
        <f>'Claims Data'!H1424</f>
        <v>4.9000000000000004</v>
      </c>
      <c r="F1424">
        <f>'Claims Data'!J1424</f>
        <v>373.68</v>
      </c>
      <c r="G1424">
        <f>'Claims Data'!M1424</f>
        <v>0</v>
      </c>
      <c r="H1424" t="b">
        <f>'Claims Data'!L1424</f>
        <v>0</v>
      </c>
      <c r="I1424">
        <f t="shared" si="44"/>
        <v>0</v>
      </c>
      <c r="J1424" t="str">
        <f t="shared" si="45"/>
        <v>Low Risk</v>
      </c>
    </row>
    <row r="1425" spans="1:10" x14ac:dyDescent="0.2">
      <c r="A1425" t="str">
        <f>'Claims Data'!A1425</f>
        <v>CLM01424</v>
      </c>
      <c r="B1425" t="str">
        <f>'Claims Data'!B1425</f>
        <v>PAT0027</v>
      </c>
      <c r="C1425" t="str">
        <f>'Claims Data'!C1425</f>
        <v>PRV0019</v>
      </c>
      <c r="D1425" s="1">
        <f>'Claims Data'!D1425</f>
        <v>45567</v>
      </c>
      <c r="E1425">
        <f>'Claims Data'!H1425</f>
        <v>4.3</v>
      </c>
      <c r="F1425">
        <f>'Claims Data'!J1425</f>
        <v>235.13</v>
      </c>
      <c r="G1425">
        <f>'Claims Data'!M1425</f>
        <v>0</v>
      </c>
      <c r="H1425" t="b">
        <f>'Claims Data'!L1425</f>
        <v>0</v>
      </c>
      <c r="I1425">
        <f t="shared" si="44"/>
        <v>0</v>
      </c>
      <c r="J1425" t="str">
        <f t="shared" si="45"/>
        <v>Low Risk</v>
      </c>
    </row>
    <row r="1426" spans="1:10" x14ac:dyDescent="0.2">
      <c r="A1426" t="str">
        <f>'Claims Data'!A1426</f>
        <v>CLM01425</v>
      </c>
      <c r="B1426" t="str">
        <f>'Claims Data'!B1426</f>
        <v>PAT0020</v>
      </c>
      <c r="C1426" t="str">
        <f>'Claims Data'!C1426</f>
        <v>PRV0036</v>
      </c>
      <c r="D1426" s="1">
        <f>'Claims Data'!D1426</f>
        <v>45409</v>
      </c>
      <c r="E1426">
        <f>'Claims Data'!H1426</f>
        <v>6.6</v>
      </c>
      <c r="F1426">
        <f>'Claims Data'!J1426</f>
        <v>277.64</v>
      </c>
      <c r="G1426">
        <f>'Claims Data'!M1426</f>
        <v>0</v>
      </c>
      <c r="H1426" t="b">
        <f>'Claims Data'!L1426</f>
        <v>0</v>
      </c>
      <c r="I1426">
        <f t="shared" si="44"/>
        <v>0</v>
      </c>
      <c r="J1426" t="str">
        <f t="shared" si="45"/>
        <v>Low Risk</v>
      </c>
    </row>
    <row r="1427" spans="1:10" x14ac:dyDescent="0.2">
      <c r="A1427" t="str">
        <f>'Claims Data'!A1427</f>
        <v>CLM01426</v>
      </c>
      <c r="B1427" t="str">
        <f>'Claims Data'!B1427</f>
        <v>PAT0001</v>
      </c>
      <c r="C1427" t="str">
        <f>'Claims Data'!C1427</f>
        <v>PRV0047</v>
      </c>
      <c r="D1427" s="1">
        <f>'Claims Data'!D1427</f>
        <v>45301</v>
      </c>
      <c r="E1427">
        <f>'Claims Data'!H1427</f>
        <v>5.5</v>
      </c>
      <c r="F1427">
        <f>'Claims Data'!J1427</f>
        <v>179.81</v>
      </c>
      <c r="G1427">
        <f>'Claims Data'!M1427</f>
        <v>0</v>
      </c>
      <c r="H1427" t="b">
        <f>'Claims Data'!L1427</f>
        <v>0</v>
      </c>
      <c r="I1427">
        <f t="shared" si="44"/>
        <v>0</v>
      </c>
      <c r="J1427" t="str">
        <f t="shared" si="45"/>
        <v>Low Risk</v>
      </c>
    </row>
    <row r="1428" spans="1:10" x14ac:dyDescent="0.2">
      <c r="A1428" t="str">
        <f>'Claims Data'!A1428</f>
        <v>CLM01427</v>
      </c>
      <c r="B1428" t="str">
        <f>'Claims Data'!B1428</f>
        <v>PAT0091</v>
      </c>
      <c r="C1428" t="str">
        <f>'Claims Data'!C1428</f>
        <v>PRV0034</v>
      </c>
      <c r="D1428" s="1">
        <f>'Claims Data'!D1428</f>
        <v>45546</v>
      </c>
      <c r="E1428">
        <f>'Claims Data'!H1428</f>
        <v>6.9</v>
      </c>
      <c r="F1428">
        <f>'Claims Data'!J1428</f>
        <v>414.26</v>
      </c>
      <c r="G1428">
        <f>'Claims Data'!M1428</f>
        <v>0</v>
      </c>
      <c r="H1428" t="b">
        <f>'Claims Data'!L1428</f>
        <v>0</v>
      </c>
      <c r="I1428">
        <f t="shared" si="44"/>
        <v>0</v>
      </c>
      <c r="J1428" t="str">
        <f t="shared" si="45"/>
        <v>Low Risk</v>
      </c>
    </row>
    <row r="1429" spans="1:10" x14ac:dyDescent="0.2">
      <c r="A1429" t="str">
        <f>'Claims Data'!A1429</f>
        <v>CLM01428</v>
      </c>
      <c r="B1429" t="str">
        <f>'Claims Data'!B1429</f>
        <v>PAT0065</v>
      </c>
      <c r="C1429" t="str">
        <f>'Claims Data'!C1429</f>
        <v>PRV0011</v>
      </c>
      <c r="D1429" s="1">
        <f>'Claims Data'!D1429</f>
        <v>45096</v>
      </c>
      <c r="E1429">
        <f>'Claims Data'!H1429</f>
        <v>4.3</v>
      </c>
      <c r="F1429">
        <f>'Claims Data'!J1429</f>
        <v>217.96</v>
      </c>
      <c r="G1429" t="str">
        <f>'Claims Data'!M1429</f>
        <v>duplicate_claim</v>
      </c>
      <c r="H1429" t="b">
        <f>'Claims Data'!L1429</f>
        <v>1</v>
      </c>
      <c r="I1429">
        <f t="shared" si="44"/>
        <v>10</v>
      </c>
      <c r="J1429" t="str">
        <f t="shared" si="45"/>
        <v>Low Risk</v>
      </c>
    </row>
    <row r="1430" spans="1:10" x14ac:dyDescent="0.2">
      <c r="A1430" t="str">
        <f>'Claims Data'!A1430</f>
        <v>CLM01429</v>
      </c>
      <c r="B1430" t="str">
        <f>'Claims Data'!B1430</f>
        <v>PAT0124</v>
      </c>
      <c r="C1430" t="str">
        <f>'Claims Data'!C1430</f>
        <v>PRV0007</v>
      </c>
      <c r="D1430" s="1">
        <f>'Claims Data'!D1430</f>
        <v>44977</v>
      </c>
      <c r="E1430">
        <f>'Claims Data'!H1430</f>
        <v>4.0999999999999996</v>
      </c>
      <c r="F1430">
        <f>'Claims Data'!J1430</f>
        <v>265.17</v>
      </c>
      <c r="G1430">
        <f>'Claims Data'!M1430</f>
        <v>0</v>
      </c>
      <c r="H1430" t="b">
        <f>'Claims Data'!L1430</f>
        <v>0</v>
      </c>
      <c r="I1430">
        <f t="shared" si="44"/>
        <v>0</v>
      </c>
      <c r="J1430" t="str">
        <f t="shared" si="45"/>
        <v>Low Risk</v>
      </c>
    </row>
    <row r="1431" spans="1:10" x14ac:dyDescent="0.2">
      <c r="A1431" t="str">
        <f>'Claims Data'!A1431</f>
        <v>CLM01430</v>
      </c>
      <c r="B1431" t="str">
        <f>'Claims Data'!B1431</f>
        <v>PAT0204</v>
      </c>
      <c r="C1431" t="str">
        <f>'Claims Data'!C1431</f>
        <v>PRV0025</v>
      </c>
      <c r="D1431" s="1">
        <f>'Claims Data'!D1431</f>
        <v>45458</v>
      </c>
      <c r="E1431">
        <f>'Claims Data'!H1431</f>
        <v>18.899999999999999</v>
      </c>
      <c r="F1431">
        <f>'Claims Data'!J1431</f>
        <v>1144.3900000000001</v>
      </c>
      <c r="G1431" t="str">
        <f>'Claims Data'!M1431</f>
        <v>inflated_hours</v>
      </c>
      <c r="H1431" t="b">
        <f>'Claims Data'!L1431</f>
        <v>1</v>
      </c>
      <c r="I1431">
        <f t="shared" si="44"/>
        <v>50</v>
      </c>
      <c r="J1431" t="str">
        <f t="shared" si="45"/>
        <v>Medium Risk</v>
      </c>
    </row>
    <row r="1432" spans="1:10" x14ac:dyDescent="0.2">
      <c r="A1432" t="str">
        <f>'Claims Data'!A1432</f>
        <v>CLM01431</v>
      </c>
      <c r="B1432" t="str">
        <f>'Claims Data'!B1432</f>
        <v>PAT0186</v>
      </c>
      <c r="C1432" t="str">
        <f>'Claims Data'!C1432</f>
        <v>PRV0026</v>
      </c>
      <c r="D1432" s="1">
        <f>'Claims Data'!D1432</f>
        <v>45056</v>
      </c>
      <c r="E1432">
        <f>'Claims Data'!H1432</f>
        <v>7.2</v>
      </c>
      <c r="F1432">
        <f>'Claims Data'!J1432</f>
        <v>229.45</v>
      </c>
      <c r="G1432">
        <f>'Claims Data'!M1432</f>
        <v>0</v>
      </c>
      <c r="H1432" t="b">
        <f>'Claims Data'!L1432</f>
        <v>0</v>
      </c>
      <c r="I1432">
        <f t="shared" si="44"/>
        <v>0</v>
      </c>
      <c r="J1432" t="str">
        <f t="shared" si="45"/>
        <v>Low Risk</v>
      </c>
    </row>
    <row r="1433" spans="1:10" x14ac:dyDescent="0.2">
      <c r="A1433" t="str">
        <f>'Claims Data'!A1433</f>
        <v>CLM01432</v>
      </c>
      <c r="B1433" t="str">
        <f>'Claims Data'!B1433</f>
        <v>PAT0167</v>
      </c>
      <c r="C1433" t="str">
        <f>'Claims Data'!C1433</f>
        <v>PRV0032</v>
      </c>
      <c r="D1433" s="1">
        <f>'Claims Data'!D1433</f>
        <v>45468</v>
      </c>
      <c r="E1433">
        <f>'Claims Data'!H1433</f>
        <v>5.2</v>
      </c>
      <c r="F1433">
        <f>'Claims Data'!J1433</f>
        <v>141.66</v>
      </c>
      <c r="G1433">
        <f>'Claims Data'!M1433</f>
        <v>0</v>
      </c>
      <c r="H1433" t="b">
        <f>'Claims Data'!L1433</f>
        <v>0</v>
      </c>
      <c r="I1433">
        <f t="shared" si="44"/>
        <v>0</v>
      </c>
      <c r="J1433" t="str">
        <f t="shared" si="45"/>
        <v>Low Risk</v>
      </c>
    </row>
    <row r="1434" spans="1:10" x14ac:dyDescent="0.2">
      <c r="A1434" t="str">
        <f>'Claims Data'!A1434</f>
        <v>CLM01433</v>
      </c>
      <c r="B1434" t="str">
        <f>'Claims Data'!B1434</f>
        <v>PAT0170</v>
      </c>
      <c r="C1434" t="str">
        <f>'Claims Data'!C1434</f>
        <v>PRV0041</v>
      </c>
      <c r="D1434" s="1">
        <f>'Claims Data'!D1434</f>
        <v>45648</v>
      </c>
      <c r="E1434">
        <f>'Claims Data'!H1434</f>
        <v>5.4</v>
      </c>
      <c r="F1434">
        <f>'Claims Data'!J1434</f>
        <v>427.06</v>
      </c>
      <c r="G1434">
        <f>'Claims Data'!M1434</f>
        <v>0</v>
      </c>
      <c r="H1434" t="b">
        <f>'Claims Data'!L1434</f>
        <v>0</v>
      </c>
      <c r="I1434">
        <f t="shared" si="44"/>
        <v>0</v>
      </c>
      <c r="J1434" t="str">
        <f t="shared" si="45"/>
        <v>Low Risk</v>
      </c>
    </row>
    <row r="1435" spans="1:10" x14ac:dyDescent="0.2">
      <c r="A1435" t="str">
        <f>'Claims Data'!A1435</f>
        <v>CLM01434</v>
      </c>
      <c r="B1435" t="str">
        <f>'Claims Data'!B1435</f>
        <v>PAT0172</v>
      </c>
      <c r="C1435" t="str">
        <f>'Claims Data'!C1435</f>
        <v>PRV0041</v>
      </c>
      <c r="D1435" s="1">
        <f>'Claims Data'!D1435</f>
        <v>45178</v>
      </c>
      <c r="E1435">
        <f>'Claims Data'!H1435</f>
        <v>6.2</v>
      </c>
      <c r="F1435">
        <f>'Claims Data'!J1435</f>
        <v>373.73</v>
      </c>
      <c r="G1435">
        <f>'Claims Data'!M1435</f>
        <v>0</v>
      </c>
      <c r="H1435" t="b">
        <f>'Claims Data'!L1435</f>
        <v>0</v>
      </c>
      <c r="I1435">
        <f t="shared" si="44"/>
        <v>0</v>
      </c>
      <c r="J1435" t="str">
        <f t="shared" si="45"/>
        <v>Low Risk</v>
      </c>
    </row>
    <row r="1436" spans="1:10" x14ac:dyDescent="0.2">
      <c r="A1436" t="str">
        <f>'Claims Data'!A1436</f>
        <v>CLM01435</v>
      </c>
      <c r="B1436" t="str">
        <f>'Claims Data'!B1436</f>
        <v>PAT0277</v>
      </c>
      <c r="C1436" t="str">
        <f>'Claims Data'!C1436</f>
        <v>PRV0053</v>
      </c>
      <c r="D1436" s="1">
        <f>'Claims Data'!D1436</f>
        <v>45368</v>
      </c>
      <c r="E1436">
        <f>'Claims Data'!H1436</f>
        <v>5.4</v>
      </c>
      <c r="F1436">
        <f>'Claims Data'!J1436</f>
        <v>239.46</v>
      </c>
      <c r="G1436" t="str">
        <f>'Claims Data'!M1436</f>
        <v>duplicate_claim</v>
      </c>
      <c r="H1436" t="b">
        <f>'Claims Data'!L1436</f>
        <v>1</v>
      </c>
      <c r="I1436">
        <f t="shared" si="44"/>
        <v>10</v>
      </c>
      <c r="J1436" t="str">
        <f t="shared" si="45"/>
        <v>Low Risk</v>
      </c>
    </row>
    <row r="1437" spans="1:10" x14ac:dyDescent="0.2">
      <c r="A1437" t="str">
        <f>'Claims Data'!A1437</f>
        <v>CLM01436</v>
      </c>
      <c r="B1437" t="str">
        <f>'Claims Data'!B1437</f>
        <v>PAT0054</v>
      </c>
      <c r="C1437" t="str">
        <f>'Claims Data'!C1437</f>
        <v>PRV0036</v>
      </c>
      <c r="D1437" s="1">
        <f>'Claims Data'!D1437</f>
        <v>44958</v>
      </c>
      <c r="E1437">
        <f>'Claims Data'!H1437</f>
        <v>2.6</v>
      </c>
      <c r="F1437">
        <f>'Claims Data'!J1437</f>
        <v>170.32</v>
      </c>
      <c r="G1437">
        <f>'Claims Data'!M1437</f>
        <v>0</v>
      </c>
      <c r="H1437" t="b">
        <f>'Claims Data'!L1437</f>
        <v>0</v>
      </c>
      <c r="I1437">
        <f t="shared" si="44"/>
        <v>0</v>
      </c>
      <c r="J1437" t="str">
        <f t="shared" si="45"/>
        <v>Low Risk</v>
      </c>
    </row>
    <row r="1438" spans="1:10" x14ac:dyDescent="0.2">
      <c r="A1438" t="str">
        <f>'Claims Data'!A1438</f>
        <v>CLM01437</v>
      </c>
      <c r="B1438" t="str">
        <f>'Claims Data'!B1438</f>
        <v>PAT0111</v>
      </c>
      <c r="C1438" t="str">
        <f>'Claims Data'!C1438</f>
        <v>PRV0004</v>
      </c>
      <c r="D1438" s="1">
        <f>'Claims Data'!D1438</f>
        <v>44948</v>
      </c>
      <c r="E1438">
        <f>'Claims Data'!H1438</f>
        <v>5</v>
      </c>
      <c r="F1438">
        <f>'Claims Data'!J1438</f>
        <v>354.47</v>
      </c>
      <c r="G1438">
        <f>'Claims Data'!M1438</f>
        <v>0</v>
      </c>
      <c r="H1438" t="b">
        <f>'Claims Data'!L1438</f>
        <v>0</v>
      </c>
      <c r="I1438">
        <f t="shared" si="44"/>
        <v>0</v>
      </c>
      <c r="J1438" t="str">
        <f t="shared" si="45"/>
        <v>Low Risk</v>
      </c>
    </row>
    <row r="1439" spans="1:10" x14ac:dyDescent="0.2">
      <c r="A1439" t="str">
        <f>'Claims Data'!A1439</f>
        <v>CLM01438</v>
      </c>
      <c r="B1439" t="str">
        <f>'Claims Data'!B1439</f>
        <v>PAT0037</v>
      </c>
      <c r="C1439" t="str">
        <f>'Claims Data'!C1439</f>
        <v>PRV0056</v>
      </c>
      <c r="D1439" s="1">
        <f>'Claims Data'!D1439</f>
        <v>45391</v>
      </c>
      <c r="E1439">
        <f>'Claims Data'!H1439</f>
        <v>5.7</v>
      </c>
      <c r="F1439">
        <f>'Claims Data'!J1439</f>
        <v>266.76</v>
      </c>
      <c r="G1439">
        <f>'Claims Data'!M1439</f>
        <v>0</v>
      </c>
      <c r="H1439" t="b">
        <f>'Claims Data'!L1439</f>
        <v>0</v>
      </c>
      <c r="I1439">
        <f t="shared" si="44"/>
        <v>0</v>
      </c>
      <c r="J1439" t="str">
        <f t="shared" si="45"/>
        <v>Low Risk</v>
      </c>
    </row>
    <row r="1440" spans="1:10" x14ac:dyDescent="0.2">
      <c r="A1440" t="str">
        <f>'Claims Data'!A1440</f>
        <v>CLM01439</v>
      </c>
      <c r="B1440" t="str">
        <f>'Claims Data'!B1440</f>
        <v>PAT0142</v>
      </c>
      <c r="C1440" t="str">
        <f>'Claims Data'!C1440</f>
        <v>PRV0056</v>
      </c>
      <c r="D1440" s="1">
        <f>'Claims Data'!D1440</f>
        <v>44948</v>
      </c>
      <c r="E1440">
        <f>'Claims Data'!H1440</f>
        <v>33</v>
      </c>
      <c r="F1440">
        <f>'Claims Data'!J1440</f>
        <v>2500</v>
      </c>
      <c r="G1440" t="str">
        <f>'Claims Data'!M1440</f>
        <v>phantom_round_amount</v>
      </c>
      <c r="H1440" t="b">
        <f>'Claims Data'!L1440</f>
        <v>1</v>
      </c>
      <c r="I1440">
        <f t="shared" si="44"/>
        <v>80</v>
      </c>
      <c r="J1440" t="str">
        <f t="shared" si="45"/>
        <v>High Risk</v>
      </c>
    </row>
    <row r="1441" spans="1:10" x14ac:dyDescent="0.2">
      <c r="A1441" t="str">
        <f>'Claims Data'!A1441</f>
        <v>CLM01440</v>
      </c>
      <c r="B1441" t="str">
        <f>'Claims Data'!B1441</f>
        <v>PAT0296</v>
      </c>
      <c r="C1441" t="str">
        <f>'Claims Data'!C1441</f>
        <v>PRV0026</v>
      </c>
      <c r="D1441" s="1">
        <f>'Claims Data'!D1441</f>
        <v>45413</v>
      </c>
      <c r="E1441">
        <f>'Claims Data'!H1441</f>
        <v>3.7</v>
      </c>
      <c r="F1441">
        <f>'Claims Data'!J1441</f>
        <v>103.05</v>
      </c>
      <c r="G1441">
        <f>'Claims Data'!M1441</f>
        <v>0</v>
      </c>
      <c r="H1441" t="b">
        <f>'Claims Data'!L1441</f>
        <v>0</v>
      </c>
      <c r="I1441">
        <f t="shared" si="44"/>
        <v>0</v>
      </c>
      <c r="J1441" t="str">
        <f t="shared" si="45"/>
        <v>Low Risk</v>
      </c>
    </row>
    <row r="1442" spans="1:10" x14ac:dyDescent="0.2">
      <c r="A1442" t="str">
        <f>'Claims Data'!A1442</f>
        <v>CLM01441</v>
      </c>
      <c r="B1442" t="str">
        <f>'Claims Data'!B1442</f>
        <v>PAT0264</v>
      </c>
      <c r="C1442" t="str">
        <f>'Claims Data'!C1442</f>
        <v>PRV0012</v>
      </c>
      <c r="D1442" s="1">
        <f>'Claims Data'!D1442</f>
        <v>45391</v>
      </c>
      <c r="E1442">
        <f>'Claims Data'!H1442</f>
        <v>6.8</v>
      </c>
      <c r="F1442">
        <f>'Claims Data'!J1442</f>
        <v>424.83</v>
      </c>
      <c r="G1442">
        <f>'Claims Data'!M1442</f>
        <v>0</v>
      </c>
      <c r="H1442" t="b">
        <f>'Claims Data'!L1442</f>
        <v>0</v>
      </c>
      <c r="I1442">
        <f t="shared" si="44"/>
        <v>0</v>
      </c>
      <c r="J1442" t="str">
        <f t="shared" si="45"/>
        <v>Low Risk</v>
      </c>
    </row>
    <row r="1443" spans="1:10" x14ac:dyDescent="0.2">
      <c r="A1443" t="str">
        <f>'Claims Data'!A1443</f>
        <v>CLM01442</v>
      </c>
      <c r="B1443" t="str">
        <f>'Claims Data'!B1443</f>
        <v>PAT0238</v>
      </c>
      <c r="C1443" t="str">
        <f>'Claims Data'!C1443</f>
        <v>PRV0005</v>
      </c>
      <c r="D1443" s="1">
        <f>'Claims Data'!D1443</f>
        <v>45316</v>
      </c>
      <c r="E1443">
        <f>'Claims Data'!H1443</f>
        <v>5.6</v>
      </c>
      <c r="F1443">
        <f>'Claims Data'!J1443</f>
        <v>231.85</v>
      </c>
      <c r="G1443">
        <f>'Claims Data'!M1443</f>
        <v>0</v>
      </c>
      <c r="H1443" t="b">
        <f>'Claims Data'!L1443</f>
        <v>0</v>
      </c>
      <c r="I1443">
        <f t="shared" si="44"/>
        <v>0</v>
      </c>
      <c r="J1443" t="str">
        <f t="shared" si="45"/>
        <v>Low Risk</v>
      </c>
    </row>
    <row r="1444" spans="1:10" x14ac:dyDescent="0.2">
      <c r="A1444" t="str">
        <f>'Claims Data'!A1444</f>
        <v>CLM01443</v>
      </c>
      <c r="B1444" t="str">
        <f>'Claims Data'!B1444</f>
        <v>PAT0094</v>
      </c>
      <c r="C1444" t="str">
        <f>'Claims Data'!C1444</f>
        <v>PRV0060</v>
      </c>
      <c r="D1444" s="1">
        <f>'Claims Data'!D1444</f>
        <v>45458</v>
      </c>
      <c r="E1444">
        <f>'Claims Data'!H1444</f>
        <v>4.5999999999999996</v>
      </c>
      <c r="F1444">
        <f>'Claims Data'!J1444</f>
        <v>210.86</v>
      </c>
      <c r="G1444">
        <f>'Claims Data'!M1444</f>
        <v>0</v>
      </c>
      <c r="H1444" t="b">
        <f>'Claims Data'!L1444</f>
        <v>0</v>
      </c>
      <c r="I1444">
        <f t="shared" si="44"/>
        <v>0</v>
      </c>
      <c r="J1444" t="str">
        <f t="shared" si="45"/>
        <v>Low Risk</v>
      </c>
    </row>
    <row r="1445" spans="1:10" x14ac:dyDescent="0.2">
      <c r="A1445" t="str">
        <f>'Claims Data'!A1445</f>
        <v>CLM01444</v>
      </c>
      <c r="B1445" t="str">
        <f>'Claims Data'!B1445</f>
        <v>PAT0295</v>
      </c>
      <c r="C1445" t="str">
        <f>'Claims Data'!C1445</f>
        <v>PRV0029</v>
      </c>
      <c r="D1445" s="1">
        <f>'Claims Data'!D1445</f>
        <v>45101</v>
      </c>
      <c r="E1445">
        <f>'Claims Data'!H1445</f>
        <v>5</v>
      </c>
      <c r="F1445">
        <f>'Claims Data'!J1445</f>
        <v>214.97</v>
      </c>
      <c r="G1445">
        <f>'Claims Data'!M1445</f>
        <v>0</v>
      </c>
      <c r="H1445" t="b">
        <f>'Claims Data'!L1445</f>
        <v>0</v>
      </c>
      <c r="I1445">
        <f t="shared" si="44"/>
        <v>0</v>
      </c>
      <c r="J1445" t="str">
        <f t="shared" si="45"/>
        <v>Low Risk</v>
      </c>
    </row>
    <row r="1446" spans="1:10" x14ac:dyDescent="0.2">
      <c r="A1446" t="str">
        <f>'Claims Data'!A1446</f>
        <v>CLM01445</v>
      </c>
      <c r="B1446" t="str">
        <f>'Claims Data'!B1446</f>
        <v>PAT0005</v>
      </c>
      <c r="C1446" t="str">
        <f>'Claims Data'!C1446</f>
        <v>PRV0056</v>
      </c>
      <c r="D1446" s="1">
        <f>'Claims Data'!D1446</f>
        <v>45579</v>
      </c>
      <c r="E1446">
        <f>'Claims Data'!H1446</f>
        <v>3.2</v>
      </c>
      <c r="F1446">
        <f>'Claims Data'!J1446</f>
        <v>157.24</v>
      </c>
      <c r="G1446">
        <f>'Claims Data'!M1446</f>
        <v>0</v>
      </c>
      <c r="H1446" t="b">
        <f>'Claims Data'!L1446</f>
        <v>0</v>
      </c>
      <c r="I1446">
        <f t="shared" si="44"/>
        <v>0</v>
      </c>
      <c r="J1446" t="str">
        <f t="shared" si="45"/>
        <v>Low Risk</v>
      </c>
    </row>
    <row r="1447" spans="1:10" x14ac:dyDescent="0.2">
      <c r="A1447" t="str">
        <f>'Claims Data'!A1447</f>
        <v>CLM01446</v>
      </c>
      <c r="B1447" t="str">
        <f>'Claims Data'!B1447</f>
        <v>PAT0221</v>
      </c>
      <c r="C1447" t="str">
        <f>'Claims Data'!C1447</f>
        <v>PRV0059</v>
      </c>
      <c r="D1447" s="1">
        <f>'Claims Data'!D1447</f>
        <v>45048</v>
      </c>
      <c r="E1447">
        <f>'Claims Data'!H1447</f>
        <v>6</v>
      </c>
      <c r="F1447">
        <f>'Claims Data'!J1447</f>
        <v>347.12</v>
      </c>
      <c r="G1447">
        <f>'Claims Data'!M1447</f>
        <v>0</v>
      </c>
      <c r="H1447" t="b">
        <f>'Claims Data'!L1447</f>
        <v>0</v>
      </c>
      <c r="I1447">
        <f t="shared" si="44"/>
        <v>0</v>
      </c>
      <c r="J1447" t="str">
        <f t="shared" si="45"/>
        <v>Low Risk</v>
      </c>
    </row>
    <row r="1448" spans="1:10" x14ac:dyDescent="0.2">
      <c r="A1448" t="str">
        <f>'Claims Data'!A1448</f>
        <v>CLM01447</v>
      </c>
      <c r="B1448" t="str">
        <f>'Claims Data'!B1448</f>
        <v>PAT0178</v>
      </c>
      <c r="C1448" t="str">
        <f>'Claims Data'!C1448</f>
        <v>PRV0015</v>
      </c>
      <c r="D1448" s="1">
        <f>'Claims Data'!D1448</f>
        <v>45168</v>
      </c>
      <c r="E1448">
        <f>'Claims Data'!H1448</f>
        <v>5.5</v>
      </c>
      <c r="F1448">
        <f>'Claims Data'!J1448</f>
        <v>207.77</v>
      </c>
      <c r="G1448">
        <f>'Claims Data'!M1448</f>
        <v>0</v>
      </c>
      <c r="H1448" t="b">
        <f>'Claims Data'!L1448</f>
        <v>0</v>
      </c>
      <c r="I1448">
        <f t="shared" si="44"/>
        <v>0</v>
      </c>
      <c r="J1448" t="str">
        <f t="shared" si="45"/>
        <v>Low Risk</v>
      </c>
    </row>
    <row r="1449" spans="1:10" x14ac:dyDescent="0.2">
      <c r="A1449" t="str">
        <f>'Claims Data'!A1449</f>
        <v>CLM01448</v>
      </c>
      <c r="B1449" t="str">
        <f>'Claims Data'!B1449</f>
        <v>PAT0181</v>
      </c>
      <c r="C1449" t="str">
        <f>'Claims Data'!C1449</f>
        <v>PRV0010</v>
      </c>
      <c r="D1449" s="1">
        <f>'Claims Data'!D1449</f>
        <v>45059</v>
      </c>
      <c r="E1449">
        <f>'Claims Data'!H1449</f>
        <v>20.9</v>
      </c>
      <c r="F1449">
        <f>'Claims Data'!J1449</f>
        <v>1322.55</v>
      </c>
      <c r="G1449" t="str">
        <f>'Claims Data'!M1449</f>
        <v>inflated_hours</v>
      </c>
      <c r="H1449" t="b">
        <f>'Claims Data'!L1449</f>
        <v>1</v>
      </c>
      <c r="I1449">
        <f t="shared" si="44"/>
        <v>50</v>
      </c>
      <c r="J1449" t="str">
        <f t="shared" si="45"/>
        <v>Medium Risk</v>
      </c>
    </row>
    <row r="1450" spans="1:10" x14ac:dyDescent="0.2">
      <c r="A1450" t="str">
        <f>'Claims Data'!A1450</f>
        <v>CLM01449</v>
      </c>
      <c r="B1450" t="str">
        <f>'Claims Data'!B1450</f>
        <v>PAT0096</v>
      </c>
      <c r="C1450" t="str">
        <f>'Claims Data'!C1450</f>
        <v>PRV0010</v>
      </c>
      <c r="D1450" s="1">
        <f>'Claims Data'!D1450</f>
        <v>45254</v>
      </c>
      <c r="E1450">
        <f>'Claims Data'!H1450</f>
        <v>23.6</v>
      </c>
      <c r="F1450">
        <f>'Claims Data'!J1450</f>
        <v>1618.96</v>
      </c>
      <c r="G1450" t="str">
        <f>'Claims Data'!M1450</f>
        <v>inflated_hours</v>
      </c>
      <c r="H1450" t="b">
        <f>'Claims Data'!L1450</f>
        <v>1</v>
      </c>
      <c r="I1450">
        <f t="shared" si="44"/>
        <v>50</v>
      </c>
      <c r="J1450" t="str">
        <f t="shared" si="45"/>
        <v>Medium Risk</v>
      </c>
    </row>
    <row r="1451" spans="1:10" x14ac:dyDescent="0.2">
      <c r="A1451" t="str">
        <f>'Claims Data'!A1451</f>
        <v>CLM01450</v>
      </c>
      <c r="B1451" t="str">
        <f>'Claims Data'!B1451</f>
        <v>PAT0152</v>
      </c>
      <c r="C1451" t="str">
        <f>'Claims Data'!C1451</f>
        <v>PRV0021</v>
      </c>
      <c r="D1451" s="1">
        <f>'Claims Data'!D1451</f>
        <v>45481</v>
      </c>
      <c r="E1451">
        <f>'Claims Data'!H1451</f>
        <v>4.2</v>
      </c>
      <c r="F1451">
        <f>'Claims Data'!J1451</f>
        <v>142.22999999999999</v>
      </c>
      <c r="G1451">
        <f>'Claims Data'!M1451</f>
        <v>0</v>
      </c>
      <c r="H1451" t="b">
        <f>'Claims Data'!L1451</f>
        <v>0</v>
      </c>
      <c r="I1451">
        <f t="shared" si="44"/>
        <v>0</v>
      </c>
      <c r="J1451" t="str">
        <f t="shared" si="45"/>
        <v>Low Risk</v>
      </c>
    </row>
    <row r="1452" spans="1:10" x14ac:dyDescent="0.2">
      <c r="A1452" t="str">
        <f>'Claims Data'!A1452</f>
        <v>CLM01451</v>
      </c>
      <c r="B1452" t="str">
        <f>'Claims Data'!B1452</f>
        <v>PAT0297</v>
      </c>
      <c r="C1452" t="str">
        <f>'Claims Data'!C1452</f>
        <v>PRV0008</v>
      </c>
      <c r="D1452" s="1">
        <f>'Claims Data'!D1452</f>
        <v>44999</v>
      </c>
      <c r="E1452">
        <f>'Claims Data'!H1452</f>
        <v>7.1</v>
      </c>
      <c r="F1452">
        <f>'Claims Data'!J1452</f>
        <v>352.27</v>
      </c>
      <c r="G1452">
        <f>'Claims Data'!M1452</f>
        <v>0</v>
      </c>
      <c r="H1452" t="b">
        <f>'Claims Data'!L1452</f>
        <v>0</v>
      </c>
      <c r="I1452">
        <f t="shared" si="44"/>
        <v>0</v>
      </c>
      <c r="J1452" t="str">
        <f t="shared" si="45"/>
        <v>Low Risk</v>
      </c>
    </row>
    <row r="1453" spans="1:10" x14ac:dyDescent="0.2">
      <c r="A1453" t="str">
        <f>'Claims Data'!A1453</f>
        <v>CLM01452</v>
      </c>
      <c r="B1453" t="str">
        <f>'Claims Data'!B1453</f>
        <v>PAT0114</v>
      </c>
      <c r="C1453" t="str">
        <f>'Claims Data'!C1453</f>
        <v>PRV0051</v>
      </c>
      <c r="D1453" s="1">
        <f>'Claims Data'!D1453</f>
        <v>45540</v>
      </c>
      <c r="E1453">
        <f>'Claims Data'!H1453</f>
        <v>7.1</v>
      </c>
      <c r="F1453">
        <f>'Claims Data'!J1453</f>
        <v>291.20999999999998</v>
      </c>
      <c r="G1453">
        <f>'Claims Data'!M1453</f>
        <v>0</v>
      </c>
      <c r="H1453" t="b">
        <f>'Claims Data'!L1453</f>
        <v>0</v>
      </c>
      <c r="I1453">
        <f t="shared" si="44"/>
        <v>0</v>
      </c>
      <c r="J1453" t="str">
        <f t="shared" si="45"/>
        <v>Low Risk</v>
      </c>
    </row>
    <row r="1454" spans="1:10" x14ac:dyDescent="0.2">
      <c r="A1454" t="str">
        <f>'Claims Data'!A1454</f>
        <v>CLM01453</v>
      </c>
      <c r="B1454" t="str">
        <f>'Claims Data'!B1454</f>
        <v>PAT0211</v>
      </c>
      <c r="C1454" t="str">
        <f>'Claims Data'!C1454</f>
        <v>PRV0027</v>
      </c>
      <c r="D1454" s="1">
        <f>'Claims Data'!D1454</f>
        <v>45308</v>
      </c>
      <c r="E1454">
        <f>'Claims Data'!H1454</f>
        <v>3.5</v>
      </c>
      <c r="F1454">
        <f>'Claims Data'!J1454</f>
        <v>213.76</v>
      </c>
      <c r="G1454">
        <f>'Claims Data'!M1454</f>
        <v>0</v>
      </c>
      <c r="H1454" t="b">
        <f>'Claims Data'!L1454</f>
        <v>0</v>
      </c>
      <c r="I1454">
        <f t="shared" si="44"/>
        <v>0</v>
      </c>
      <c r="J1454" t="str">
        <f t="shared" si="45"/>
        <v>Low Risk</v>
      </c>
    </row>
    <row r="1455" spans="1:10" x14ac:dyDescent="0.2">
      <c r="A1455" t="str">
        <f>'Claims Data'!A1455</f>
        <v>CLM01454</v>
      </c>
      <c r="B1455" t="str">
        <f>'Claims Data'!B1455</f>
        <v>PAT0296</v>
      </c>
      <c r="C1455" t="str">
        <f>'Claims Data'!C1455</f>
        <v>PRV0038</v>
      </c>
      <c r="D1455" s="1">
        <f>'Claims Data'!D1455</f>
        <v>45521</v>
      </c>
      <c r="E1455">
        <f>'Claims Data'!H1455</f>
        <v>2.7</v>
      </c>
      <c r="F1455">
        <f>'Claims Data'!J1455</f>
        <v>98.59</v>
      </c>
      <c r="G1455">
        <f>'Claims Data'!M1455</f>
        <v>0</v>
      </c>
      <c r="H1455" t="b">
        <f>'Claims Data'!L1455</f>
        <v>0</v>
      </c>
      <c r="I1455">
        <f t="shared" si="44"/>
        <v>0</v>
      </c>
      <c r="J1455" t="str">
        <f t="shared" si="45"/>
        <v>Low Risk</v>
      </c>
    </row>
    <row r="1456" spans="1:10" x14ac:dyDescent="0.2">
      <c r="A1456" t="str">
        <f>'Claims Data'!A1456</f>
        <v>CLM01455</v>
      </c>
      <c r="B1456" t="str">
        <f>'Claims Data'!B1456</f>
        <v>PAT0209</v>
      </c>
      <c r="C1456" t="str">
        <f>'Claims Data'!C1456</f>
        <v>PRV0054</v>
      </c>
      <c r="D1456" s="1">
        <f>'Claims Data'!D1456</f>
        <v>45105</v>
      </c>
      <c r="E1456">
        <f>'Claims Data'!H1456</f>
        <v>4.8</v>
      </c>
      <c r="F1456">
        <f>'Claims Data'!J1456</f>
        <v>281.23</v>
      </c>
      <c r="G1456">
        <f>'Claims Data'!M1456</f>
        <v>0</v>
      </c>
      <c r="H1456" t="b">
        <f>'Claims Data'!L1456</f>
        <v>0</v>
      </c>
      <c r="I1456">
        <f t="shared" si="44"/>
        <v>0</v>
      </c>
      <c r="J1456" t="str">
        <f t="shared" si="45"/>
        <v>Low Risk</v>
      </c>
    </row>
    <row r="1457" spans="1:10" x14ac:dyDescent="0.2">
      <c r="A1457" t="str">
        <f>'Claims Data'!A1457</f>
        <v>CLM01456</v>
      </c>
      <c r="B1457" t="str">
        <f>'Claims Data'!B1457</f>
        <v>PAT0282</v>
      </c>
      <c r="C1457" t="str">
        <f>'Claims Data'!C1457</f>
        <v>PRV0051</v>
      </c>
      <c r="D1457" s="1">
        <f>'Claims Data'!D1457</f>
        <v>45620</v>
      </c>
      <c r="E1457">
        <f>'Claims Data'!H1457</f>
        <v>5.9</v>
      </c>
      <c r="F1457">
        <f>'Claims Data'!J1457</f>
        <v>160.6</v>
      </c>
      <c r="G1457">
        <f>'Claims Data'!M1457</f>
        <v>0</v>
      </c>
      <c r="H1457" t="b">
        <f>'Claims Data'!L1457</f>
        <v>0</v>
      </c>
      <c r="I1457">
        <f t="shared" si="44"/>
        <v>0</v>
      </c>
      <c r="J1457" t="str">
        <f t="shared" si="45"/>
        <v>Low Risk</v>
      </c>
    </row>
    <row r="1458" spans="1:10" x14ac:dyDescent="0.2">
      <c r="A1458" t="str">
        <f>'Claims Data'!A1458</f>
        <v>CLM01457</v>
      </c>
      <c r="B1458" t="str">
        <f>'Claims Data'!B1458</f>
        <v>PAT0164</v>
      </c>
      <c r="C1458" t="str">
        <f>'Claims Data'!C1458</f>
        <v>PRV0056</v>
      </c>
      <c r="D1458" s="1">
        <f>'Claims Data'!D1458</f>
        <v>45366</v>
      </c>
      <c r="E1458">
        <f>'Claims Data'!H1458</f>
        <v>2.8</v>
      </c>
      <c r="F1458">
        <f>'Claims Data'!J1458</f>
        <v>113.41</v>
      </c>
      <c r="G1458">
        <f>'Claims Data'!M1458</f>
        <v>0</v>
      </c>
      <c r="H1458" t="b">
        <f>'Claims Data'!L1458</f>
        <v>0</v>
      </c>
      <c r="I1458">
        <f t="shared" si="44"/>
        <v>0</v>
      </c>
      <c r="J1458" t="str">
        <f t="shared" si="45"/>
        <v>Low Risk</v>
      </c>
    </row>
    <row r="1459" spans="1:10" x14ac:dyDescent="0.2">
      <c r="A1459" t="str">
        <f>'Claims Data'!A1459</f>
        <v>CLM01458</v>
      </c>
      <c r="B1459" t="str">
        <f>'Claims Data'!B1459</f>
        <v>PAT0009</v>
      </c>
      <c r="C1459" t="str">
        <f>'Claims Data'!C1459</f>
        <v>PRV0026</v>
      </c>
      <c r="D1459" s="1">
        <f>'Claims Data'!D1459</f>
        <v>45441</v>
      </c>
      <c r="E1459">
        <f>'Claims Data'!H1459</f>
        <v>5.9</v>
      </c>
      <c r="F1459">
        <f>'Claims Data'!J1459</f>
        <v>162.44999999999999</v>
      </c>
      <c r="G1459">
        <f>'Claims Data'!M1459</f>
        <v>0</v>
      </c>
      <c r="H1459" t="b">
        <f>'Claims Data'!L1459</f>
        <v>0</v>
      </c>
      <c r="I1459">
        <f t="shared" si="44"/>
        <v>0</v>
      </c>
      <c r="J1459" t="str">
        <f t="shared" si="45"/>
        <v>Low Risk</v>
      </c>
    </row>
    <row r="1460" spans="1:10" x14ac:dyDescent="0.2">
      <c r="A1460" t="str">
        <f>'Claims Data'!A1460</f>
        <v>CLM01459</v>
      </c>
      <c r="B1460" t="str">
        <f>'Claims Data'!B1460</f>
        <v>PAT0205</v>
      </c>
      <c r="C1460" t="str">
        <f>'Claims Data'!C1460</f>
        <v>PRV0019</v>
      </c>
      <c r="D1460" s="1">
        <f>'Claims Data'!D1460</f>
        <v>45470</v>
      </c>
      <c r="E1460">
        <f>'Claims Data'!H1460</f>
        <v>6.7</v>
      </c>
      <c r="F1460">
        <f>'Claims Data'!J1460</f>
        <v>189.74</v>
      </c>
      <c r="G1460">
        <f>'Claims Data'!M1460</f>
        <v>0</v>
      </c>
      <c r="H1460" t="b">
        <f>'Claims Data'!L1460</f>
        <v>0</v>
      </c>
      <c r="I1460">
        <f t="shared" si="44"/>
        <v>0</v>
      </c>
      <c r="J1460" t="str">
        <f t="shared" si="45"/>
        <v>Low Risk</v>
      </c>
    </row>
    <row r="1461" spans="1:10" x14ac:dyDescent="0.2">
      <c r="A1461" t="str">
        <f>'Claims Data'!A1461</f>
        <v>CLM01460</v>
      </c>
      <c r="B1461" t="str">
        <f>'Claims Data'!B1461</f>
        <v>PAT0093</v>
      </c>
      <c r="C1461" t="str">
        <f>'Claims Data'!C1461</f>
        <v>PRV0027</v>
      </c>
      <c r="D1461" s="1">
        <f>'Claims Data'!D1461</f>
        <v>45370</v>
      </c>
      <c r="E1461">
        <f>'Claims Data'!H1461</f>
        <v>5.6</v>
      </c>
      <c r="F1461">
        <f>'Claims Data'!J1461</f>
        <v>431.37</v>
      </c>
      <c r="G1461">
        <f>'Claims Data'!M1461</f>
        <v>0</v>
      </c>
      <c r="H1461" t="b">
        <f>'Claims Data'!L1461</f>
        <v>0</v>
      </c>
      <c r="I1461">
        <f t="shared" si="44"/>
        <v>0</v>
      </c>
      <c r="J1461" t="str">
        <f t="shared" si="45"/>
        <v>Low Risk</v>
      </c>
    </row>
    <row r="1462" spans="1:10" x14ac:dyDescent="0.2">
      <c r="A1462" t="str">
        <f>'Claims Data'!A1462</f>
        <v>CLM01461</v>
      </c>
      <c r="B1462" t="str">
        <f>'Claims Data'!B1462</f>
        <v>PAT0210</v>
      </c>
      <c r="C1462" t="str">
        <f>'Claims Data'!C1462</f>
        <v>PRV0013</v>
      </c>
      <c r="D1462" s="1">
        <f>'Claims Data'!D1462</f>
        <v>45604</v>
      </c>
      <c r="E1462">
        <f>'Claims Data'!H1462</f>
        <v>19</v>
      </c>
      <c r="F1462">
        <f>'Claims Data'!J1462</f>
        <v>1484.66</v>
      </c>
      <c r="G1462" t="str">
        <f>'Claims Data'!M1462</f>
        <v>inflated_hours</v>
      </c>
      <c r="H1462" t="b">
        <f>'Claims Data'!L1462</f>
        <v>1</v>
      </c>
      <c r="I1462">
        <f t="shared" si="44"/>
        <v>50</v>
      </c>
      <c r="J1462" t="str">
        <f t="shared" si="45"/>
        <v>Medium Risk</v>
      </c>
    </row>
    <row r="1463" spans="1:10" x14ac:dyDescent="0.2">
      <c r="A1463" t="str">
        <f>'Claims Data'!A1463</f>
        <v>CLM01462</v>
      </c>
      <c r="B1463" t="str">
        <f>'Claims Data'!B1463</f>
        <v>PAT0059</v>
      </c>
      <c r="C1463" t="str">
        <f>'Claims Data'!C1463</f>
        <v>PRV0023</v>
      </c>
      <c r="D1463" s="1">
        <f>'Claims Data'!D1463</f>
        <v>45505</v>
      </c>
      <c r="E1463">
        <f>'Claims Data'!H1463</f>
        <v>3.4</v>
      </c>
      <c r="F1463">
        <f>'Claims Data'!J1463</f>
        <v>201.48</v>
      </c>
      <c r="G1463">
        <f>'Claims Data'!M1463</f>
        <v>0</v>
      </c>
      <c r="H1463" t="b">
        <f>'Claims Data'!L1463</f>
        <v>0</v>
      </c>
      <c r="I1463">
        <f t="shared" si="44"/>
        <v>0</v>
      </c>
      <c r="J1463" t="str">
        <f t="shared" si="45"/>
        <v>Low Risk</v>
      </c>
    </row>
    <row r="1464" spans="1:10" x14ac:dyDescent="0.2">
      <c r="A1464" t="str">
        <f>'Claims Data'!A1464</f>
        <v>CLM01463</v>
      </c>
      <c r="B1464" t="str">
        <f>'Claims Data'!B1464</f>
        <v>PAT0045</v>
      </c>
      <c r="C1464" t="str">
        <f>'Claims Data'!C1464</f>
        <v>PRV0055</v>
      </c>
      <c r="D1464" s="1">
        <f>'Claims Data'!D1464</f>
        <v>45339</v>
      </c>
      <c r="E1464">
        <f>'Claims Data'!H1464</f>
        <v>20.7</v>
      </c>
      <c r="F1464">
        <f>'Claims Data'!J1464</f>
        <v>1547.12</v>
      </c>
      <c r="G1464" t="str">
        <f>'Claims Data'!M1464</f>
        <v>inflated_hours</v>
      </c>
      <c r="H1464" t="b">
        <f>'Claims Data'!L1464</f>
        <v>1</v>
      </c>
      <c r="I1464">
        <f t="shared" si="44"/>
        <v>50</v>
      </c>
      <c r="J1464" t="str">
        <f t="shared" si="45"/>
        <v>Medium Risk</v>
      </c>
    </row>
    <row r="1465" spans="1:10" x14ac:dyDescent="0.2">
      <c r="A1465" t="str">
        <f>'Claims Data'!A1465</f>
        <v>CLM01464</v>
      </c>
      <c r="B1465" t="str">
        <f>'Claims Data'!B1465</f>
        <v>PAT0192</v>
      </c>
      <c r="C1465" t="str">
        <f>'Claims Data'!C1465</f>
        <v>PRV0024</v>
      </c>
      <c r="D1465" s="1">
        <f>'Claims Data'!D1465</f>
        <v>45550</v>
      </c>
      <c r="E1465">
        <f>'Claims Data'!H1465</f>
        <v>5</v>
      </c>
      <c r="F1465">
        <f>'Claims Data'!J1465</f>
        <v>152.07</v>
      </c>
      <c r="G1465" t="str">
        <f>'Claims Data'!M1465</f>
        <v>duplicate_claim</v>
      </c>
      <c r="H1465" t="b">
        <f>'Claims Data'!L1465</f>
        <v>1</v>
      </c>
      <c r="I1465">
        <f t="shared" si="44"/>
        <v>10</v>
      </c>
      <c r="J1465" t="str">
        <f t="shared" si="45"/>
        <v>Low Risk</v>
      </c>
    </row>
    <row r="1466" spans="1:10" x14ac:dyDescent="0.2">
      <c r="A1466" t="str">
        <f>'Claims Data'!A1466</f>
        <v>CLM01465</v>
      </c>
      <c r="B1466" t="str">
        <f>'Claims Data'!B1466</f>
        <v>PAT0110</v>
      </c>
      <c r="C1466" t="str">
        <f>'Claims Data'!C1466</f>
        <v>PRV0043</v>
      </c>
      <c r="D1466" s="1">
        <f>'Claims Data'!D1466</f>
        <v>44930</v>
      </c>
      <c r="E1466">
        <f>'Claims Data'!H1466</f>
        <v>6.6</v>
      </c>
      <c r="F1466">
        <f>'Claims Data'!J1466</f>
        <v>289.11</v>
      </c>
      <c r="G1466">
        <f>'Claims Data'!M1466</f>
        <v>0</v>
      </c>
      <c r="H1466" t="b">
        <f>'Claims Data'!L1466</f>
        <v>0</v>
      </c>
      <c r="I1466">
        <f t="shared" si="44"/>
        <v>0</v>
      </c>
      <c r="J1466" t="str">
        <f t="shared" si="45"/>
        <v>Low Risk</v>
      </c>
    </row>
    <row r="1467" spans="1:10" x14ac:dyDescent="0.2">
      <c r="A1467" t="str">
        <f>'Claims Data'!A1467</f>
        <v>CLM01466</v>
      </c>
      <c r="B1467" t="str">
        <f>'Claims Data'!B1467</f>
        <v>PAT0197</v>
      </c>
      <c r="C1467" t="str">
        <f>'Claims Data'!C1467</f>
        <v>PRV0005</v>
      </c>
      <c r="D1467" s="1">
        <f>'Claims Data'!D1467</f>
        <v>45314</v>
      </c>
      <c r="E1467">
        <f>'Claims Data'!H1467</f>
        <v>6.8</v>
      </c>
      <c r="F1467">
        <f>'Claims Data'!J1467</f>
        <v>473.54</v>
      </c>
      <c r="G1467">
        <f>'Claims Data'!M1467</f>
        <v>0</v>
      </c>
      <c r="H1467" t="b">
        <f>'Claims Data'!L1467</f>
        <v>0</v>
      </c>
      <c r="I1467">
        <f t="shared" si="44"/>
        <v>0</v>
      </c>
      <c r="J1467" t="str">
        <f t="shared" si="45"/>
        <v>Low Risk</v>
      </c>
    </row>
    <row r="1468" spans="1:10" x14ac:dyDescent="0.2">
      <c r="A1468" t="str">
        <f>'Claims Data'!A1468</f>
        <v>CLM01467</v>
      </c>
      <c r="B1468" t="str">
        <f>'Claims Data'!B1468</f>
        <v>PAT0183</v>
      </c>
      <c r="C1468" t="str">
        <f>'Claims Data'!C1468</f>
        <v>PRV0007</v>
      </c>
      <c r="D1468" s="1">
        <f>'Claims Data'!D1468</f>
        <v>45553</v>
      </c>
      <c r="E1468">
        <f>'Claims Data'!H1468</f>
        <v>2.9</v>
      </c>
      <c r="F1468">
        <f>'Claims Data'!J1468</f>
        <v>102.98</v>
      </c>
      <c r="G1468">
        <f>'Claims Data'!M1468</f>
        <v>0</v>
      </c>
      <c r="H1468" t="b">
        <f>'Claims Data'!L1468</f>
        <v>0</v>
      </c>
      <c r="I1468">
        <f t="shared" si="44"/>
        <v>0</v>
      </c>
      <c r="J1468" t="str">
        <f t="shared" si="45"/>
        <v>Low Risk</v>
      </c>
    </row>
    <row r="1469" spans="1:10" x14ac:dyDescent="0.2">
      <c r="A1469" t="str">
        <f>'Claims Data'!A1469</f>
        <v>CLM01468</v>
      </c>
      <c r="B1469" t="str">
        <f>'Claims Data'!B1469</f>
        <v>PAT0113</v>
      </c>
      <c r="C1469" t="str">
        <f>'Claims Data'!C1469</f>
        <v>PRV0025</v>
      </c>
      <c r="D1469" s="1">
        <f>'Claims Data'!D1469</f>
        <v>45565</v>
      </c>
      <c r="E1469">
        <f>'Claims Data'!H1469</f>
        <v>4.5</v>
      </c>
      <c r="F1469">
        <f>'Claims Data'!J1469</f>
        <v>345.48</v>
      </c>
      <c r="G1469">
        <f>'Claims Data'!M1469</f>
        <v>0</v>
      </c>
      <c r="H1469" t="b">
        <f>'Claims Data'!L1469</f>
        <v>0</v>
      </c>
      <c r="I1469">
        <f t="shared" si="44"/>
        <v>0</v>
      </c>
      <c r="J1469" t="str">
        <f t="shared" si="45"/>
        <v>Low Risk</v>
      </c>
    </row>
    <row r="1470" spans="1:10" x14ac:dyDescent="0.2">
      <c r="A1470" t="str">
        <f>'Claims Data'!A1470</f>
        <v>CLM01469</v>
      </c>
      <c r="B1470" t="str">
        <f>'Claims Data'!B1470</f>
        <v>PAT0056</v>
      </c>
      <c r="C1470" t="str">
        <f>'Claims Data'!C1470</f>
        <v>PRV0046</v>
      </c>
      <c r="D1470" s="1">
        <f>'Claims Data'!D1470</f>
        <v>45505</v>
      </c>
      <c r="E1470">
        <f>'Claims Data'!H1470</f>
        <v>5.2</v>
      </c>
      <c r="F1470">
        <f>'Claims Data'!J1470</f>
        <v>348.28</v>
      </c>
      <c r="G1470">
        <f>'Claims Data'!M1470</f>
        <v>0</v>
      </c>
      <c r="H1470" t="b">
        <f>'Claims Data'!L1470</f>
        <v>0</v>
      </c>
      <c r="I1470">
        <f t="shared" si="44"/>
        <v>0</v>
      </c>
      <c r="J1470" t="str">
        <f t="shared" si="45"/>
        <v>Low Risk</v>
      </c>
    </row>
    <row r="1471" spans="1:10" x14ac:dyDescent="0.2">
      <c r="A1471" t="str">
        <f>'Claims Data'!A1471</f>
        <v>CLM01470</v>
      </c>
      <c r="B1471" t="str">
        <f>'Claims Data'!B1471</f>
        <v>PAT0033</v>
      </c>
      <c r="C1471" t="str">
        <f>'Claims Data'!C1471</f>
        <v>PRV0003</v>
      </c>
      <c r="D1471" s="1">
        <f>'Claims Data'!D1471</f>
        <v>44976</v>
      </c>
      <c r="E1471">
        <f>'Claims Data'!H1471</f>
        <v>5.3</v>
      </c>
      <c r="F1471">
        <f>'Claims Data'!J1471</f>
        <v>283.5</v>
      </c>
      <c r="G1471">
        <f>'Claims Data'!M1471</f>
        <v>0</v>
      </c>
      <c r="H1471" t="b">
        <f>'Claims Data'!L1471</f>
        <v>0</v>
      </c>
      <c r="I1471">
        <f t="shared" si="44"/>
        <v>0</v>
      </c>
      <c r="J1471" t="str">
        <f t="shared" si="45"/>
        <v>Low Risk</v>
      </c>
    </row>
    <row r="1472" spans="1:10" x14ac:dyDescent="0.2">
      <c r="A1472" t="str">
        <f>'Claims Data'!A1472</f>
        <v>CLM01471</v>
      </c>
      <c r="B1472" t="str">
        <f>'Claims Data'!B1472</f>
        <v>PAT0014</v>
      </c>
      <c r="C1472" t="str">
        <f>'Claims Data'!C1472</f>
        <v>PRV0029</v>
      </c>
      <c r="D1472" s="1">
        <f>'Claims Data'!D1472</f>
        <v>45157</v>
      </c>
      <c r="E1472">
        <f>'Claims Data'!H1472</f>
        <v>7.3</v>
      </c>
      <c r="F1472">
        <f>'Claims Data'!J1472</f>
        <v>592.89</v>
      </c>
      <c r="G1472">
        <f>'Claims Data'!M1472</f>
        <v>0</v>
      </c>
      <c r="H1472" t="b">
        <f>'Claims Data'!L1472</f>
        <v>0</v>
      </c>
      <c r="I1472">
        <f t="shared" si="44"/>
        <v>0</v>
      </c>
      <c r="J1472" t="str">
        <f t="shared" si="45"/>
        <v>Low Risk</v>
      </c>
    </row>
    <row r="1473" spans="1:10" x14ac:dyDescent="0.2">
      <c r="A1473" t="str">
        <f>'Claims Data'!A1473</f>
        <v>CLM01472</v>
      </c>
      <c r="B1473" t="str">
        <f>'Claims Data'!B1473</f>
        <v>PAT0023</v>
      </c>
      <c r="C1473" t="str">
        <f>'Claims Data'!C1473</f>
        <v>PRV0049</v>
      </c>
      <c r="D1473" s="1">
        <f>'Claims Data'!D1473</f>
        <v>45538</v>
      </c>
      <c r="E1473">
        <f>'Claims Data'!H1473</f>
        <v>17.8</v>
      </c>
      <c r="F1473">
        <f>'Claims Data'!J1473</f>
        <v>1322.18</v>
      </c>
      <c r="G1473" t="str">
        <f>'Claims Data'!M1473</f>
        <v>inflated_hours</v>
      </c>
      <c r="H1473" t="b">
        <f>'Claims Data'!L1473</f>
        <v>1</v>
      </c>
      <c r="I1473">
        <f t="shared" si="44"/>
        <v>50</v>
      </c>
      <c r="J1473" t="str">
        <f t="shared" si="45"/>
        <v>Medium Risk</v>
      </c>
    </row>
    <row r="1474" spans="1:10" x14ac:dyDescent="0.2">
      <c r="A1474" t="str">
        <f>'Claims Data'!A1474</f>
        <v>CLM01473</v>
      </c>
      <c r="B1474" t="str">
        <f>'Claims Data'!B1474</f>
        <v>PAT0043</v>
      </c>
      <c r="C1474" t="str">
        <f>'Claims Data'!C1474</f>
        <v>PRV0016</v>
      </c>
      <c r="D1474" s="1">
        <f>'Claims Data'!D1474</f>
        <v>45516</v>
      </c>
      <c r="E1474">
        <f>'Claims Data'!H1474</f>
        <v>7</v>
      </c>
      <c r="F1474">
        <f>'Claims Data'!J1474</f>
        <v>453.13</v>
      </c>
      <c r="G1474">
        <f>'Claims Data'!M1474</f>
        <v>0</v>
      </c>
      <c r="H1474" t="b">
        <f>'Claims Data'!L1474</f>
        <v>0</v>
      </c>
      <c r="I1474">
        <f t="shared" si="44"/>
        <v>0</v>
      </c>
      <c r="J1474" t="str">
        <f t="shared" si="45"/>
        <v>Low Risk</v>
      </c>
    </row>
    <row r="1475" spans="1:10" x14ac:dyDescent="0.2">
      <c r="A1475" t="str">
        <f>'Claims Data'!A1475</f>
        <v>CLM01474</v>
      </c>
      <c r="B1475" t="str">
        <f>'Claims Data'!B1475</f>
        <v>PAT0139</v>
      </c>
      <c r="C1475" t="str">
        <f>'Claims Data'!C1475</f>
        <v>PRV0039</v>
      </c>
      <c r="D1475" s="1">
        <f>'Claims Data'!D1475</f>
        <v>45546</v>
      </c>
      <c r="E1475">
        <f>'Claims Data'!H1475</f>
        <v>3.5</v>
      </c>
      <c r="F1475">
        <f>'Claims Data'!J1475</f>
        <v>168.28</v>
      </c>
      <c r="G1475">
        <f>'Claims Data'!M1475</f>
        <v>0</v>
      </c>
      <c r="H1475" t="b">
        <f>'Claims Data'!L1475</f>
        <v>0</v>
      </c>
      <c r="I1475">
        <f t="shared" ref="I1475:I1538" si="46">IF(E1475&gt;16,40,0)+IF(MOD(F1475,250)=0,30,0)+IF(H1475=TRUE,10,0)</f>
        <v>0</v>
      </c>
      <c r="J1475" t="str">
        <f t="shared" ref="J1475:J1538" si="47">IF(I1475&gt;=70,"High Risk",IF(I1475&gt;=30,"Medium Risk","Low Risk"))</f>
        <v>Low Risk</v>
      </c>
    </row>
    <row r="1476" spans="1:10" x14ac:dyDescent="0.2">
      <c r="A1476" t="str">
        <f>'Claims Data'!A1476</f>
        <v>CLM01475</v>
      </c>
      <c r="B1476" t="str">
        <f>'Claims Data'!B1476</f>
        <v>PAT0269</v>
      </c>
      <c r="C1476" t="str">
        <f>'Claims Data'!C1476</f>
        <v>PRV0033</v>
      </c>
      <c r="D1476" s="1">
        <f>'Claims Data'!D1476</f>
        <v>45470</v>
      </c>
      <c r="E1476">
        <f>'Claims Data'!H1476</f>
        <v>7.4</v>
      </c>
      <c r="F1476">
        <f>'Claims Data'!J1476</f>
        <v>489.25</v>
      </c>
      <c r="G1476">
        <f>'Claims Data'!M1476</f>
        <v>0</v>
      </c>
      <c r="H1476" t="b">
        <f>'Claims Data'!L1476</f>
        <v>0</v>
      </c>
      <c r="I1476">
        <f t="shared" si="46"/>
        <v>0</v>
      </c>
      <c r="J1476" t="str">
        <f t="shared" si="47"/>
        <v>Low Risk</v>
      </c>
    </row>
    <row r="1477" spans="1:10" x14ac:dyDescent="0.2">
      <c r="A1477" t="str">
        <f>'Claims Data'!A1477</f>
        <v>CLM01476</v>
      </c>
      <c r="B1477" t="str">
        <f>'Claims Data'!B1477</f>
        <v>PAT0142</v>
      </c>
      <c r="C1477" t="str">
        <f>'Claims Data'!C1477</f>
        <v>PRV0029</v>
      </c>
      <c r="D1477" s="1">
        <f>'Claims Data'!D1477</f>
        <v>45120</v>
      </c>
      <c r="E1477">
        <f>'Claims Data'!H1477</f>
        <v>7.1</v>
      </c>
      <c r="F1477">
        <f>'Claims Data'!J1477</f>
        <v>342.99</v>
      </c>
      <c r="G1477">
        <f>'Claims Data'!M1477</f>
        <v>0</v>
      </c>
      <c r="H1477" t="b">
        <f>'Claims Data'!L1477</f>
        <v>0</v>
      </c>
      <c r="I1477">
        <f t="shared" si="46"/>
        <v>0</v>
      </c>
      <c r="J1477" t="str">
        <f t="shared" si="47"/>
        <v>Low Risk</v>
      </c>
    </row>
    <row r="1478" spans="1:10" x14ac:dyDescent="0.2">
      <c r="A1478" t="str">
        <f>'Claims Data'!A1478</f>
        <v>CLM01477</v>
      </c>
      <c r="B1478" t="str">
        <f>'Claims Data'!B1478</f>
        <v>PAT0154</v>
      </c>
      <c r="C1478" t="str">
        <f>'Claims Data'!C1478</f>
        <v>PRV0031</v>
      </c>
      <c r="D1478" s="1">
        <f>'Claims Data'!D1478</f>
        <v>45089</v>
      </c>
      <c r="E1478">
        <f>'Claims Data'!H1478</f>
        <v>3.8</v>
      </c>
      <c r="F1478">
        <f>'Claims Data'!J1478</f>
        <v>308.48</v>
      </c>
      <c r="G1478">
        <f>'Claims Data'!M1478</f>
        <v>0</v>
      </c>
      <c r="H1478" t="b">
        <f>'Claims Data'!L1478</f>
        <v>0</v>
      </c>
      <c r="I1478">
        <f t="shared" si="46"/>
        <v>0</v>
      </c>
      <c r="J1478" t="str">
        <f t="shared" si="47"/>
        <v>Low Risk</v>
      </c>
    </row>
    <row r="1479" spans="1:10" x14ac:dyDescent="0.2">
      <c r="A1479" t="str">
        <f>'Claims Data'!A1479</f>
        <v>CLM01478</v>
      </c>
      <c r="B1479" t="str">
        <f>'Claims Data'!B1479</f>
        <v>PAT0024</v>
      </c>
      <c r="C1479" t="str">
        <f>'Claims Data'!C1479</f>
        <v>PRV0035</v>
      </c>
      <c r="D1479" s="1">
        <f>'Claims Data'!D1479</f>
        <v>45369</v>
      </c>
      <c r="E1479">
        <f>'Claims Data'!H1479</f>
        <v>3.3</v>
      </c>
      <c r="F1479">
        <f>'Claims Data'!J1479</f>
        <v>258.77</v>
      </c>
      <c r="G1479">
        <f>'Claims Data'!M1479</f>
        <v>0</v>
      </c>
      <c r="H1479" t="b">
        <f>'Claims Data'!L1479</f>
        <v>0</v>
      </c>
      <c r="I1479">
        <f t="shared" si="46"/>
        <v>0</v>
      </c>
      <c r="J1479" t="str">
        <f t="shared" si="47"/>
        <v>Low Risk</v>
      </c>
    </row>
    <row r="1480" spans="1:10" x14ac:dyDescent="0.2">
      <c r="A1480" t="str">
        <f>'Claims Data'!A1480</f>
        <v>CLM01479</v>
      </c>
      <c r="B1480" t="str">
        <f>'Claims Data'!B1480</f>
        <v>PAT0121</v>
      </c>
      <c r="C1480" t="str">
        <f>'Claims Data'!C1480</f>
        <v>PRV0002</v>
      </c>
      <c r="D1480" s="1">
        <f>'Claims Data'!D1480</f>
        <v>45086</v>
      </c>
      <c r="E1480">
        <f>'Claims Data'!H1480</f>
        <v>7.3</v>
      </c>
      <c r="F1480">
        <f>'Claims Data'!J1480</f>
        <v>518.33000000000004</v>
      </c>
      <c r="G1480">
        <f>'Claims Data'!M1480</f>
        <v>0</v>
      </c>
      <c r="H1480" t="b">
        <f>'Claims Data'!L1480</f>
        <v>0</v>
      </c>
      <c r="I1480">
        <f t="shared" si="46"/>
        <v>0</v>
      </c>
      <c r="J1480" t="str">
        <f t="shared" si="47"/>
        <v>Low Risk</v>
      </c>
    </row>
    <row r="1481" spans="1:10" x14ac:dyDescent="0.2">
      <c r="A1481" t="str">
        <f>'Claims Data'!A1481</f>
        <v>CLM01480</v>
      </c>
      <c r="B1481" t="str">
        <f>'Claims Data'!B1481</f>
        <v>PAT0275</v>
      </c>
      <c r="C1481" t="str">
        <f>'Claims Data'!C1481</f>
        <v>PRV0048</v>
      </c>
      <c r="D1481" s="1">
        <f>'Claims Data'!D1481</f>
        <v>45232</v>
      </c>
      <c r="E1481">
        <f>'Claims Data'!H1481</f>
        <v>83.9</v>
      </c>
      <c r="F1481">
        <f>'Claims Data'!J1481</f>
        <v>2500</v>
      </c>
      <c r="G1481" t="str">
        <f>'Claims Data'!M1481</f>
        <v>phantom_round_amount</v>
      </c>
      <c r="H1481" t="b">
        <f>'Claims Data'!L1481</f>
        <v>1</v>
      </c>
      <c r="I1481">
        <f t="shared" si="46"/>
        <v>80</v>
      </c>
      <c r="J1481" t="str">
        <f t="shared" si="47"/>
        <v>High Risk</v>
      </c>
    </row>
    <row r="1482" spans="1:10" x14ac:dyDescent="0.2">
      <c r="A1482" t="str">
        <f>'Claims Data'!A1482</f>
        <v>CLM01481</v>
      </c>
      <c r="B1482" t="str">
        <f>'Claims Data'!B1482</f>
        <v>PAT0001</v>
      </c>
      <c r="C1482" t="str">
        <f>'Claims Data'!C1482</f>
        <v>PRV0012</v>
      </c>
      <c r="D1482" s="1">
        <f>'Claims Data'!D1482</f>
        <v>45175</v>
      </c>
      <c r="E1482">
        <f>'Claims Data'!H1482</f>
        <v>6.4</v>
      </c>
      <c r="F1482">
        <f>'Claims Data'!J1482</f>
        <v>515.77</v>
      </c>
      <c r="G1482">
        <f>'Claims Data'!M1482</f>
        <v>0</v>
      </c>
      <c r="H1482" t="b">
        <f>'Claims Data'!L1482</f>
        <v>0</v>
      </c>
      <c r="I1482">
        <f t="shared" si="46"/>
        <v>0</v>
      </c>
      <c r="J1482" t="str">
        <f t="shared" si="47"/>
        <v>Low Risk</v>
      </c>
    </row>
    <row r="1483" spans="1:10" x14ac:dyDescent="0.2">
      <c r="A1483" t="str">
        <f>'Claims Data'!A1483</f>
        <v>CLM01482</v>
      </c>
      <c r="B1483" t="str">
        <f>'Claims Data'!B1483</f>
        <v>PAT0256</v>
      </c>
      <c r="C1483" t="str">
        <f>'Claims Data'!C1483</f>
        <v>PRV0003</v>
      </c>
      <c r="D1483" s="1">
        <f>'Claims Data'!D1483</f>
        <v>45395</v>
      </c>
      <c r="E1483">
        <f>'Claims Data'!H1483</f>
        <v>7.3</v>
      </c>
      <c r="F1483">
        <f>'Claims Data'!J1483</f>
        <v>541.77</v>
      </c>
      <c r="G1483">
        <f>'Claims Data'!M1483</f>
        <v>0</v>
      </c>
      <c r="H1483" t="b">
        <f>'Claims Data'!L1483</f>
        <v>0</v>
      </c>
      <c r="I1483">
        <f t="shared" si="46"/>
        <v>0</v>
      </c>
      <c r="J1483" t="str">
        <f t="shared" si="47"/>
        <v>Low Risk</v>
      </c>
    </row>
    <row r="1484" spans="1:10" x14ac:dyDescent="0.2">
      <c r="A1484" t="str">
        <f>'Claims Data'!A1484</f>
        <v>CLM01483</v>
      </c>
      <c r="B1484" t="str">
        <f>'Claims Data'!B1484</f>
        <v>PAT0105</v>
      </c>
      <c r="C1484" t="str">
        <f>'Claims Data'!C1484</f>
        <v>PRV0039</v>
      </c>
      <c r="D1484" s="1">
        <f>'Claims Data'!D1484</f>
        <v>45043</v>
      </c>
      <c r="E1484">
        <f>'Claims Data'!H1484</f>
        <v>5</v>
      </c>
      <c r="F1484">
        <f>'Claims Data'!J1484</f>
        <v>230.56</v>
      </c>
      <c r="G1484">
        <f>'Claims Data'!M1484</f>
        <v>0</v>
      </c>
      <c r="H1484" t="b">
        <f>'Claims Data'!L1484</f>
        <v>0</v>
      </c>
      <c r="I1484">
        <f t="shared" si="46"/>
        <v>0</v>
      </c>
      <c r="J1484" t="str">
        <f t="shared" si="47"/>
        <v>Low Risk</v>
      </c>
    </row>
    <row r="1485" spans="1:10" x14ac:dyDescent="0.2">
      <c r="A1485" t="str">
        <f>'Claims Data'!A1485</f>
        <v>CLM01484</v>
      </c>
      <c r="B1485" t="str">
        <f>'Claims Data'!B1485</f>
        <v>PAT0148</v>
      </c>
      <c r="C1485" t="str">
        <f>'Claims Data'!C1485</f>
        <v>PRV0015</v>
      </c>
      <c r="D1485" s="1">
        <f>'Claims Data'!D1485</f>
        <v>45605</v>
      </c>
      <c r="E1485">
        <f>'Claims Data'!H1485</f>
        <v>4.7</v>
      </c>
      <c r="F1485">
        <f>'Claims Data'!J1485</f>
        <v>125.21</v>
      </c>
      <c r="G1485">
        <f>'Claims Data'!M1485</f>
        <v>0</v>
      </c>
      <c r="H1485" t="b">
        <f>'Claims Data'!L1485</f>
        <v>0</v>
      </c>
      <c r="I1485">
        <f t="shared" si="46"/>
        <v>0</v>
      </c>
      <c r="J1485" t="str">
        <f t="shared" si="47"/>
        <v>Low Risk</v>
      </c>
    </row>
    <row r="1486" spans="1:10" x14ac:dyDescent="0.2">
      <c r="A1486" t="str">
        <f>'Claims Data'!A1486</f>
        <v>CLM01485</v>
      </c>
      <c r="B1486" t="str">
        <f>'Claims Data'!B1486</f>
        <v>PAT0254</v>
      </c>
      <c r="C1486" t="str">
        <f>'Claims Data'!C1486</f>
        <v>PRV0003</v>
      </c>
      <c r="D1486" s="1">
        <f>'Claims Data'!D1486</f>
        <v>45222</v>
      </c>
      <c r="E1486">
        <f>'Claims Data'!H1486</f>
        <v>5.8</v>
      </c>
      <c r="F1486">
        <f>'Claims Data'!J1486</f>
        <v>420.27</v>
      </c>
      <c r="G1486">
        <f>'Claims Data'!M1486</f>
        <v>0</v>
      </c>
      <c r="H1486" t="b">
        <f>'Claims Data'!L1486</f>
        <v>0</v>
      </c>
      <c r="I1486">
        <f t="shared" si="46"/>
        <v>0</v>
      </c>
      <c r="J1486" t="str">
        <f t="shared" si="47"/>
        <v>Low Risk</v>
      </c>
    </row>
    <row r="1487" spans="1:10" x14ac:dyDescent="0.2">
      <c r="A1487" t="str">
        <f>'Claims Data'!A1487</f>
        <v>CLM01486</v>
      </c>
      <c r="B1487" t="str">
        <f>'Claims Data'!B1487</f>
        <v>PAT0128</v>
      </c>
      <c r="C1487" t="str">
        <f>'Claims Data'!C1487</f>
        <v>PRV0056</v>
      </c>
      <c r="D1487" s="1">
        <f>'Claims Data'!D1487</f>
        <v>45096</v>
      </c>
      <c r="E1487">
        <f>'Claims Data'!H1487</f>
        <v>20.3</v>
      </c>
      <c r="F1487">
        <f>'Claims Data'!J1487</f>
        <v>1272.81</v>
      </c>
      <c r="G1487" t="str">
        <f>'Claims Data'!M1487</f>
        <v>inflated_hours</v>
      </c>
      <c r="H1487" t="b">
        <f>'Claims Data'!L1487</f>
        <v>1</v>
      </c>
      <c r="I1487">
        <f t="shared" si="46"/>
        <v>50</v>
      </c>
      <c r="J1487" t="str">
        <f t="shared" si="47"/>
        <v>Medium Risk</v>
      </c>
    </row>
    <row r="1488" spans="1:10" x14ac:dyDescent="0.2">
      <c r="A1488" t="str">
        <f>'Claims Data'!A1488</f>
        <v>CLM01487</v>
      </c>
      <c r="B1488" t="str">
        <f>'Claims Data'!B1488</f>
        <v>PAT0083</v>
      </c>
      <c r="C1488" t="str">
        <f>'Claims Data'!C1488</f>
        <v>PRV0035</v>
      </c>
      <c r="D1488" s="1">
        <f>'Claims Data'!D1488</f>
        <v>45482</v>
      </c>
      <c r="E1488">
        <f>'Claims Data'!H1488</f>
        <v>2.7</v>
      </c>
      <c r="F1488">
        <f>'Claims Data'!J1488</f>
        <v>107.94</v>
      </c>
      <c r="G1488">
        <f>'Claims Data'!M1488</f>
        <v>0</v>
      </c>
      <c r="H1488" t="b">
        <f>'Claims Data'!L1488</f>
        <v>0</v>
      </c>
      <c r="I1488">
        <f t="shared" si="46"/>
        <v>0</v>
      </c>
      <c r="J1488" t="str">
        <f t="shared" si="47"/>
        <v>Low Risk</v>
      </c>
    </row>
    <row r="1489" spans="1:10" x14ac:dyDescent="0.2">
      <c r="A1489" t="str">
        <f>'Claims Data'!A1489</f>
        <v>CLM01488</v>
      </c>
      <c r="B1489" t="str">
        <f>'Claims Data'!B1489</f>
        <v>PAT0083</v>
      </c>
      <c r="C1489" t="str">
        <f>'Claims Data'!C1489</f>
        <v>PRV0038</v>
      </c>
      <c r="D1489" s="1">
        <f>'Claims Data'!D1489</f>
        <v>45260</v>
      </c>
      <c r="E1489">
        <f>'Claims Data'!H1489</f>
        <v>7.1</v>
      </c>
      <c r="F1489">
        <f>'Claims Data'!J1489</f>
        <v>469.63</v>
      </c>
      <c r="G1489">
        <f>'Claims Data'!M1489</f>
        <v>0</v>
      </c>
      <c r="H1489" t="b">
        <f>'Claims Data'!L1489</f>
        <v>0</v>
      </c>
      <c r="I1489">
        <f t="shared" si="46"/>
        <v>0</v>
      </c>
      <c r="J1489" t="str">
        <f t="shared" si="47"/>
        <v>Low Risk</v>
      </c>
    </row>
    <row r="1490" spans="1:10" x14ac:dyDescent="0.2">
      <c r="A1490" t="str">
        <f>'Claims Data'!A1490</f>
        <v>CLM01489</v>
      </c>
      <c r="B1490" t="str">
        <f>'Claims Data'!B1490</f>
        <v>PAT0247</v>
      </c>
      <c r="C1490" t="str">
        <f>'Claims Data'!C1490</f>
        <v>PRV0042</v>
      </c>
      <c r="D1490" s="1">
        <f>'Claims Data'!D1490</f>
        <v>45566</v>
      </c>
      <c r="E1490">
        <f>'Claims Data'!H1490</f>
        <v>4.9000000000000004</v>
      </c>
      <c r="F1490">
        <f>'Claims Data'!J1490</f>
        <v>338.64</v>
      </c>
      <c r="G1490">
        <f>'Claims Data'!M1490</f>
        <v>0</v>
      </c>
      <c r="H1490" t="b">
        <f>'Claims Data'!L1490</f>
        <v>0</v>
      </c>
      <c r="I1490">
        <f t="shared" si="46"/>
        <v>0</v>
      </c>
      <c r="J1490" t="str">
        <f t="shared" si="47"/>
        <v>Low Risk</v>
      </c>
    </row>
    <row r="1491" spans="1:10" x14ac:dyDescent="0.2">
      <c r="A1491" t="str">
        <f>'Claims Data'!A1491</f>
        <v>CLM01490</v>
      </c>
      <c r="B1491" t="str">
        <f>'Claims Data'!B1491</f>
        <v>PAT0134</v>
      </c>
      <c r="C1491" t="str">
        <f>'Claims Data'!C1491</f>
        <v>PRV0013</v>
      </c>
      <c r="D1491" s="1">
        <f>'Claims Data'!D1491</f>
        <v>45604</v>
      </c>
      <c r="E1491">
        <f>'Claims Data'!H1491</f>
        <v>6.1</v>
      </c>
      <c r="F1491">
        <f>'Claims Data'!J1491</f>
        <v>455.1</v>
      </c>
      <c r="G1491">
        <f>'Claims Data'!M1491</f>
        <v>0</v>
      </c>
      <c r="H1491" t="b">
        <f>'Claims Data'!L1491</f>
        <v>0</v>
      </c>
      <c r="I1491">
        <f t="shared" si="46"/>
        <v>0</v>
      </c>
      <c r="J1491" t="str">
        <f t="shared" si="47"/>
        <v>Low Risk</v>
      </c>
    </row>
    <row r="1492" spans="1:10" x14ac:dyDescent="0.2">
      <c r="A1492" t="str">
        <f>'Claims Data'!A1492</f>
        <v>CLM01491</v>
      </c>
      <c r="B1492" t="str">
        <f>'Claims Data'!B1492</f>
        <v>PAT0041</v>
      </c>
      <c r="C1492" t="str">
        <f>'Claims Data'!C1492</f>
        <v>PRV0042</v>
      </c>
      <c r="D1492" s="1">
        <f>'Claims Data'!D1492</f>
        <v>45120</v>
      </c>
      <c r="E1492">
        <f>'Claims Data'!H1492</f>
        <v>2.5</v>
      </c>
      <c r="F1492">
        <f>'Claims Data'!J1492</f>
        <v>117.64</v>
      </c>
      <c r="G1492">
        <f>'Claims Data'!M1492</f>
        <v>0</v>
      </c>
      <c r="H1492" t="b">
        <f>'Claims Data'!L1492</f>
        <v>0</v>
      </c>
      <c r="I1492">
        <f t="shared" si="46"/>
        <v>0</v>
      </c>
      <c r="J1492" t="str">
        <f t="shared" si="47"/>
        <v>Low Risk</v>
      </c>
    </row>
    <row r="1493" spans="1:10" x14ac:dyDescent="0.2">
      <c r="A1493" t="str">
        <f>'Claims Data'!A1493</f>
        <v>CLM01492</v>
      </c>
      <c r="B1493" t="str">
        <f>'Claims Data'!B1493</f>
        <v>PAT0020</v>
      </c>
      <c r="C1493" t="str">
        <f>'Claims Data'!C1493</f>
        <v>PRV0047</v>
      </c>
      <c r="D1493" s="1">
        <f>'Claims Data'!D1493</f>
        <v>45021</v>
      </c>
      <c r="E1493">
        <f>'Claims Data'!H1493</f>
        <v>7.7</v>
      </c>
      <c r="F1493">
        <f>'Claims Data'!J1493</f>
        <v>601.07000000000005</v>
      </c>
      <c r="G1493" t="str">
        <f>'Claims Data'!M1493</f>
        <v>duplicate_claim</v>
      </c>
      <c r="H1493" t="b">
        <f>'Claims Data'!L1493</f>
        <v>1</v>
      </c>
      <c r="I1493">
        <f t="shared" si="46"/>
        <v>10</v>
      </c>
      <c r="J1493" t="str">
        <f t="shared" si="47"/>
        <v>Low Risk</v>
      </c>
    </row>
    <row r="1494" spans="1:10" x14ac:dyDescent="0.2">
      <c r="A1494" t="str">
        <f>'Claims Data'!A1494</f>
        <v>CLM01493</v>
      </c>
      <c r="B1494" t="str">
        <f>'Claims Data'!B1494</f>
        <v>PAT0236</v>
      </c>
      <c r="C1494" t="str">
        <f>'Claims Data'!C1494</f>
        <v>PRV0029</v>
      </c>
      <c r="D1494" s="1">
        <f>'Claims Data'!D1494</f>
        <v>45402</v>
      </c>
      <c r="E1494">
        <f>'Claims Data'!H1494</f>
        <v>7.7</v>
      </c>
      <c r="F1494">
        <f>'Claims Data'!J1494</f>
        <v>618.98</v>
      </c>
      <c r="G1494">
        <f>'Claims Data'!M1494</f>
        <v>0</v>
      </c>
      <c r="H1494" t="b">
        <f>'Claims Data'!L1494</f>
        <v>0</v>
      </c>
      <c r="I1494">
        <f t="shared" si="46"/>
        <v>0</v>
      </c>
      <c r="J1494" t="str">
        <f t="shared" si="47"/>
        <v>Low Risk</v>
      </c>
    </row>
    <row r="1495" spans="1:10" x14ac:dyDescent="0.2">
      <c r="A1495" t="str">
        <f>'Claims Data'!A1495</f>
        <v>CLM01494</v>
      </c>
      <c r="B1495" t="str">
        <f>'Claims Data'!B1495</f>
        <v>PAT0004</v>
      </c>
      <c r="C1495" t="str">
        <f>'Claims Data'!C1495</f>
        <v>PRV0059</v>
      </c>
      <c r="D1495" s="1">
        <f>'Claims Data'!D1495</f>
        <v>44939</v>
      </c>
      <c r="E1495">
        <f>'Claims Data'!H1495</f>
        <v>7.4</v>
      </c>
      <c r="F1495">
        <f>'Claims Data'!J1495</f>
        <v>617.51</v>
      </c>
      <c r="G1495">
        <f>'Claims Data'!M1495</f>
        <v>0</v>
      </c>
      <c r="H1495" t="b">
        <f>'Claims Data'!L1495</f>
        <v>0</v>
      </c>
      <c r="I1495">
        <f t="shared" si="46"/>
        <v>0</v>
      </c>
      <c r="J1495" t="str">
        <f t="shared" si="47"/>
        <v>Low Risk</v>
      </c>
    </row>
    <row r="1496" spans="1:10" x14ac:dyDescent="0.2">
      <c r="A1496" t="str">
        <f>'Claims Data'!A1496</f>
        <v>CLM01495</v>
      </c>
      <c r="B1496" t="str">
        <f>'Claims Data'!B1496</f>
        <v>PAT0184</v>
      </c>
      <c r="C1496" t="str">
        <f>'Claims Data'!C1496</f>
        <v>PRV0030</v>
      </c>
      <c r="D1496" s="1">
        <f>'Claims Data'!D1496</f>
        <v>45136</v>
      </c>
      <c r="E1496">
        <f>'Claims Data'!H1496</f>
        <v>23.1</v>
      </c>
      <c r="F1496">
        <f>'Claims Data'!J1496</f>
        <v>811.5</v>
      </c>
      <c r="G1496" t="str">
        <f>'Claims Data'!M1496</f>
        <v>inflated_hours</v>
      </c>
      <c r="H1496" t="b">
        <f>'Claims Data'!L1496</f>
        <v>1</v>
      </c>
      <c r="I1496">
        <f t="shared" si="46"/>
        <v>50</v>
      </c>
      <c r="J1496" t="str">
        <f t="shared" si="47"/>
        <v>Medium Risk</v>
      </c>
    </row>
    <row r="1497" spans="1:10" x14ac:dyDescent="0.2">
      <c r="A1497" t="str">
        <f>'Claims Data'!A1497</f>
        <v>CLM01496</v>
      </c>
      <c r="B1497" t="str">
        <f>'Claims Data'!B1497</f>
        <v>PAT0081</v>
      </c>
      <c r="C1497" t="str">
        <f>'Claims Data'!C1497</f>
        <v>PRV0049</v>
      </c>
      <c r="D1497" s="1">
        <f>'Claims Data'!D1497</f>
        <v>45393</v>
      </c>
      <c r="E1497">
        <f>'Claims Data'!H1497</f>
        <v>5.6</v>
      </c>
      <c r="F1497">
        <f>'Claims Data'!J1497</f>
        <v>190.15</v>
      </c>
      <c r="G1497">
        <f>'Claims Data'!M1497</f>
        <v>0</v>
      </c>
      <c r="H1497" t="b">
        <f>'Claims Data'!L1497</f>
        <v>0</v>
      </c>
      <c r="I1497">
        <f t="shared" si="46"/>
        <v>0</v>
      </c>
      <c r="J1497" t="str">
        <f t="shared" si="47"/>
        <v>Low Risk</v>
      </c>
    </row>
    <row r="1498" spans="1:10" x14ac:dyDescent="0.2">
      <c r="A1498" t="str">
        <f>'Claims Data'!A1498</f>
        <v>CLM01497</v>
      </c>
      <c r="B1498" t="str">
        <f>'Claims Data'!B1498</f>
        <v>PAT0050</v>
      </c>
      <c r="C1498" t="str">
        <f>'Claims Data'!C1498</f>
        <v>PRV0052</v>
      </c>
      <c r="D1498" s="1">
        <f>'Claims Data'!D1498</f>
        <v>45104</v>
      </c>
      <c r="E1498">
        <f>'Claims Data'!H1498</f>
        <v>21.8</v>
      </c>
      <c r="F1498">
        <f>'Claims Data'!J1498</f>
        <v>698.47</v>
      </c>
      <c r="G1498" t="str">
        <f>'Claims Data'!M1498</f>
        <v>inflated_hours</v>
      </c>
      <c r="H1498" t="b">
        <f>'Claims Data'!L1498</f>
        <v>1</v>
      </c>
      <c r="I1498">
        <f t="shared" si="46"/>
        <v>50</v>
      </c>
      <c r="J1498" t="str">
        <f t="shared" si="47"/>
        <v>Medium Risk</v>
      </c>
    </row>
    <row r="1499" spans="1:10" x14ac:dyDescent="0.2">
      <c r="A1499" t="str">
        <f>'Claims Data'!A1499</f>
        <v>CLM01498</v>
      </c>
      <c r="B1499" t="str">
        <f>'Claims Data'!B1499</f>
        <v>PAT0007</v>
      </c>
      <c r="C1499" t="str">
        <f>'Claims Data'!C1499</f>
        <v>PRV0037</v>
      </c>
      <c r="D1499" s="1">
        <f>'Claims Data'!D1499</f>
        <v>45007</v>
      </c>
      <c r="E1499">
        <f>'Claims Data'!H1499</f>
        <v>6.6</v>
      </c>
      <c r="F1499">
        <f>'Claims Data'!J1499</f>
        <v>532.6</v>
      </c>
      <c r="G1499">
        <f>'Claims Data'!M1499</f>
        <v>0</v>
      </c>
      <c r="H1499" t="b">
        <f>'Claims Data'!L1499</f>
        <v>0</v>
      </c>
      <c r="I1499">
        <f t="shared" si="46"/>
        <v>0</v>
      </c>
      <c r="J1499" t="str">
        <f t="shared" si="47"/>
        <v>Low Risk</v>
      </c>
    </row>
    <row r="1500" spans="1:10" x14ac:dyDescent="0.2">
      <c r="A1500" t="str">
        <f>'Claims Data'!A1500</f>
        <v>CLM01499</v>
      </c>
      <c r="B1500" t="str">
        <f>'Claims Data'!B1500</f>
        <v>PAT0024</v>
      </c>
      <c r="C1500" t="str">
        <f>'Claims Data'!C1500</f>
        <v>PRV0050</v>
      </c>
      <c r="D1500" s="1">
        <f>'Claims Data'!D1500</f>
        <v>45571</v>
      </c>
      <c r="E1500">
        <f>'Claims Data'!H1500</f>
        <v>2.7</v>
      </c>
      <c r="F1500">
        <f>'Claims Data'!J1500</f>
        <v>183.1</v>
      </c>
      <c r="G1500">
        <f>'Claims Data'!M1500</f>
        <v>0</v>
      </c>
      <c r="H1500" t="b">
        <f>'Claims Data'!L1500</f>
        <v>0</v>
      </c>
      <c r="I1500">
        <f t="shared" si="46"/>
        <v>0</v>
      </c>
      <c r="J1500" t="str">
        <f t="shared" si="47"/>
        <v>Low Risk</v>
      </c>
    </row>
    <row r="1501" spans="1:10" x14ac:dyDescent="0.2">
      <c r="A1501" t="str">
        <f>'Claims Data'!A1501</f>
        <v>CLM01500</v>
      </c>
      <c r="B1501" t="str">
        <f>'Claims Data'!B1501</f>
        <v>PAT0217</v>
      </c>
      <c r="C1501" t="str">
        <f>'Claims Data'!C1501</f>
        <v>PRV0049</v>
      </c>
      <c r="D1501" s="1">
        <f>'Claims Data'!D1501</f>
        <v>44978</v>
      </c>
      <c r="E1501">
        <f>'Claims Data'!H1501</f>
        <v>3.7</v>
      </c>
      <c r="F1501">
        <f>'Claims Data'!J1501</f>
        <v>202.21</v>
      </c>
      <c r="G1501">
        <f>'Claims Data'!M1501</f>
        <v>0</v>
      </c>
      <c r="H1501" t="b">
        <f>'Claims Data'!L1501</f>
        <v>0</v>
      </c>
      <c r="I1501">
        <f t="shared" si="46"/>
        <v>0</v>
      </c>
      <c r="J1501" t="str">
        <f t="shared" si="47"/>
        <v>Low Risk</v>
      </c>
    </row>
    <row r="1502" spans="1:10" x14ac:dyDescent="0.2">
      <c r="A1502" t="str">
        <f>'Claims Data'!A1502</f>
        <v>CLM01501</v>
      </c>
      <c r="B1502" t="str">
        <f>'Claims Data'!B1502</f>
        <v>PAT0060</v>
      </c>
      <c r="C1502" t="str">
        <f>'Claims Data'!C1502</f>
        <v>PRV0037</v>
      </c>
      <c r="D1502" s="1">
        <f>'Claims Data'!D1502</f>
        <v>45023</v>
      </c>
      <c r="E1502">
        <f>'Claims Data'!H1502</f>
        <v>7.1</v>
      </c>
      <c r="F1502">
        <f>'Claims Data'!J1502</f>
        <v>433.14</v>
      </c>
      <c r="G1502" t="str">
        <f>'Claims Data'!M1502</f>
        <v>duplicate_claim</v>
      </c>
      <c r="H1502" t="b">
        <f>'Claims Data'!L1502</f>
        <v>1</v>
      </c>
      <c r="I1502">
        <f t="shared" si="46"/>
        <v>10</v>
      </c>
      <c r="J1502" t="str">
        <f t="shared" si="47"/>
        <v>Low Risk</v>
      </c>
    </row>
    <row r="1503" spans="1:10" x14ac:dyDescent="0.2">
      <c r="A1503" t="str">
        <f>'Claims Data'!A1503</f>
        <v>CLM01502</v>
      </c>
      <c r="B1503" t="str">
        <f>'Claims Data'!B1503</f>
        <v>PAT0200</v>
      </c>
      <c r="C1503" t="str">
        <f>'Claims Data'!C1503</f>
        <v>PRV0026</v>
      </c>
      <c r="D1503" s="1">
        <f>'Claims Data'!D1503</f>
        <v>45312</v>
      </c>
      <c r="E1503">
        <f>'Claims Data'!H1503</f>
        <v>4.5</v>
      </c>
      <c r="F1503">
        <f>'Claims Data'!J1503</f>
        <v>222.8</v>
      </c>
      <c r="G1503">
        <f>'Claims Data'!M1503</f>
        <v>0</v>
      </c>
      <c r="H1503" t="b">
        <f>'Claims Data'!L1503</f>
        <v>0</v>
      </c>
      <c r="I1503">
        <f t="shared" si="46"/>
        <v>0</v>
      </c>
      <c r="J1503" t="str">
        <f t="shared" si="47"/>
        <v>Low Risk</v>
      </c>
    </row>
    <row r="1504" spans="1:10" x14ac:dyDescent="0.2">
      <c r="A1504" t="str">
        <f>'Claims Data'!A1504</f>
        <v>CLM01503</v>
      </c>
      <c r="B1504" t="str">
        <f>'Claims Data'!B1504</f>
        <v>PAT0203</v>
      </c>
      <c r="C1504" t="str">
        <f>'Claims Data'!C1504</f>
        <v>PRV0051</v>
      </c>
      <c r="D1504" s="1">
        <f>'Claims Data'!D1504</f>
        <v>44931</v>
      </c>
      <c r="E1504">
        <f>'Claims Data'!H1504</f>
        <v>3.7</v>
      </c>
      <c r="F1504">
        <f>'Claims Data'!J1504</f>
        <v>150.62</v>
      </c>
      <c r="G1504">
        <f>'Claims Data'!M1504</f>
        <v>0</v>
      </c>
      <c r="H1504" t="b">
        <f>'Claims Data'!L1504</f>
        <v>0</v>
      </c>
      <c r="I1504">
        <f t="shared" si="46"/>
        <v>0</v>
      </c>
      <c r="J1504" t="str">
        <f t="shared" si="47"/>
        <v>Low Risk</v>
      </c>
    </row>
    <row r="1505" spans="1:10" x14ac:dyDescent="0.2">
      <c r="A1505" t="str">
        <f>'Claims Data'!A1505</f>
        <v>CLM01504</v>
      </c>
      <c r="B1505" t="str">
        <f>'Claims Data'!B1505</f>
        <v>PAT0209</v>
      </c>
      <c r="C1505" t="str">
        <f>'Claims Data'!C1505</f>
        <v>PRV0037</v>
      </c>
      <c r="D1505" s="1">
        <f>'Claims Data'!D1505</f>
        <v>44989</v>
      </c>
      <c r="E1505">
        <f>'Claims Data'!H1505</f>
        <v>7.4</v>
      </c>
      <c r="F1505">
        <f>'Claims Data'!J1505</f>
        <v>349.12</v>
      </c>
      <c r="G1505">
        <f>'Claims Data'!M1505</f>
        <v>0</v>
      </c>
      <c r="H1505" t="b">
        <f>'Claims Data'!L1505</f>
        <v>0</v>
      </c>
      <c r="I1505">
        <f t="shared" si="46"/>
        <v>0</v>
      </c>
      <c r="J1505" t="str">
        <f t="shared" si="47"/>
        <v>Low Risk</v>
      </c>
    </row>
    <row r="1506" spans="1:10" x14ac:dyDescent="0.2">
      <c r="A1506" t="str">
        <f>'Claims Data'!A1506</f>
        <v>CLM01505</v>
      </c>
      <c r="B1506" t="str">
        <f>'Claims Data'!B1506</f>
        <v>PAT0288</v>
      </c>
      <c r="C1506" t="str">
        <f>'Claims Data'!C1506</f>
        <v>PRV0055</v>
      </c>
      <c r="D1506" s="1">
        <f>'Claims Data'!D1506</f>
        <v>44929</v>
      </c>
      <c r="E1506">
        <f>'Claims Data'!H1506</f>
        <v>2.5</v>
      </c>
      <c r="F1506">
        <f>'Claims Data'!J1506</f>
        <v>132.83000000000001</v>
      </c>
      <c r="G1506">
        <f>'Claims Data'!M1506</f>
        <v>0</v>
      </c>
      <c r="H1506" t="b">
        <f>'Claims Data'!L1506</f>
        <v>0</v>
      </c>
      <c r="I1506">
        <f t="shared" si="46"/>
        <v>0</v>
      </c>
      <c r="J1506" t="str">
        <f t="shared" si="47"/>
        <v>Low Risk</v>
      </c>
    </row>
    <row r="1507" spans="1:10" x14ac:dyDescent="0.2">
      <c r="A1507" t="str">
        <f>'Claims Data'!A1507</f>
        <v>CLM01506</v>
      </c>
      <c r="B1507" t="str">
        <f>'Claims Data'!B1507</f>
        <v>PAT0252</v>
      </c>
      <c r="C1507" t="str">
        <f>'Claims Data'!C1507</f>
        <v>PRV0035</v>
      </c>
      <c r="D1507" s="1">
        <f>'Claims Data'!D1507</f>
        <v>45075</v>
      </c>
      <c r="E1507">
        <f>'Claims Data'!H1507</f>
        <v>6.1</v>
      </c>
      <c r="F1507">
        <f>'Claims Data'!J1507</f>
        <v>413.58</v>
      </c>
      <c r="G1507">
        <f>'Claims Data'!M1507</f>
        <v>0</v>
      </c>
      <c r="H1507" t="b">
        <f>'Claims Data'!L1507</f>
        <v>0</v>
      </c>
      <c r="I1507">
        <f t="shared" si="46"/>
        <v>0</v>
      </c>
      <c r="J1507" t="str">
        <f t="shared" si="47"/>
        <v>Low Risk</v>
      </c>
    </row>
    <row r="1508" spans="1:10" x14ac:dyDescent="0.2">
      <c r="A1508" t="str">
        <f>'Claims Data'!A1508</f>
        <v>CLM01507</v>
      </c>
      <c r="B1508" t="str">
        <f>'Claims Data'!B1508</f>
        <v>PAT0113</v>
      </c>
      <c r="C1508" t="str">
        <f>'Claims Data'!C1508</f>
        <v>PRV0001</v>
      </c>
      <c r="D1508" s="1">
        <f>'Claims Data'!D1508</f>
        <v>45188</v>
      </c>
      <c r="E1508">
        <f>'Claims Data'!H1508</f>
        <v>17.3</v>
      </c>
      <c r="F1508">
        <f>'Claims Data'!J1508</f>
        <v>698.4</v>
      </c>
      <c r="G1508" t="str">
        <f>'Claims Data'!M1508</f>
        <v>inflated_hours</v>
      </c>
      <c r="H1508" t="b">
        <f>'Claims Data'!L1508</f>
        <v>1</v>
      </c>
      <c r="I1508">
        <f t="shared" si="46"/>
        <v>50</v>
      </c>
      <c r="J1508" t="str">
        <f t="shared" si="47"/>
        <v>Medium Risk</v>
      </c>
    </row>
    <row r="1509" spans="1:10" x14ac:dyDescent="0.2">
      <c r="A1509" t="str">
        <f>'Claims Data'!A1509</f>
        <v>CLM01508</v>
      </c>
      <c r="B1509" t="str">
        <f>'Claims Data'!B1509</f>
        <v>PAT0005</v>
      </c>
      <c r="C1509" t="str">
        <f>'Claims Data'!C1509</f>
        <v>PRV0055</v>
      </c>
      <c r="D1509" s="1">
        <f>'Claims Data'!D1509</f>
        <v>45553</v>
      </c>
      <c r="E1509">
        <f>'Claims Data'!H1509</f>
        <v>2.2999999999999998</v>
      </c>
      <c r="F1509">
        <f>'Claims Data'!J1509</f>
        <v>185.99</v>
      </c>
      <c r="G1509">
        <f>'Claims Data'!M1509</f>
        <v>0</v>
      </c>
      <c r="H1509" t="b">
        <f>'Claims Data'!L1509</f>
        <v>0</v>
      </c>
      <c r="I1509">
        <f t="shared" si="46"/>
        <v>0</v>
      </c>
      <c r="J1509" t="str">
        <f t="shared" si="47"/>
        <v>Low Risk</v>
      </c>
    </row>
    <row r="1510" spans="1:10" x14ac:dyDescent="0.2">
      <c r="A1510" t="str">
        <f>'Claims Data'!A1510</f>
        <v>CLM01509</v>
      </c>
      <c r="B1510" t="str">
        <f>'Claims Data'!B1510</f>
        <v>PAT0103</v>
      </c>
      <c r="C1510" t="str">
        <f>'Claims Data'!C1510</f>
        <v>PRV0027</v>
      </c>
      <c r="D1510" s="1">
        <f>'Claims Data'!D1510</f>
        <v>45489</v>
      </c>
      <c r="E1510">
        <f>'Claims Data'!H1510</f>
        <v>8</v>
      </c>
      <c r="F1510">
        <f>'Claims Data'!J1510</f>
        <v>650.87</v>
      </c>
      <c r="G1510">
        <f>'Claims Data'!M1510</f>
        <v>0</v>
      </c>
      <c r="H1510" t="b">
        <f>'Claims Data'!L1510</f>
        <v>0</v>
      </c>
      <c r="I1510">
        <f t="shared" si="46"/>
        <v>0</v>
      </c>
      <c r="J1510" t="str">
        <f t="shared" si="47"/>
        <v>Low Risk</v>
      </c>
    </row>
    <row r="1511" spans="1:10" x14ac:dyDescent="0.2">
      <c r="A1511" t="str">
        <f>'Claims Data'!A1511</f>
        <v>CLM01510</v>
      </c>
      <c r="B1511" t="str">
        <f>'Claims Data'!B1511</f>
        <v>PAT0013</v>
      </c>
      <c r="C1511" t="str">
        <f>'Claims Data'!C1511</f>
        <v>PRV0051</v>
      </c>
      <c r="D1511" s="1">
        <f>'Claims Data'!D1511</f>
        <v>45122</v>
      </c>
      <c r="E1511">
        <f>'Claims Data'!H1511</f>
        <v>2</v>
      </c>
      <c r="F1511">
        <f>'Claims Data'!J1511</f>
        <v>110.55</v>
      </c>
      <c r="G1511">
        <f>'Claims Data'!M1511</f>
        <v>0</v>
      </c>
      <c r="H1511" t="b">
        <f>'Claims Data'!L1511</f>
        <v>0</v>
      </c>
      <c r="I1511">
        <f t="shared" si="46"/>
        <v>0</v>
      </c>
      <c r="J1511" t="str">
        <f t="shared" si="47"/>
        <v>Low Risk</v>
      </c>
    </row>
    <row r="1512" spans="1:10" x14ac:dyDescent="0.2">
      <c r="A1512" t="str">
        <f>'Claims Data'!A1512</f>
        <v>CLM01511</v>
      </c>
      <c r="B1512" t="str">
        <f>'Claims Data'!B1512</f>
        <v>PAT0082</v>
      </c>
      <c r="C1512" t="str">
        <f>'Claims Data'!C1512</f>
        <v>PRV0041</v>
      </c>
      <c r="D1512" s="1">
        <f>'Claims Data'!D1512</f>
        <v>45264</v>
      </c>
      <c r="E1512">
        <f>'Claims Data'!H1512</f>
        <v>7.9</v>
      </c>
      <c r="F1512">
        <f>'Claims Data'!J1512</f>
        <v>515.67999999999995</v>
      </c>
      <c r="G1512">
        <f>'Claims Data'!M1512</f>
        <v>0</v>
      </c>
      <c r="H1512" t="b">
        <f>'Claims Data'!L1512</f>
        <v>0</v>
      </c>
      <c r="I1512">
        <f t="shared" si="46"/>
        <v>0</v>
      </c>
      <c r="J1512" t="str">
        <f t="shared" si="47"/>
        <v>Low Risk</v>
      </c>
    </row>
    <row r="1513" spans="1:10" x14ac:dyDescent="0.2">
      <c r="A1513" t="str">
        <f>'Claims Data'!A1513</f>
        <v>CLM01512</v>
      </c>
      <c r="B1513" t="str">
        <f>'Claims Data'!B1513</f>
        <v>PAT0157</v>
      </c>
      <c r="C1513" t="str">
        <f>'Claims Data'!C1513</f>
        <v>PRV0004</v>
      </c>
      <c r="D1513" s="1">
        <f>'Claims Data'!D1513</f>
        <v>45463</v>
      </c>
      <c r="E1513">
        <f>'Claims Data'!H1513</f>
        <v>24.6</v>
      </c>
      <c r="F1513">
        <f>'Claims Data'!J1513</f>
        <v>1000</v>
      </c>
      <c r="G1513" t="str">
        <f>'Claims Data'!M1513</f>
        <v>phantom_round_amount</v>
      </c>
      <c r="H1513" t="b">
        <f>'Claims Data'!L1513</f>
        <v>1</v>
      </c>
      <c r="I1513">
        <f t="shared" si="46"/>
        <v>80</v>
      </c>
      <c r="J1513" t="str">
        <f t="shared" si="47"/>
        <v>High Risk</v>
      </c>
    </row>
    <row r="1514" spans="1:10" x14ac:dyDescent="0.2">
      <c r="A1514" t="str">
        <f>'Claims Data'!A1514</f>
        <v>CLM01513</v>
      </c>
      <c r="B1514" t="str">
        <f>'Claims Data'!B1514</f>
        <v>PAT0267</v>
      </c>
      <c r="C1514" t="str">
        <f>'Claims Data'!C1514</f>
        <v>PRV0001</v>
      </c>
      <c r="D1514" s="1">
        <f>'Claims Data'!D1514</f>
        <v>45215</v>
      </c>
      <c r="E1514">
        <f>'Claims Data'!H1514</f>
        <v>7.6</v>
      </c>
      <c r="F1514">
        <f>'Claims Data'!J1514</f>
        <v>590.32000000000005</v>
      </c>
      <c r="G1514">
        <f>'Claims Data'!M1514</f>
        <v>0</v>
      </c>
      <c r="H1514" t="b">
        <f>'Claims Data'!L1514</f>
        <v>0</v>
      </c>
      <c r="I1514">
        <f t="shared" si="46"/>
        <v>0</v>
      </c>
      <c r="J1514" t="str">
        <f t="shared" si="47"/>
        <v>Low Risk</v>
      </c>
    </row>
    <row r="1515" spans="1:10" x14ac:dyDescent="0.2">
      <c r="A1515" t="str">
        <f>'Claims Data'!A1515</f>
        <v>CLM01514</v>
      </c>
      <c r="B1515" t="str">
        <f>'Claims Data'!B1515</f>
        <v>PAT0078</v>
      </c>
      <c r="C1515" t="str">
        <f>'Claims Data'!C1515</f>
        <v>PRV0021</v>
      </c>
      <c r="D1515" s="1">
        <f>'Claims Data'!D1515</f>
        <v>45226</v>
      </c>
      <c r="E1515">
        <f>'Claims Data'!H1515</f>
        <v>17.600000000000001</v>
      </c>
      <c r="F1515">
        <f>'Claims Data'!J1515</f>
        <v>1000</v>
      </c>
      <c r="G1515" t="str">
        <f>'Claims Data'!M1515</f>
        <v>phantom_round_amount</v>
      </c>
      <c r="H1515" t="b">
        <f>'Claims Data'!L1515</f>
        <v>1</v>
      </c>
      <c r="I1515">
        <f t="shared" si="46"/>
        <v>80</v>
      </c>
      <c r="J1515" t="str">
        <f t="shared" si="47"/>
        <v>High Risk</v>
      </c>
    </row>
    <row r="1516" spans="1:10" x14ac:dyDescent="0.2">
      <c r="A1516" t="str">
        <f>'Claims Data'!A1516</f>
        <v>CLM01515</v>
      </c>
      <c r="B1516" t="str">
        <f>'Claims Data'!B1516</f>
        <v>PAT0057</v>
      </c>
      <c r="C1516" t="str">
        <f>'Claims Data'!C1516</f>
        <v>PRV0052</v>
      </c>
      <c r="D1516" s="1">
        <f>'Claims Data'!D1516</f>
        <v>45423</v>
      </c>
      <c r="E1516">
        <f>'Claims Data'!H1516</f>
        <v>2.7</v>
      </c>
      <c r="F1516">
        <f>'Claims Data'!J1516</f>
        <v>74.650000000000006</v>
      </c>
      <c r="G1516">
        <f>'Claims Data'!M1516</f>
        <v>0</v>
      </c>
      <c r="H1516" t="b">
        <f>'Claims Data'!L1516</f>
        <v>0</v>
      </c>
      <c r="I1516">
        <f t="shared" si="46"/>
        <v>0</v>
      </c>
      <c r="J1516" t="str">
        <f t="shared" si="47"/>
        <v>Low Risk</v>
      </c>
    </row>
    <row r="1517" spans="1:10" x14ac:dyDescent="0.2">
      <c r="A1517" t="str">
        <f>'Claims Data'!A1517</f>
        <v>CLM01516</v>
      </c>
      <c r="B1517" t="str">
        <f>'Claims Data'!B1517</f>
        <v>PAT0011</v>
      </c>
      <c r="C1517" t="str">
        <f>'Claims Data'!C1517</f>
        <v>PRV0009</v>
      </c>
      <c r="D1517" s="1">
        <f>'Claims Data'!D1517</f>
        <v>45212</v>
      </c>
      <c r="E1517">
        <f>'Claims Data'!H1517</f>
        <v>7.2</v>
      </c>
      <c r="F1517">
        <f>'Claims Data'!J1517</f>
        <v>540.64</v>
      </c>
      <c r="G1517">
        <f>'Claims Data'!M1517</f>
        <v>0</v>
      </c>
      <c r="H1517" t="b">
        <f>'Claims Data'!L1517</f>
        <v>0</v>
      </c>
      <c r="I1517">
        <f t="shared" si="46"/>
        <v>0</v>
      </c>
      <c r="J1517" t="str">
        <f t="shared" si="47"/>
        <v>Low Risk</v>
      </c>
    </row>
    <row r="1518" spans="1:10" x14ac:dyDescent="0.2">
      <c r="A1518" t="str">
        <f>'Claims Data'!A1518</f>
        <v>CLM01517</v>
      </c>
      <c r="B1518" t="str">
        <f>'Claims Data'!B1518</f>
        <v>PAT0231</v>
      </c>
      <c r="C1518" t="str">
        <f>'Claims Data'!C1518</f>
        <v>PRV0013</v>
      </c>
      <c r="D1518" s="1">
        <f>'Claims Data'!D1518</f>
        <v>45368</v>
      </c>
      <c r="E1518">
        <f>'Claims Data'!H1518</f>
        <v>7.6</v>
      </c>
      <c r="F1518">
        <f>'Claims Data'!J1518</f>
        <v>319.01</v>
      </c>
      <c r="G1518">
        <f>'Claims Data'!M1518</f>
        <v>0</v>
      </c>
      <c r="H1518" t="b">
        <f>'Claims Data'!L1518</f>
        <v>0</v>
      </c>
      <c r="I1518">
        <f t="shared" si="46"/>
        <v>0</v>
      </c>
      <c r="J1518" t="str">
        <f t="shared" si="47"/>
        <v>Low Risk</v>
      </c>
    </row>
    <row r="1519" spans="1:10" x14ac:dyDescent="0.2">
      <c r="A1519" t="str">
        <f>'Claims Data'!A1519</f>
        <v>CLM01518</v>
      </c>
      <c r="B1519" t="str">
        <f>'Claims Data'!B1519</f>
        <v>PAT0186</v>
      </c>
      <c r="C1519" t="str">
        <f>'Claims Data'!C1519</f>
        <v>PRV0011</v>
      </c>
      <c r="D1519" s="1">
        <f>'Claims Data'!D1519</f>
        <v>45351</v>
      </c>
      <c r="E1519">
        <f>'Claims Data'!H1519</f>
        <v>5.0999999999999996</v>
      </c>
      <c r="F1519">
        <f>'Claims Data'!J1519</f>
        <v>260.85000000000002</v>
      </c>
      <c r="G1519">
        <f>'Claims Data'!M1519</f>
        <v>0</v>
      </c>
      <c r="H1519" t="b">
        <f>'Claims Data'!L1519</f>
        <v>0</v>
      </c>
      <c r="I1519">
        <f t="shared" si="46"/>
        <v>0</v>
      </c>
      <c r="J1519" t="str">
        <f t="shared" si="47"/>
        <v>Low Risk</v>
      </c>
    </row>
    <row r="1520" spans="1:10" x14ac:dyDescent="0.2">
      <c r="A1520" t="str">
        <f>'Claims Data'!A1520</f>
        <v>CLM01519</v>
      </c>
      <c r="B1520" t="str">
        <f>'Claims Data'!B1520</f>
        <v>PAT0167</v>
      </c>
      <c r="C1520" t="str">
        <f>'Claims Data'!C1520</f>
        <v>PRV0058</v>
      </c>
      <c r="D1520" s="1">
        <f>'Claims Data'!D1520</f>
        <v>48295</v>
      </c>
      <c r="E1520">
        <f>'Claims Data'!H1520</f>
        <v>6.4</v>
      </c>
      <c r="F1520">
        <f>'Claims Data'!J1520</f>
        <v>348.65</v>
      </c>
      <c r="G1520" t="str">
        <f>'Claims Data'!M1520</f>
        <v>deceased_patient_billing</v>
      </c>
      <c r="H1520" t="b">
        <f>'Claims Data'!L1520</f>
        <v>1</v>
      </c>
      <c r="I1520">
        <f t="shared" si="46"/>
        <v>10</v>
      </c>
      <c r="J1520" t="str">
        <f t="shared" si="47"/>
        <v>Low Risk</v>
      </c>
    </row>
    <row r="1521" spans="1:10" x14ac:dyDescent="0.2">
      <c r="A1521" t="str">
        <f>'Claims Data'!A1521</f>
        <v>CLM01520</v>
      </c>
      <c r="B1521" t="str">
        <f>'Claims Data'!B1521</f>
        <v>PAT0270</v>
      </c>
      <c r="C1521" t="str">
        <f>'Claims Data'!C1521</f>
        <v>PRV0025</v>
      </c>
      <c r="D1521" s="1">
        <f>'Claims Data'!D1521</f>
        <v>45480</v>
      </c>
      <c r="E1521">
        <f>'Claims Data'!H1521</f>
        <v>2.2999999999999998</v>
      </c>
      <c r="F1521">
        <f>'Claims Data'!J1521</f>
        <v>78.010000000000005</v>
      </c>
      <c r="G1521">
        <f>'Claims Data'!M1521</f>
        <v>0</v>
      </c>
      <c r="H1521" t="b">
        <f>'Claims Data'!L1521</f>
        <v>0</v>
      </c>
      <c r="I1521">
        <f t="shared" si="46"/>
        <v>0</v>
      </c>
      <c r="J1521" t="str">
        <f t="shared" si="47"/>
        <v>Low Risk</v>
      </c>
    </row>
    <row r="1522" spans="1:10" x14ac:dyDescent="0.2">
      <c r="A1522" t="str">
        <f>'Claims Data'!A1522</f>
        <v>CLM01521</v>
      </c>
      <c r="B1522" t="str">
        <f>'Claims Data'!B1522</f>
        <v>PAT0215</v>
      </c>
      <c r="C1522" t="str">
        <f>'Claims Data'!C1522</f>
        <v>PRV0029</v>
      </c>
      <c r="D1522" s="1">
        <f>'Claims Data'!D1522</f>
        <v>45242</v>
      </c>
      <c r="E1522">
        <f>'Claims Data'!H1522</f>
        <v>2.2000000000000002</v>
      </c>
      <c r="F1522">
        <f>'Claims Data'!J1522</f>
        <v>89.35</v>
      </c>
      <c r="G1522">
        <f>'Claims Data'!M1522</f>
        <v>0</v>
      </c>
      <c r="H1522" t="b">
        <f>'Claims Data'!L1522</f>
        <v>0</v>
      </c>
      <c r="I1522">
        <f t="shared" si="46"/>
        <v>0</v>
      </c>
      <c r="J1522" t="str">
        <f t="shared" si="47"/>
        <v>Low Risk</v>
      </c>
    </row>
    <row r="1523" spans="1:10" x14ac:dyDescent="0.2">
      <c r="A1523" t="str">
        <f>'Claims Data'!A1523</f>
        <v>CLM01522</v>
      </c>
      <c r="B1523" t="str">
        <f>'Claims Data'!B1523</f>
        <v>PAT0085</v>
      </c>
      <c r="C1523" t="str">
        <f>'Claims Data'!C1523</f>
        <v>PRV0041</v>
      </c>
      <c r="D1523" s="1">
        <f>'Claims Data'!D1523</f>
        <v>45274</v>
      </c>
      <c r="E1523">
        <f>'Claims Data'!H1523</f>
        <v>4.5999999999999996</v>
      </c>
      <c r="F1523">
        <f>'Claims Data'!J1523</f>
        <v>389.68</v>
      </c>
      <c r="G1523">
        <f>'Claims Data'!M1523</f>
        <v>0</v>
      </c>
      <c r="H1523" t="b">
        <f>'Claims Data'!L1523</f>
        <v>0</v>
      </c>
      <c r="I1523">
        <f t="shared" si="46"/>
        <v>0</v>
      </c>
      <c r="J1523" t="str">
        <f t="shared" si="47"/>
        <v>Low Risk</v>
      </c>
    </row>
    <row r="1524" spans="1:10" x14ac:dyDescent="0.2">
      <c r="A1524" t="str">
        <f>'Claims Data'!A1524</f>
        <v>CLM01523</v>
      </c>
      <c r="B1524" t="str">
        <f>'Claims Data'!B1524</f>
        <v>PAT0083</v>
      </c>
      <c r="C1524" t="str">
        <f>'Claims Data'!C1524</f>
        <v>PRV0027</v>
      </c>
      <c r="D1524" s="1">
        <f>'Claims Data'!D1524</f>
        <v>45613</v>
      </c>
      <c r="E1524">
        <f>'Claims Data'!H1524</f>
        <v>17.5</v>
      </c>
      <c r="F1524">
        <f>'Claims Data'!J1524</f>
        <v>1475.78</v>
      </c>
      <c r="G1524" t="str">
        <f>'Claims Data'!M1524</f>
        <v>inflated_hours</v>
      </c>
      <c r="H1524" t="b">
        <f>'Claims Data'!L1524</f>
        <v>1</v>
      </c>
      <c r="I1524">
        <f t="shared" si="46"/>
        <v>50</v>
      </c>
      <c r="J1524" t="str">
        <f t="shared" si="47"/>
        <v>Medium Risk</v>
      </c>
    </row>
    <row r="1525" spans="1:10" x14ac:dyDescent="0.2">
      <c r="A1525" t="str">
        <f>'Claims Data'!A1525</f>
        <v>CLM01524</v>
      </c>
      <c r="B1525" t="str">
        <f>'Claims Data'!B1525</f>
        <v>PAT0262</v>
      </c>
      <c r="C1525" t="str">
        <f>'Claims Data'!C1525</f>
        <v>PRV0045</v>
      </c>
      <c r="D1525" s="1">
        <f>'Claims Data'!D1525</f>
        <v>45218</v>
      </c>
      <c r="E1525">
        <f>'Claims Data'!H1525</f>
        <v>4.7</v>
      </c>
      <c r="F1525">
        <f>'Claims Data'!J1525</f>
        <v>149.22</v>
      </c>
      <c r="G1525">
        <f>'Claims Data'!M1525</f>
        <v>0</v>
      </c>
      <c r="H1525" t="b">
        <f>'Claims Data'!L1525</f>
        <v>0</v>
      </c>
      <c r="I1525">
        <f t="shared" si="46"/>
        <v>0</v>
      </c>
      <c r="J1525" t="str">
        <f t="shared" si="47"/>
        <v>Low Risk</v>
      </c>
    </row>
    <row r="1526" spans="1:10" x14ac:dyDescent="0.2">
      <c r="A1526" t="str">
        <f>'Claims Data'!A1526</f>
        <v>CLM01525</v>
      </c>
      <c r="B1526" t="str">
        <f>'Claims Data'!B1526</f>
        <v>PAT0057</v>
      </c>
      <c r="C1526" t="str">
        <f>'Claims Data'!C1526</f>
        <v>PRV0051</v>
      </c>
      <c r="D1526" s="1">
        <f>'Claims Data'!D1526</f>
        <v>45581</v>
      </c>
      <c r="E1526">
        <f>'Claims Data'!H1526</f>
        <v>2.7</v>
      </c>
      <c r="F1526">
        <f>'Claims Data'!J1526</f>
        <v>82.66</v>
      </c>
      <c r="G1526">
        <f>'Claims Data'!M1526</f>
        <v>0</v>
      </c>
      <c r="H1526" t="b">
        <f>'Claims Data'!L1526</f>
        <v>0</v>
      </c>
      <c r="I1526">
        <f t="shared" si="46"/>
        <v>0</v>
      </c>
      <c r="J1526" t="str">
        <f t="shared" si="47"/>
        <v>Low Risk</v>
      </c>
    </row>
    <row r="1527" spans="1:10" x14ac:dyDescent="0.2">
      <c r="A1527" t="str">
        <f>'Claims Data'!A1527</f>
        <v>CLM01526</v>
      </c>
      <c r="B1527" t="str">
        <f>'Claims Data'!B1527</f>
        <v>PAT0035</v>
      </c>
      <c r="C1527" t="str">
        <f>'Claims Data'!C1527</f>
        <v>PRV0052</v>
      </c>
      <c r="D1527" s="1">
        <f>'Claims Data'!D1527</f>
        <v>45412</v>
      </c>
      <c r="E1527">
        <f>'Claims Data'!H1527</f>
        <v>7</v>
      </c>
      <c r="F1527">
        <f>'Claims Data'!J1527</f>
        <v>489.97</v>
      </c>
      <c r="G1527">
        <f>'Claims Data'!M1527</f>
        <v>0</v>
      </c>
      <c r="H1527" t="b">
        <f>'Claims Data'!L1527</f>
        <v>0</v>
      </c>
      <c r="I1527">
        <f t="shared" si="46"/>
        <v>0</v>
      </c>
      <c r="J1527" t="str">
        <f t="shared" si="47"/>
        <v>Low Risk</v>
      </c>
    </row>
    <row r="1528" spans="1:10" x14ac:dyDescent="0.2">
      <c r="A1528" t="str">
        <f>'Claims Data'!A1528</f>
        <v>CLM01527</v>
      </c>
      <c r="B1528" t="str">
        <f>'Claims Data'!B1528</f>
        <v>PAT0198</v>
      </c>
      <c r="C1528" t="str">
        <f>'Claims Data'!C1528</f>
        <v>PRV0019</v>
      </c>
      <c r="D1528" s="1">
        <f>'Claims Data'!D1528</f>
        <v>44955</v>
      </c>
      <c r="E1528">
        <f>'Claims Data'!H1528</f>
        <v>5.5</v>
      </c>
      <c r="F1528">
        <f>'Claims Data'!J1528</f>
        <v>458.14</v>
      </c>
      <c r="G1528">
        <f>'Claims Data'!M1528</f>
        <v>0</v>
      </c>
      <c r="H1528" t="b">
        <f>'Claims Data'!L1528</f>
        <v>0</v>
      </c>
      <c r="I1528">
        <f t="shared" si="46"/>
        <v>0</v>
      </c>
      <c r="J1528" t="str">
        <f t="shared" si="47"/>
        <v>Low Risk</v>
      </c>
    </row>
    <row r="1529" spans="1:10" x14ac:dyDescent="0.2">
      <c r="A1529" t="str">
        <f>'Claims Data'!A1529</f>
        <v>CLM01528</v>
      </c>
      <c r="B1529" t="str">
        <f>'Claims Data'!B1529</f>
        <v>PAT0158</v>
      </c>
      <c r="C1529" t="str">
        <f>'Claims Data'!C1529</f>
        <v>PRV0006</v>
      </c>
      <c r="D1529" s="1">
        <f>'Claims Data'!D1529</f>
        <v>45461</v>
      </c>
      <c r="E1529">
        <f>'Claims Data'!H1529</f>
        <v>20.2</v>
      </c>
      <c r="F1529">
        <f>'Claims Data'!J1529</f>
        <v>598.12</v>
      </c>
      <c r="G1529" t="str">
        <f>'Claims Data'!M1529</f>
        <v>inflated_hours</v>
      </c>
      <c r="H1529" t="b">
        <f>'Claims Data'!L1529</f>
        <v>1</v>
      </c>
      <c r="I1529">
        <f t="shared" si="46"/>
        <v>50</v>
      </c>
      <c r="J1529" t="str">
        <f t="shared" si="47"/>
        <v>Medium Risk</v>
      </c>
    </row>
    <row r="1530" spans="1:10" x14ac:dyDescent="0.2">
      <c r="A1530" t="str">
        <f>'Claims Data'!A1530</f>
        <v>CLM01529</v>
      </c>
      <c r="B1530" t="str">
        <f>'Claims Data'!B1530</f>
        <v>PAT0033</v>
      </c>
      <c r="C1530" t="str">
        <f>'Claims Data'!C1530</f>
        <v>PRV0026</v>
      </c>
      <c r="D1530" s="1">
        <f>'Claims Data'!D1530</f>
        <v>45176</v>
      </c>
      <c r="E1530">
        <f>'Claims Data'!H1530</f>
        <v>7.3</v>
      </c>
      <c r="F1530">
        <f>'Claims Data'!J1530</f>
        <v>193.87</v>
      </c>
      <c r="G1530">
        <f>'Claims Data'!M1530</f>
        <v>0</v>
      </c>
      <c r="H1530" t="b">
        <f>'Claims Data'!L1530</f>
        <v>0</v>
      </c>
      <c r="I1530">
        <f t="shared" si="46"/>
        <v>0</v>
      </c>
      <c r="J1530" t="str">
        <f t="shared" si="47"/>
        <v>Low Risk</v>
      </c>
    </row>
    <row r="1531" spans="1:10" x14ac:dyDescent="0.2">
      <c r="A1531" t="str">
        <f>'Claims Data'!A1531</f>
        <v>CLM01530</v>
      </c>
      <c r="B1531" t="str">
        <f>'Claims Data'!B1531</f>
        <v>PAT0069</v>
      </c>
      <c r="C1531" t="str">
        <f>'Claims Data'!C1531</f>
        <v>PRV0021</v>
      </c>
      <c r="D1531" s="1">
        <f>'Claims Data'!D1531</f>
        <v>45254</v>
      </c>
      <c r="E1531">
        <f>'Claims Data'!H1531</f>
        <v>4.4000000000000004</v>
      </c>
      <c r="F1531">
        <f>'Claims Data'!J1531</f>
        <v>265.85000000000002</v>
      </c>
      <c r="G1531">
        <f>'Claims Data'!M1531</f>
        <v>0</v>
      </c>
      <c r="H1531" t="b">
        <f>'Claims Data'!L1531</f>
        <v>0</v>
      </c>
      <c r="I1531">
        <f t="shared" si="46"/>
        <v>0</v>
      </c>
      <c r="J1531" t="str">
        <f t="shared" si="47"/>
        <v>Low Risk</v>
      </c>
    </row>
    <row r="1532" spans="1:10" x14ac:dyDescent="0.2">
      <c r="A1532" t="str">
        <f>'Claims Data'!A1532</f>
        <v>CLM01531</v>
      </c>
      <c r="B1532" t="str">
        <f>'Claims Data'!B1532</f>
        <v>PAT0046</v>
      </c>
      <c r="C1532" t="str">
        <f>'Claims Data'!C1532</f>
        <v>PRV0030</v>
      </c>
      <c r="D1532" s="1">
        <f>'Claims Data'!D1532</f>
        <v>45376</v>
      </c>
      <c r="E1532">
        <f>'Claims Data'!H1532</f>
        <v>2.9</v>
      </c>
      <c r="F1532">
        <f>'Claims Data'!J1532</f>
        <v>86.61</v>
      </c>
      <c r="G1532">
        <f>'Claims Data'!M1532</f>
        <v>0</v>
      </c>
      <c r="H1532" t="b">
        <f>'Claims Data'!L1532</f>
        <v>0</v>
      </c>
      <c r="I1532">
        <f t="shared" si="46"/>
        <v>0</v>
      </c>
      <c r="J1532" t="str">
        <f t="shared" si="47"/>
        <v>Low Risk</v>
      </c>
    </row>
    <row r="1533" spans="1:10" x14ac:dyDescent="0.2">
      <c r="A1533" t="str">
        <f>'Claims Data'!A1533</f>
        <v>CLM01532</v>
      </c>
      <c r="B1533" t="str">
        <f>'Claims Data'!B1533</f>
        <v>PAT0122</v>
      </c>
      <c r="C1533" t="str">
        <f>'Claims Data'!C1533</f>
        <v>PRV0023</v>
      </c>
      <c r="D1533" s="1">
        <f>'Claims Data'!D1533</f>
        <v>45048</v>
      </c>
      <c r="E1533">
        <f>'Claims Data'!H1533</f>
        <v>4.7</v>
      </c>
      <c r="F1533">
        <f>'Claims Data'!J1533</f>
        <v>386.87</v>
      </c>
      <c r="G1533">
        <f>'Claims Data'!M1533</f>
        <v>0</v>
      </c>
      <c r="H1533" t="b">
        <f>'Claims Data'!L1533</f>
        <v>0</v>
      </c>
      <c r="I1533">
        <f t="shared" si="46"/>
        <v>0</v>
      </c>
      <c r="J1533" t="str">
        <f t="shared" si="47"/>
        <v>Low Risk</v>
      </c>
    </row>
    <row r="1534" spans="1:10" x14ac:dyDescent="0.2">
      <c r="A1534" t="str">
        <f>'Claims Data'!A1534</f>
        <v>CLM01533</v>
      </c>
      <c r="B1534" t="str">
        <f>'Claims Data'!B1534</f>
        <v>PAT0292</v>
      </c>
      <c r="C1534" t="str">
        <f>'Claims Data'!C1534</f>
        <v>PRV0025</v>
      </c>
      <c r="D1534" s="1">
        <f>'Claims Data'!D1534</f>
        <v>45430</v>
      </c>
      <c r="E1534">
        <f>'Claims Data'!H1534</f>
        <v>4</v>
      </c>
      <c r="F1534">
        <f>'Claims Data'!J1534</f>
        <v>110.52</v>
      </c>
      <c r="G1534">
        <f>'Claims Data'!M1534</f>
        <v>0</v>
      </c>
      <c r="H1534" t="b">
        <f>'Claims Data'!L1534</f>
        <v>0</v>
      </c>
      <c r="I1534">
        <f t="shared" si="46"/>
        <v>0</v>
      </c>
      <c r="J1534" t="str">
        <f t="shared" si="47"/>
        <v>Low Risk</v>
      </c>
    </row>
    <row r="1535" spans="1:10" x14ac:dyDescent="0.2">
      <c r="A1535" t="str">
        <f>'Claims Data'!A1535</f>
        <v>CLM01534</v>
      </c>
      <c r="B1535" t="str">
        <f>'Claims Data'!B1535</f>
        <v>PAT0110</v>
      </c>
      <c r="C1535" t="str">
        <f>'Claims Data'!C1535</f>
        <v>PRV0042</v>
      </c>
      <c r="D1535" s="1">
        <f>'Claims Data'!D1535</f>
        <v>45084</v>
      </c>
      <c r="E1535">
        <f>'Claims Data'!H1535</f>
        <v>3.9</v>
      </c>
      <c r="F1535">
        <f>'Claims Data'!J1535</f>
        <v>268.68</v>
      </c>
      <c r="G1535">
        <f>'Claims Data'!M1535</f>
        <v>0</v>
      </c>
      <c r="H1535" t="b">
        <f>'Claims Data'!L1535</f>
        <v>0</v>
      </c>
      <c r="I1535">
        <f t="shared" si="46"/>
        <v>0</v>
      </c>
      <c r="J1535" t="str">
        <f t="shared" si="47"/>
        <v>Low Risk</v>
      </c>
    </row>
    <row r="1536" spans="1:10" x14ac:dyDescent="0.2">
      <c r="A1536" t="str">
        <f>'Claims Data'!A1536</f>
        <v>CLM01535</v>
      </c>
      <c r="B1536" t="str">
        <f>'Claims Data'!B1536</f>
        <v>PAT0048</v>
      </c>
      <c r="C1536" t="str">
        <f>'Claims Data'!C1536</f>
        <v>PRV0025</v>
      </c>
      <c r="D1536" s="1">
        <f>'Claims Data'!D1536</f>
        <v>45377</v>
      </c>
      <c r="E1536">
        <f>'Claims Data'!H1536</f>
        <v>3.3</v>
      </c>
      <c r="F1536">
        <f>'Claims Data'!J1536</f>
        <v>92.14</v>
      </c>
      <c r="G1536">
        <f>'Claims Data'!M1536</f>
        <v>0</v>
      </c>
      <c r="H1536" t="b">
        <f>'Claims Data'!L1536</f>
        <v>0</v>
      </c>
      <c r="I1536">
        <f t="shared" si="46"/>
        <v>0</v>
      </c>
      <c r="J1536" t="str">
        <f t="shared" si="47"/>
        <v>Low Risk</v>
      </c>
    </row>
    <row r="1537" spans="1:10" x14ac:dyDescent="0.2">
      <c r="A1537" t="str">
        <f>'Claims Data'!A1537</f>
        <v>CLM01536</v>
      </c>
      <c r="B1537" t="str">
        <f>'Claims Data'!B1537</f>
        <v>PAT0288</v>
      </c>
      <c r="C1537" t="str">
        <f>'Claims Data'!C1537</f>
        <v>PRV0020</v>
      </c>
      <c r="D1537" s="1">
        <f>'Claims Data'!D1537</f>
        <v>45371</v>
      </c>
      <c r="E1537">
        <f>'Claims Data'!H1537</f>
        <v>35.299999999999997</v>
      </c>
      <c r="F1537">
        <f>'Claims Data'!J1537</f>
        <v>1000</v>
      </c>
      <c r="G1537" t="str">
        <f>'Claims Data'!M1537</f>
        <v>phantom_round_amount</v>
      </c>
      <c r="H1537" t="b">
        <f>'Claims Data'!L1537</f>
        <v>1</v>
      </c>
      <c r="I1537">
        <f t="shared" si="46"/>
        <v>80</v>
      </c>
      <c r="J1537" t="str">
        <f t="shared" si="47"/>
        <v>High Risk</v>
      </c>
    </row>
    <row r="1538" spans="1:10" x14ac:dyDescent="0.2">
      <c r="A1538" t="str">
        <f>'Claims Data'!A1538</f>
        <v>CLM01537</v>
      </c>
      <c r="B1538" t="str">
        <f>'Claims Data'!B1538</f>
        <v>PAT0025</v>
      </c>
      <c r="C1538" t="str">
        <f>'Claims Data'!C1538</f>
        <v>PRV0035</v>
      </c>
      <c r="D1538" s="1">
        <f>'Claims Data'!D1538</f>
        <v>45399</v>
      </c>
      <c r="E1538">
        <f>'Claims Data'!H1538</f>
        <v>2.6</v>
      </c>
      <c r="F1538">
        <f>'Claims Data'!J1538</f>
        <v>104.81</v>
      </c>
      <c r="G1538">
        <f>'Claims Data'!M1538</f>
        <v>0</v>
      </c>
      <c r="H1538" t="b">
        <f>'Claims Data'!L1538</f>
        <v>0</v>
      </c>
      <c r="I1538">
        <f t="shared" si="46"/>
        <v>0</v>
      </c>
      <c r="J1538" t="str">
        <f t="shared" si="47"/>
        <v>Low Risk</v>
      </c>
    </row>
    <row r="1539" spans="1:10" x14ac:dyDescent="0.2">
      <c r="A1539" t="str">
        <f>'Claims Data'!A1539</f>
        <v>CLM01538</v>
      </c>
      <c r="B1539" t="str">
        <f>'Claims Data'!B1539</f>
        <v>PAT0239</v>
      </c>
      <c r="C1539" t="str">
        <f>'Claims Data'!C1539</f>
        <v>PRV0026</v>
      </c>
      <c r="D1539" s="1">
        <f>'Claims Data'!D1539</f>
        <v>45593</v>
      </c>
      <c r="E1539">
        <f>'Claims Data'!H1539</f>
        <v>2.5</v>
      </c>
      <c r="F1539">
        <f>'Claims Data'!J1539</f>
        <v>190.35</v>
      </c>
      <c r="G1539">
        <f>'Claims Data'!M1539</f>
        <v>0</v>
      </c>
      <c r="H1539" t="b">
        <f>'Claims Data'!L1539</f>
        <v>0</v>
      </c>
      <c r="I1539">
        <f t="shared" ref="I1539:I1602" si="48">IF(E1539&gt;16,40,0)+IF(MOD(F1539,250)=0,30,0)+IF(H1539=TRUE,10,0)</f>
        <v>0</v>
      </c>
      <c r="J1539" t="str">
        <f t="shared" ref="J1539:J1602" si="49">IF(I1539&gt;=70,"High Risk",IF(I1539&gt;=30,"Medium Risk","Low Risk"))</f>
        <v>Low Risk</v>
      </c>
    </row>
    <row r="1540" spans="1:10" x14ac:dyDescent="0.2">
      <c r="A1540" t="str">
        <f>'Claims Data'!A1540</f>
        <v>CLM01539</v>
      </c>
      <c r="B1540" t="str">
        <f>'Claims Data'!B1540</f>
        <v>PAT0018</v>
      </c>
      <c r="C1540" t="str">
        <f>'Claims Data'!C1540</f>
        <v>PRV0020</v>
      </c>
      <c r="D1540" s="1">
        <f>'Claims Data'!D1540</f>
        <v>44992</v>
      </c>
      <c r="E1540">
        <f>'Claims Data'!H1540</f>
        <v>6.7</v>
      </c>
      <c r="F1540">
        <f>'Claims Data'!J1540</f>
        <v>282.04000000000002</v>
      </c>
      <c r="G1540">
        <f>'Claims Data'!M1540</f>
        <v>0</v>
      </c>
      <c r="H1540" t="b">
        <f>'Claims Data'!L1540</f>
        <v>0</v>
      </c>
      <c r="I1540">
        <f t="shared" si="48"/>
        <v>0</v>
      </c>
      <c r="J1540" t="str">
        <f t="shared" si="49"/>
        <v>Low Risk</v>
      </c>
    </row>
    <row r="1541" spans="1:10" x14ac:dyDescent="0.2">
      <c r="A1541" t="str">
        <f>'Claims Data'!A1541</f>
        <v>CLM01540</v>
      </c>
      <c r="B1541" t="str">
        <f>'Claims Data'!B1541</f>
        <v>PAT0199</v>
      </c>
      <c r="C1541" t="str">
        <f>'Claims Data'!C1541</f>
        <v>PRV0025</v>
      </c>
      <c r="D1541" s="1">
        <f>'Claims Data'!D1541</f>
        <v>41590</v>
      </c>
      <c r="E1541">
        <f>'Claims Data'!H1541</f>
        <v>2.7</v>
      </c>
      <c r="F1541">
        <f>'Claims Data'!J1541</f>
        <v>147.02000000000001</v>
      </c>
      <c r="G1541" t="str">
        <f>'Claims Data'!M1541</f>
        <v>deceased_patient_billing</v>
      </c>
      <c r="H1541" t="b">
        <f>'Claims Data'!L1541</f>
        <v>1</v>
      </c>
      <c r="I1541">
        <f t="shared" si="48"/>
        <v>10</v>
      </c>
      <c r="J1541" t="str">
        <f t="shared" si="49"/>
        <v>Low Risk</v>
      </c>
    </row>
    <row r="1542" spans="1:10" x14ac:dyDescent="0.2">
      <c r="A1542" t="str">
        <f>'Claims Data'!A1542</f>
        <v>CLM01541</v>
      </c>
      <c r="B1542" t="str">
        <f>'Claims Data'!B1542</f>
        <v>PAT0235</v>
      </c>
      <c r="C1542" t="str">
        <f>'Claims Data'!C1542</f>
        <v>PRV0042</v>
      </c>
      <c r="D1542" s="1">
        <f>'Claims Data'!D1542</f>
        <v>45162</v>
      </c>
      <c r="E1542">
        <f>'Claims Data'!H1542</f>
        <v>7.4</v>
      </c>
      <c r="F1542">
        <f>'Claims Data'!J1542</f>
        <v>452.96</v>
      </c>
      <c r="G1542">
        <f>'Claims Data'!M1542</f>
        <v>0</v>
      </c>
      <c r="H1542" t="b">
        <f>'Claims Data'!L1542</f>
        <v>0</v>
      </c>
      <c r="I1542">
        <f t="shared" si="48"/>
        <v>0</v>
      </c>
      <c r="J1542" t="str">
        <f t="shared" si="49"/>
        <v>Low Risk</v>
      </c>
    </row>
    <row r="1543" spans="1:10" x14ac:dyDescent="0.2">
      <c r="A1543" t="str">
        <f>'Claims Data'!A1543</f>
        <v>CLM01542</v>
      </c>
      <c r="B1543" t="str">
        <f>'Claims Data'!B1543</f>
        <v>PAT0033</v>
      </c>
      <c r="C1543" t="str">
        <f>'Claims Data'!C1543</f>
        <v>PRV0028</v>
      </c>
      <c r="D1543" s="1">
        <f>'Claims Data'!D1543</f>
        <v>45461</v>
      </c>
      <c r="E1543">
        <f>'Claims Data'!H1543</f>
        <v>7</v>
      </c>
      <c r="F1543">
        <f>'Claims Data'!J1543</f>
        <v>390.31</v>
      </c>
      <c r="G1543">
        <f>'Claims Data'!M1543</f>
        <v>0</v>
      </c>
      <c r="H1543" t="b">
        <f>'Claims Data'!L1543</f>
        <v>0</v>
      </c>
      <c r="I1543">
        <f t="shared" si="48"/>
        <v>0</v>
      </c>
      <c r="J1543" t="str">
        <f t="shared" si="49"/>
        <v>Low Risk</v>
      </c>
    </row>
    <row r="1544" spans="1:10" x14ac:dyDescent="0.2">
      <c r="A1544" t="str">
        <f>'Claims Data'!A1544</f>
        <v>CLM01543</v>
      </c>
      <c r="B1544" t="str">
        <f>'Claims Data'!B1544</f>
        <v>PAT0290</v>
      </c>
      <c r="C1544" t="str">
        <f>'Claims Data'!C1544</f>
        <v>PRV0003</v>
      </c>
      <c r="D1544" s="1">
        <f>'Claims Data'!D1544</f>
        <v>44927</v>
      </c>
      <c r="E1544">
        <f>'Claims Data'!H1544</f>
        <v>7.3</v>
      </c>
      <c r="F1544">
        <f>'Claims Data'!J1544</f>
        <v>391.18</v>
      </c>
      <c r="G1544">
        <f>'Claims Data'!M1544</f>
        <v>0</v>
      </c>
      <c r="H1544" t="b">
        <f>'Claims Data'!L1544</f>
        <v>0</v>
      </c>
      <c r="I1544">
        <f t="shared" si="48"/>
        <v>0</v>
      </c>
      <c r="J1544" t="str">
        <f t="shared" si="49"/>
        <v>Low Risk</v>
      </c>
    </row>
    <row r="1545" spans="1:10" x14ac:dyDescent="0.2">
      <c r="A1545" t="str">
        <f>'Claims Data'!A1545</f>
        <v>CLM01544</v>
      </c>
      <c r="B1545" t="str">
        <f>'Claims Data'!B1545</f>
        <v>PAT0271</v>
      </c>
      <c r="C1545" t="str">
        <f>'Claims Data'!C1545</f>
        <v>PRV0052</v>
      </c>
      <c r="D1545" s="1">
        <f>'Claims Data'!D1545</f>
        <v>45023</v>
      </c>
      <c r="E1545">
        <f>'Claims Data'!H1545</f>
        <v>2.5</v>
      </c>
      <c r="F1545">
        <f>'Claims Data'!J1545</f>
        <v>125.88</v>
      </c>
      <c r="G1545">
        <f>'Claims Data'!M1545</f>
        <v>0</v>
      </c>
      <c r="H1545" t="b">
        <f>'Claims Data'!L1545</f>
        <v>0</v>
      </c>
      <c r="I1545">
        <f t="shared" si="48"/>
        <v>0</v>
      </c>
      <c r="J1545" t="str">
        <f t="shared" si="49"/>
        <v>Low Risk</v>
      </c>
    </row>
    <row r="1546" spans="1:10" x14ac:dyDescent="0.2">
      <c r="A1546" t="str">
        <f>'Claims Data'!A1546</f>
        <v>CLM01545</v>
      </c>
      <c r="B1546" t="str">
        <f>'Claims Data'!B1546</f>
        <v>PAT0157</v>
      </c>
      <c r="C1546" t="str">
        <f>'Claims Data'!C1546</f>
        <v>PRV0008</v>
      </c>
      <c r="D1546" s="1">
        <f>'Claims Data'!D1546</f>
        <v>45188</v>
      </c>
      <c r="E1546">
        <f>'Claims Data'!H1546</f>
        <v>4.5999999999999996</v>
      </c>
      <c r="F1546">
        <f>'Claims Data'!J1546</f>
        <v>232.58</v>
      </c>
      <c r="G1546">
        <f>'Claims Data'!M1546</f>
        <v>0</v>
      </c>
      <c r="H1546" t="b">
        <f>'Claims Data'!L1546</f>
        <v>0</v>
      </c>
      <c r="I1546">
        <f t="shared" si="48"/>
        <v>0</v>
      </c>
      <c r="J1546" t="str">
        <f t="shared" si="49"/>
        <v>Low Risk</v>
      </c>
    </row>
    <row r="1547" spans="1:10" x14ac:dyDescent="0.2">
      <c r="A1547" t="str">
        <f>'Claims Data'!A1547</f>
        <v>CLM01546</v>
      </c>
      <c r="B1547" t="str">
        <f>'Claims Data'!B1547</f>
        <v>PAT0011</v>
      </c>
      <c r="C1547" t="str">
        <f>'Claims Data'!C1547</f>
        <v>PRV0011</v>
      </c>
      <c r="D1547" s="1">
        <f>'Claims Data'!D1547</f>
        <v>44943</v>
      </c>
      <c r="E1547">
        <f>'Claims Data'!H1547</f>
        <v>7.8</v>
      </c>
      <c r="F1547">
        <f>'Claims Data'!J1547</f>
        <v>511.57</v>
      </c>
      <c r="G1547">
        <f>'Claims Data'!M1547</f>
        <v>0</v>
      </c>
      <c r="H1547" t="b">
        <f>'Claims Data'!L1547</f>
        <v>0</v>
      </c>
      <c r="I1547">
        <f t="shared" si="48"/>
        <v>0</v>
      </c>
      <c r="J1547" t="str">
        <f t="shared" si="49"/>
        <v>Low Risk</v>
      </c>
    </row>
    <row r="1548" spans="1:10" x14ac:dyDescent="0.2">
      <c r="A1548" t="str">
        <f>'Claims Data'!A1548</f>
        <v>CLM01547</v>
      </c>
      <c r="B1548" t="str">
        <f>'Claims Data'!B1548</f>
        <v>PAT0298</v>
      </c>
      <c r="C1548" t="str">
        <f>'Claims Data'!C1548</f>
        <v>PRV0032</v>
      </c>
      <c r="D1548" s="1">
        <f>'Claims Data'!D1548</f>
        <v>45556</v>
      </c>
      <c r="E1548">
        <f>'Claims Data'!H1548</f>
        <v>7.6</v>
      </c>
      <c r="F1548">
        <f>'Claims Data'!J1548</f>
        <v>430.44</v>
      </c>
      <c r="G1548">
        <f>'Claims Data'!M1548</f>
        <v>0</v>
      </c>
      <c r="H1548" t="b">
        <f>'Claims Data'!L1548</f>
        <v>0</v>
      </c>
      <c r="I1548">
        <f t="shared" si="48"/>
        <v>0</v>
      </c>
      <c r="J1548" t="str">
        <f t="shared" si="49"/>
        <v>Low Risk</v>
      </c>
    </row>
    <row r="1549" spans="1:10" x14ac:dyDescent="0.2">
      <c r="A1549" t="str">
        <f>'Claims Data'!A1549</f>
        <v>CLM01548</v>
      </c>
      <c r="B1549" t="str">
        <f>'Claims Data'!B1549</f>
        <v>PAT0130</v>
      </c>
      <c r="C1549" t="str">
        <f>'Claims Data'!C1549</f>
        <v>PRV0048</v>
      </c>
      <c r="D1549" s="1">
        <f>'Claims Data'!D1549</f>
        <v>45546</v>
      </c>
      <c r="E1549">
        <f>'Claims Data'!H1549</f>
        <v>3.7</v>
      </c>
      <c r="F1549">
        <f>'Claims Data'!J1549</f>
        <v>189.59</v>
      </c>
      <c r="G1549">
        <f>'Claims Data'!M1549</f>
        <v>0</v>
      </c>
      <c r="H1549" t="b">
        <f>'Claims Data'!L1549</f>
        <v>0</v>
      </c>
      <c r="I1549">
        <f t="shared" si="48"/>
        <v>0</v>
      </c>
      <c r="J1549" t="str">
        <f t="shared" si="49"/>
        <v>Low Risk</v>
      </c>
    </row>
    <row r="1550" spans="1:10" x14ac:dyDescent="0.2">
      <c r="A1550" t="str">
        <f>'Claims Data'!A1550</f>
        <v>CLM01549</v>
      </c>
      <c r="B1550" t="str">
        <f>'Claims Data'!B1550</f>
        <v>PAT0236</v>
      </c>
      <c r="C1550" t="str">
        <f>'Claims Data'!C1550</f>
        <v>PRV0054</v>
      </c>
      <c r="D1550" s="1">
        <f>'Claims Data'!D1550</f>
        <v>45510</v>
      </c>
      <c r="E1550">
        <f>'Claims Data'!H1550</f>
        <v>2.9</v>
      </c>
      <c r="F1550">
        <f>'Claims Data'!J1550</f>
        <v>94.74</v>
      </c>
      <c r="G1550">
        <f>'Claims Data'!M1550</f>
        <v>0</v>
      </c>
      <c r="H1550" t="b">
        <f>'Claims Data'!L1550</f>
        <v>0</v>
      </c>
      <c r="I1550">
        <f t="shared" si="48"/>
        <v>0</v>
      </c>
      <c r="J1550" t="str">
        <f t="shared" si="49"/>
        <v>Low Risk</v>
      </c>
    </row>
    <row r="1551" spans="1:10" x14ac:dyDescent="0.2">
      <c r="A1551" t="str">
        <f>'Claims Data'!A1551</f>
        <v>CLM01550</v>
      </c>
      <c r="B1551" t="str">
        <f>'Claims Data'!B1551</f>
        <v>PAT0111</v>
      </c>
      <c r="C1551" t="str">
        <f>'Claims Data'!C1551</f>
        <v>PRV0020</v>
      </c>
      <c r="D1551" s="1">
        <f>'Claims Data'!D1551</f>
        <v>45331</v>
      </c>
      <c r="E1551">
        <f>'Claims Data'!H1551</f>
        <v>5.0999999999999996</v>
      </c>
      <c r="F1551">
        <f>'Claims Data'!J1551</f>
        <v>217.92</v>
      </c>
      <c r="G1551">
        <f>'Claims Data'!M1551</f>
        <v>0</v>
      </c>
      <c r="H1551" t="b">
        <f>'Claims Data'!L1551</f>
        <v>0</v>
      </c>
      <c r="I1551">
        <f t="shared" si="48"/>
        <v>0</v>
      </c>
      <c r="J1551" t="str">
        <f t="shared" si="49"/>
        <v>Low Risk</v>
      </c>
    </row>
    <row r="1552" spans="1:10" x14ac:dyDescent="0.2">
      <c r="A1552" t="str">
        <f>'Claims Data'!A1552</f>
        <v>CLM01551</v>
      </c>
      <c r="B1552" t="str">
        <f>'Claims Data'!B1552</f>
        <v>PAT0052</v>
      </c>
      <c r="C1552" t="str">
        <f>'Claims Data'!C1552</f>
        <v>PRV0015</v>
      </c>
      <c r="D1552" s="1">
        <f>'Claims Data'!D1552</f>
        <v>45396</v>
      </c>
      <c r="E1552">
        <f>'Claims Data'!H1552</f>
        <v>7.5</v>
      </c>
      <c r="F1552">
        <f>'Claims Data'!J1552</f>
        <v>418.54</v>
      </c>
      <c r="G1552">
        <f>'Claims Data'!M1552</f>
        <v>0</v>
      </c>
      <c r="H1552" t="b">
        <f>'Claims Data'!L1552</f>
        <v>0</v>
      </c>
      <c r="I1552">
        <f t="shared" si="48"/>
        <v>0</v>
      </c>
      <c r="J1552" t="str">
        <f t="shared" si="49"/>
        <v>Low Risk</v>
      </c>
    </row>
    <row r="1553" spans="1:10" x14ac:dyDescent="0.2">
      <c r="A1553" t="str">
        <f>'Claims Data'!A1553</f>
        <v>CLM01552</v>
      </c>
      <c r="B1553" t="str">
        <f>'Claims Data'!B1553</f>
        <v>PAT0117</v>
      </c>
      <c r="C1553" t="str">
        <f>'Claims Data'!C1553</f>
        <v>PRV0034</v>
      </c>
      <c r="D1553" s="1">
        <f>'Claims Data'!D1553</f>
        <v>45415</v>
      </c>
      <c r="E1553">
        <f>'Claims Data'!H1553</f>
        <v>4.5</v>
      </c>
      <c r="F1553">
        <f>'Claims Data'!J1553</f>
        <v>237.96</v>
      </c>
      <c r="G1553">
        <f>'Claims Data'!M1553</f>
        <v>0</v>
      </c>
      <c r="H1553" t="b">
        <f>'Claims Data'!L1553</f>
        <v>0</v>
      </c>
      <c r="I1553">
        <f t="shared" si="48"/>
        <v>0</v>
      </c>
      <c r="J1553" t="str">
        <f t="shared" si="49"/>
        <v>Low Risk</v>
      </c>
    </row>
    <row r="1554" spans="1:10" x14ac:dyDescent="0.2">
      <c r="A1554" t="str">
        <f>'Claims Data'!A1554</f>
        <v>CLM01553</v>
      </c>
      <c r="B1554" t="str">
        <f>'Claims Data'!B1554</f>
        <v>PAT0176</v>
      </c>
      <c r="C1554" t="str">
        <f>'Claims Data'!C1554</f>
        <v>PRV0055</v>
      </c>
      <c r="D1554" s="1">
        <f>'Claims Data'!D1554</f>
        <v>45388</v>
      </c>
      <c r="E1554">
        <f>'Claims Data'!H1554</f>
        <v>4.0999999999999996</v>
      </c>
      <c r="F1554">
        <f>'Claims Data'!J1554</f>
        <v>246.55</v>
      </c>
      <c r="G1554">
        <f>'Claims Data'!M1554</f>
        <v>0</v>
      </c>
      <c r="H1554" t="b">
        <f>'Claims Data'!L1554</f>
        <v>0</v>
      </c>
      <c r="I1554">
        <f t="shared" si="48"/>
        <v>0</v>
      </c>
      <c r="J1554" t="str">
        <f t="shared" si="49"/>
        <v>Low Risk</v>
      </c>
    </row>
    <row r="1555" spans="1:10" x14ac:dyDescent="0.2">
      <c r="A1555" t="str">
        <f>'Claims Data'!A1555</f>
        <v>CLM01554</v>
      </c>
      <c r="B1555" t="str">
        <f>'Claims Data'!B1555</f>
        <v>PAT0211</v>
      </c>
      <c r="C1555" t="str">
        <f>'Claims Data'!C1555</f>
        <v>PRV0031</v>
      </c>
      <c r="D1555" s="1">
        <f>'Claims Data'!D1555</f>
        <v>44964</v>
      </c>
      <c r="E1555">
        <f>'Claims Data'!H1555</f>
        <v>2.7</v>
      </c>
      <c r="F1555">
        <f>'Claims Data'!J1555</f>
        <v>174.68</v>
      </c>
      <c r="G1555">
        <f>'Claims Data'!M1555</f>
        <v>0</v>
      </c>
      <c r="H1555" t="b">
        <f>'Claims Data'!L1555</f>
        <v>0</v>
      </c>
      <c r="I1555">
        <f t="shared" si="48"/>
        <v>0</v>
      </c>
      <c r="J1555" t="str">
        <f t="shared" si="49"/>
        <v>Low Risk</v>
      </c>
    </row>
    <row r="1556" spans="1:10" x14ac:dyDescent="0.2">
      <c r="A1556" t="str">
        <f>'Claims Data'!A1556</f>
        <v>CLM01555</v>
      </c>
      <c r="B1556" t="str">
        <f>'Claims Data'!B1556</f>
        <v>PAT0192</v>
      </c>
      <c r="C1556" t="str">
        <f>'Claims Data'!C1556</f>
        <v>PRV0019</v>
      </c>
      <c r="D1556" s="1">
        <f>'Claims Data'!D1556</f>
        <v>44986</v>
      </c>
      <c r="E1556">
        <f>'Claims Data'!H1556</f>
        <v>7.1</v>
      </c>
      <c r="F1556">
        <f>'Claims Data'!J1556</f>
        <v>196.78</v>
      </c>
      <c r="G1556">
        <f>'Claims Data'!M1556</f>
        <v>0</v>
      </c>
      <c r="H1556" t="b">
        <f>'Claims Data'!L1556</f>
        <v>0</v>
      </c>
      <c r="I1556">
        <f t="shared" si="48"/>
        <v>0</v>
      </c>
      <c r="J1556" t="str">
        <f t="shared" si="49"/>
        <v>Low Risk</v>
      </c>
    </row>
    <row r="1557" spans="1:10" x14ac:dyDescent="0.2">
      <c r="A1557" t="str">
        <f>'Claims Data'!A1557</f>
        <v>CLM01556</v>
      </c>
      <c r="B1557" t="str">
        <f>'Claims Data'!B1557</f>
        <v>PAT0208</v>
      </c>
      <c r="C1557" t="str">
        <f>'Claims Data'!C1557</f>
        <v>PRV0007</v>
      </c>
      <c r="D1557" s="1">
        <f>'Claims Data'!D1557</f>
        <v>45634</v>
      </c>
      <c r="E1557">
        <f>'Claims Data'!H1557</f>
        <v>3.9</v>
      </c>
      <c r="F1557">
        <f>'Claims Data'!J1557</f>
        <v>266.94</v>
      </c>
      <c r="G1557">
        <f>'Claims Data'!M1557</f>
        <v>0</v>
      </c>
      <c r="H1557" t="b">
        <f>'Claims Data'!L1557</f>
        <v>0</v>
      </c>
      <c r="I1557">
        <f t="shared" si="48"/>
        <v>0</v>
      </c>
      <c r="J1557" t="str">
        <f t="shared" si="49"/>
        <v>Low Risk</v>
      </c>
    </row>
    <row r="1558" spans="1:10" x14ac:dyDescent="0.2">
      <c r="A1558" t="str">
        <f>'Claims Data'!A1558</f>
        <v>CLM01557</v>
      </c>
      <c r="B1558" t="str">
        <f>'Claims Data'!B1558</f>
        <v>PAT0203</v>
      </c>
      <c r="C1558" t="str">
        <f>'Claims Data'!C1558</f>
        <v>PRV0050</v>
      </c>
      <c r="D1558" s="1">
        <f>'Claims Data'!D1558</f>
        <v>45261</v>
      </c>
      <c r="E1558">
        <f>'Claims Data'!H1558</f>
        <v>5.7</v>
      </c>
      <c r="F1558">
        <f>'Claims Data'!J1558</f>
        <v>233.16</v>
      </c>
      <c r="G1558">
        <f>'Claims Data'!M1558</f>
        <v>0</v>
      </c>
      <c r="H1558" t="b">
        <f>'Claims Data'!L1558</f>
        <v>0</v>
      </c>
      <c r="I1558">
        <f t="shared" si="48"/>
        <v>0</v>
      </c>
      <c r="J1558" t="str">
        <f t="shared" si="49"/>
        <v>Low Risk</v>
      </c>
    </row>
    <row r="1559" spans="1:10" x14ac:dyDescent="0.2">
      <c r="A1559" t="str">
        <f>'Claims Data'!A1559</f>
        <v>CLM01558</v>
      </c>
      <c r="B1559" t="str">
        <f>'Claims Data'!B1559</f>
        <v>PAT0044</v>
      </c>
      <c r="C1559" t="str">
        <f>'Claims Data'!C1559</f>
        <v>PRV0017</v>
      </c>
      <c r="D1559" s="1">
        <f>'Claims Data'!D1559</f>
        <v>45240</v>
      </c>
      <c r="E1559">
        <f>'Claims Data'!H1559</f>
        <v>3.1</v>
      </c>
      <c r="F1559">
        <f>'Claims Data'!J1559</f>
        <v>216.45</v>
      </c>
      <c r="G1559">
        <f>'Claims Data'!M1559</f>
        <v>0</v>
      </c>
      <c r="H1559" t="b">
        <f>'Claims Data'!L1559</f>
        <v>0</v>
      </c>
      <c r="I1559">
        <f t="shared" si="48"/>
        <v>0</v>
      </c>
      <c r="J1559" t="str">
        <f t="shared" si="49"/>
        <v>Low Risk</v>
      </c>
    </row>
    <row r="1560" spans="1:10" x14ac:dyDescent="0.2">
      <c r="A1560" t="str">
        <f>'Claims Data'!A1560</f>
        <v>CLM01559</v>
      </c>
      <c r="B1560" t="str">
        <f>'Claims Data'!B1560</f>
        <v>PAT0188</v>
      </c>
      <c r="C1560" t="str">
        <f>'Claims Data'!C1560</f>
        <v>PRV0033</v>
      </c>
      <c r="D1560" s="1">
        <f>'Claims Data'!D1560</f>
        <v>44950</v>
      </c>
      <c r="E1560">
        <f>'Claims Data'!H1560</f>
        <v>7.2</v>
      </c>
      <c r="F1560">
        <f>'Claims Data'!J1560</f>
        <v>225.93</v>
      </c>
      <c r="G1560">
        <f>'Claims Data'!M1560</f>
        <v>0</v>
      </c>
      <c r="H1560" t="b">
        <f>'Claims Data'!L1560</f>
        <v>0</v>
      </c>
      <c r="I1560">
        <f t="shared" si="48"/>
        <v>0</v>
      </c>
      <c r="J1560" t="str">
        <f t="shared" si="49"/>
        <v>Low Risk</v>
      </c>
    </row>
    <row r="1561" spans="1:10" x14ac:dyDescent="0.2">
      <c r="A1561" t="str">
        <f>'Claims Data'!A1561</f>
        <v>CLM01560</v>
      </c>
      <c r="B1561" t="str">
        <f>'Claims Data'!B1561</f>
        <v>PAT0226</v>
      </c>
      <c r="C1561" t="str">
        <f>'Claims Data'!C1561</f>
        <v>PRV0045</v>
      </c>
      <c r="D1561" s="1">
        <f>'Claims Data'!D1561</f>
        <v>44935</v>
      </c>
      <c r="E1561">
        <f>'Claims Data'!H1561</f>
        <v>2</v>
      </c>
      <c r="F1561">
        <f>'Claims Data'!J1561</f>
        <v>64</v>
      </c>
      <c r="G1561">
        <f>'Claims Data'!M1561</f>
        <v>0</v>
      </c>
      <c r="H1561" t="b">
        <f>'Claims Data'!L1561</f>
        <v>0</v>
      </c>
      <c r="I1561">
        <f t="shared" si="48"/>
        <v>0</v>
      </c>
      <c r="J1561" t="str">
        <f t="shared" si="49"/>
        <v>Low Risk</v>
      </c>
    </row>
    <row r="1562" spans="1:10" x14ac:dyDescent="0.2">
      <c r="A1562" t="str">
        <f>'Claims Data'!A1562</f>
        <v>CLM01561</v>
      </c>
      <c r="B1562" t="str">
        <f>'Claims Data'!B1562</f>
        <v>PAT0087</v>
      </c>
      <c r="C1562" t="str">
        <f>'Claims Data'!C1562</f>
        <v>PRV0028</v>
      </c>
      <c r="D1562" s="1">
        <f>'Claims Data'!D1562</f>
        <v>45303</v>
      </c>
      <c r="E1562">
        <f>'Claims Data'!H1562</f>
        <v>4.8</v>
      </c>
      <c r="F1562">
        <f>'Claims Data'!J1562</f>
        <v>236.67</v>
      </c>
      <c r="G1562">
        <f>'Claims Data'!M1562</f>
        <v>0</v>
      </c>
      <c r="H1562" t="b">
        <f>'Claims Data'!L1562</f>
        <v>0</v>
      </c>
      <c r="I1562">
        <f t="shared" si="48"/>
        <v>0</v>
      </c>
      <c r="J1562" t="str">
        <f t="shared" si="49"/>
        <v>Low Risk</v>
      </c>
    </row>
    <row r="1563" spans="1:10" x14ac:dyDescent="0.2">
      <c r="A1563" t="str">
        <f>'Claims Data'!A1563</f>
        <v>CLM01562</v>
      </c>
      <c r="B1563" t="str">
        <f>'Claims Data'!B1563</f>
        <v>PAT0109</v>
      </c>
      <c r="C1563" t="str">
        <f>'Claims Data'!C1563</f>
        <v>PRV0008</v>
      </c>
      <c r="D1563" s="1">
        <f>'Claims Data'!D1563</f>
        <v>45253</v>
      </c>
      <c r="E1563">
        <f>'Claims Data'!H1563</f>
        <v>3.8</v>
      </c>
      <c r="F1563">
        <f>'Claims Data'!J1563</f>
        <v>280.39</v>
      </c>
      <c r="G1563">
        <f>'Claims Data'!M1563</f>
        <v>0</v>
      </c>
      <c r="H1563" t="b">
        <f>'Claims Data'!L1563</f>
        <v>0</v>
      </c>
      <c r="I1563">
        <f t="shared" si="48"/>
        <v>0</v>
      </c>
      <c r="J1563" t="str">
        <f t="shared" si="49"/>
        <v>Low Risk</v>
      </c>
    </row>
    <row r="1564" spans="1:10" x14ac:dyDescent="0.2">
      <c r="A1564" t="str">
        <f>'Claims Data'!A1564</f>
        <v>CLM01563</v>
      </c>
      <c r="B1564" t="str">
        <f>'Claims Data'!B1564</f>
        <v>PAT0158</v>
      </c>
      <c r="C1564" t="str">
        <f>'Claims Data'!C1564</f>
        <v>PRV0013</v>
      </c>
      <c r="D1564" s="1">
        <f>'Claims Data'!D1564</f>
        <v>45060</v>
      </c>
      <c r="E1564">
        <f>'Claims Data'!H1564</f>
        <v>6.1</v>
      </c>
      <c r="F1564">
        <f>'Claims Data'!J1564</f>
        <v>505.01</v>
      </c>
      <c r="G1564">
        <f>'Claims Data'!M1564</f>
        <v>0</v>
      </c>
      <c r="H1564" t="b">
        <f>'Claims Data'!L1564</f>
        <v>0</v>
      </c>
      <c r="I1564">
        <f t="shared" si="48"/>
        <v>0</v>
      </c>
      <c r="J1564" t="str">
        <f t="shared" si="49"/>
        <v>Low Risk</v>
      </c>
    </row>
    <row r="1565" spans="1:10" x14ac:dyDescent="0.2">
      <c r="A1565" t="str">
        <f>'Claims Data'!A1565</f>
        <v>CLM01564</v>
      </c>
      <c r="B1565" t="str">
        <f>'Claims Data'!B1565</f>
        <v>PAT0113</v>
      </c>
      <c r="C1565" t="str">
        <f>'Claims Data'!C1565</f>
        <v>PRV0002</v>
      </c>
      <c r="D1565" s="1">
        <f>'Claims Data'!D1565</f>
        <v>45113</v>
      </c>
      <c r="E1565">
        <f>'Claims Data'!H1565</f>
        <v>6.8</v>
      </c>
      <c r="F1565">
        <f>'Claims Data'!J1565</f>
        <v>205.76</v>
      </c>
      <c r="G1565">
        <f>'Claims Data'!M1565</f>
        <v>0</v>
      </c>
      <c r="H1565" t="b">
        <f>'Claims Data'!L1565</f>
        <v>0</v>
      </c>
      <c r="I1565">
        <f t="shared" si="48"/>
        <v>0</v>
      </c>
      <c r="J1565" t="str">
        <f t="shared" si="49"/>
        <v>Low Risk</v>
      </c>
    </row>
    <row r="1566" spans="1:10" x14ac:dyDescent="0.2">
      <c r="A1566" t="str">
        <f>'Claims Data'!A1566</f>
        <v>CLM01565</v>
      </c>
      <c r="B1566" t="str">
        <f>'Claims Data'!B1566</f>
        <v>PAT0262</v>
      </c>
      <c r="C1566" t="str">
        <f>'Claims Data'!C1566</f>
        <v>PRV0018</v>
      </c>
      <c r="D1566" s="1">
        <f>'Claims Data'!D1566</f>
        <v>45359</v>
      </c>
      <c r="E1566">
        <f>'Claims Data'!H1566</f>
        <v>33.799999999999997</v>
      </c>
      <c r="F1566">
        <f>'Claims Data'!J1566</f>
        <v>2500</v>
      </c>
      <c r="G1566" t="str">
        <f>'Claims Data'!M1566</f>
        <v>phantom_round_amount</v>
      </c>
      <c r="H1566" t="b">
        <f>'Claims Data'!L1566</f>
        <v>1</v>
      </c>
      <c r="I1566">
        <f t="shared" si="48"/>
        <v>80</v>
      </c>
      <c r="J1566" t="str">
        <f t="shared" si="49"/>
        <v>High Risk</v>
      </c>
    </row>
    <row r="1567" spans="1:10" x14ac:dyDescent="0.2">
      <c r="A1567" t="str">
        <f>'Claims Data'!A1567</f>
        <v>CLM01566</v>
      </c>
      <c r="B1567" t="str">
        <f>'Claims Data'!B1567</f>
        <v>PAT0288</v>
      </c>
      <c r="C1567" t="str">
        <f>'Claims Data'!C1567</f>
        <v>PRV0013</v>
      </c>
      <c r="D1567" s="1">
        <f>'Claims Data'!D1567</f>
        <v>45232</v>
      </c>
      <c r="E1567">
        <f>'Claims Data'!H1567</f>
        <v>7.2</v>
      </c>
      <c r="F1567">
        <f>'Claims Data'!J1567</f>
        <v>270.39</v>
      </c>
      <c r="G1567">
        <f>'Claims Data'!M1567</f>
        <v>0</v>
      </c>
      <c r="H1567" t="b">
        <f>'Claims Data'!L1567</f>
        <v>0</v>
      </c>
      <c r="I1567">
        <f t="shared" si="48"/>
        <v>0</v>
      </c>
      <c r="J1567" t="str">
        <f t="shared" si="49"/>
        <v>Low Risk</v>
      </c>
    </row>
    <row r="1568" spans="1:10" x14ac:dyDescent="0.2">
      <c r="A1568" t="str">
        <f>'Claims Data'!A1568</f>
        <v>CLM01567</v>
      </c>
      <c r="B1568" t="str">
        <f>'Claims Data'!B1568</f>
        <v>PAT0154</v>
      </c>
      <c r="C1568" t="str">
        <f>'Claims Data'!C1568</f>
        <v>PRV0002</v>
      </c>
      <c r="D1568" s="1">
        <f>'Claims Data'!D1568</f>
        <v>45020</v>
      </c>
      <c r="E1568">
        <f>'Claims Data'!H1568</f>
        <v>5.9</v>
      </c>
      <c r="F1568">
        <f>'Claims Data'!J1568</f>
        <v>301.77</v>
      </c>
      <c r="G1568">
        <f>'Claims Data'!M1568</f>
        <v>0</v>
      </c>
      <c r="H1568" t="b">
        <f>'Claims Data'!L1568</f>
        <v>0</v>
      </c>
      <c r="I1568">
        <f t="shared" si="48"/>
        <v>0</v>
      </c>
      <c r="J1568" t="str">
        <f t="shared" si="49"/>
        <v>Low Risk</v>
      </c>
    </row>
    <row r="1569" spans="1:10" x14ac:dyDescent="0.2">
      <c r="A1569" t="str">
        <f>'Claims Data'!A1569</f>
        <v>CLM01568</v>
      </c>
      <c r="B1569" t="str">
        <f>'Claims Data'!B1569</f>
        <v>PAT0020</v>
      </c>
      <c r="C1569" t="str">
        <f>'Claims Data'!C1569</f>
        <v>PRV0043</v>
      </c>
      <c r="D1569" s="1">
        <f>'Claims Data'!D1569</f>
        <v>45057</v>
      </c>
      <c r="E1569">
        <f>'Claims Data'!H1569</f>
        <v>2.5</v>
      </c>
      <c r="F1569">
        <f>'Claims Data'!J1569</f>
        <v>177.96</v>
      </c>
      <c r="G1569">
        <f>'Claims Data'!M1569</f>
        <v>0</v>
      </c>
      <c r="H1569" t="b">
        <f>'Claims Data'!L1569</f>
        <v>0</v>
      </c>
      <c r="I1569">
        <f t="shared" si="48"/>
        <v>0</v>
      </c>
      <c r="J1569" t="str">
        <f t="shared" si="49"/>
        <v>Low Risk</v>
      </c>
    </row>
    <row r="1570" spans="1:10" x14ac:dyDescent="0.2">
      <c r="A1570" t="str">
        <f>'Claims Data'!A1570</f>
        <v>CLM01569</v>
      </c>
      <c r="B1570" t="str">
        <f>'Claims Data'!B1570</f>
        <v>PAT0279</v>
      </c>
      <c r="C1570" t="str">
        <f>'Claims Data'!C1570</f>
        <v>PRV0053</v>
      </c>
      <c r="D1570" s="1">
        <f>'Claims Data'!D1570</f>
        <v>45316</v>
      </c>
      <c r="E1570">
        <f>'Claims Data'!H1570</f>
        <v>4.5</v>
      </c>
      <c r="F1570">
        <f>'Claims Data'!J1570</f>
        <v>143.94</v>
      </c>
      <c r="G1570">
        <f>'Claims Data'!M1570</f>
        <v>0</v>
      </c>
      <c r="H1570" t="b">
        <f>'Claims Data'!L1570</f>
        <v>0</v>
      </c>
      <c r="I1570">
        <f t="shared" si="48"/>
        <v>0</v>
      </c>
      <c r="J1570" t="str">
        <f t="shared" si="49"/>
        <v>Low Risk</v>
      </c>
    </row>
    <row r="1571" spans="1:10" x14ac:dyDescent="0.2">
      <c r="A1571" t="str">
        <f>'Claims Data'!A1571</f>
        <v>CLM01570</v>
      </c>
      <c r="B1571" t="str">
        <f>'Claims Data'!B1571</f>
        <v>PAT0128</v>
      </c>
      <c r="C1571" t="str">
        <f>'Claims Data'!C1571</f>
        <v>PRV0014</v>
      </c>
      <c r="D1571" s="1">
        <f>'Claims Data'!D1571</f>
        <v>45010</v>
      </c>
      <c r="E1571">
        <f>'Claims Data'!H1571</f>
        <v>18.8</v>
      </c>
      <c r="F1571">
        <f>'Claims Data'!J1571</f>
        <v>1000</v>
      </c>
      <c r="G1571" t="str">
        <f>'Claims Data'!M1571</f>
        <v>phantom_round_amount</v>
      </c>
      <c r="H1571" t="b">
        <f>'Claims Data'!L1571</f>
        <v>1</v>
      </c>
      <c r="I1571">
        <f t="shared" si="48"/>
        <v>80</v>
      </c>
      <c r="J1571" t="str">
        <f t="shared" si="49"/>
        <v>High Risk</v>
      </c>
    </row>
    <row r="1572" spans="1:10" x14ac:dyDescent="0.2">
      <c r="A1572" t="str">
        <f>'Claims Data'!A1572</f>
        <v>CLM01571</v>
      </c>
      <c r="B1572" t="str">
        <f>'Claims Data'!B1572</f>
        <v>PAT0279</v>
      </c>
      <c r="C1572" t="str">
        <f>'Claims Data'!C1572</f>
        <v>PRV0018</v>
      </c>
      <c r="D1572" s="1">
        <f>'Claims Data'!D1572</f>
        <v>45543</v>
      </c>
      <c r="E1572">
        <f>'Claims Data'!H1572</f>
        <v>3.2</v>
      </c>
      <c r="F1572">
        <f>'Claims Data'!J1572</f>
        <v>189.33</v>
      </c>
      <c r="G1572">
        <f>'Claims Data'!M1572</f>
        <v>0</v>
      </c>
      <c r="H1572" t="b">
        <f>'Claims Data'!L1572</f>
        <v>0</v>
      </c>
      <c r="I1572">
        <f t="shared" si="48"/>
        <v>0</v>
      </c>
      <c r="J1572" t="str">
        <f t="shared" si="49"/>
        <v>Low Risk</v>
      </c>
    </row>
    <row r="1573" spans="1:10" x14ac:dyDescent="0.2">
      <c r="A1573" t="str">
        <f>'Claims Data'!A1573</f>
        <v>CLM01572</v>
      </c>
      <c r="B1573" t="str">
        <f>'Claims Data'!B1573</f>
        <v>PAT0053</v>
      </c>
      <c r="C1573" t="str">
        <f>'Claims Data'!C1573</f>
        <v>PRV0023</v>
      </c>
      <c r="D1573" s="1">
        <f>'Claims Data'!D1573</f>
        <v>45203</v>
      </c>
      <c r="E1573">
        <f>'Claims Data'!H1573</f>
        <v>4</v>
      </c>
      <c r="F1573">
        <f>'Claims Data'!J1573</f>
        <v>124.64</v>
      </c>
      <c r="G1573">
        <f>'Claims Data'!M1573</f>
        <v>0</v>
      </c>
      <c r="H1573" t="b">
        <f>'Claims Data'!L1573</f>
        <v>0</v>
      </c>
      <c r="I1573">
        <f t="shared" si="48"/>
        <v>0</v>
      </c>
      <c r="J1573" t="str">
        <f t="shared" si="49"/>
        <v>Low Risk</v>
      </c>
    </row>
    <row r="1574" spans="1:10" x14ac:dyDescent="0.2">
      <c r="A1574" t="str">
        <f>'Claims Data'!A1574</f>
        <v>CLM01573</v>
      </c>
      <c r="B1574" t="str">
        <f>'Claims Data'!B1574</f>
        <v>PAT0261</v>
      </c>
      <c r="C1574" t="str">
        <f>'Claims Data'!C1574</f>
        <v>PRV0052</v>
      </c>
      <c r="D1574" s="1">
        <f>'Claims Data'!D1574</f>
        <v>45036</v>
      </c>
      <c r="E1574">
        <f>'Claims Data'!H1574</f>
        <v>7.9</v>
      </c>
      <c r="F1574">
        <f>'Claims Data'!J1574</f>
        <v>599.74</v>
      </c>
      <c r="G1574">
        <f>'Claims Data'!M1574</f>
        <v>0</v>
      </c>
      <c r="H1574" t="b">
        <f>'Claims Data'!L1574</f>
        <v>0</v>
      </c>
      <c r="I1574">
        <f t="shared" si="48"/>
        <v>0</v>
      </c>
      <c r="J1574" t="str">
        <f t="shared" si="49"/>
        <v>Low Risk</v>
      </c>
    </row>
    <row r="1575" spans="1:10" x14ac:dyDescent="0.2">
      <c r="A1575" t="str">
        <f>'Claims Data'!A1575</f>
        <v>CLM01574</v>
      </c>
      <c r="B1575" t="str">
        <f>'Claims Data'!B1575</f>
        <v>PAT0029</v>
      </c>
      <c r="C1575" t="str">
        <f>'Claims Data'!C1575</f>
        <v>PRV0030</v>
      </c>
      <c r="D1575" s="1">
        <f>'Claims Data'!D1575</f>
        <v>45415</v>
      </c>
      <c r="E1575">
        <f>'Claims Data'!H1575</f>
        <v>2.2000000000000002</v>
      </c>
      <c r="F1575">
        <f>'Claims Data'!J1575</f>
        <v>107.76</v>
      </c>
      <c r="G1575">
        <f>'Claims Data'!M1575</f>
        <v>0</v>
      </c>
      <c r="H1575" t="b">
        <f>'Claims Data'!L1575</f>
        <v>0</v>
      </c>
      <c r="I1575">
        <f t="shared" si="48"/>
        <v>0</v>
      </c>
      <c r="J1575" t="str">
        <f t="shared" si="49"/>
        <v>Low Risk</v>
      </c>
    </row>
    <row r="1576" spans="1:10" x14ac:dyDescent="0.2">
      <c r="A1576" t="str">
        <f>'Claims Data'!A1576</f>
        <v>CLM01575</v>
      </c>
      <c r="B1576" t="str">
        <f>'Claims Data'!B1576</f>
        <v>PAT0101</v>
      </c>
      <c r="C1576" t="str">
        <f>'Claims Data'!C1576</f>
        <v>PRV0030</v>
      </c>
      <c r="D1576" s="1">
        <f>'Claims Data'!D1576</f>
        <v>45414</v>
      </c>
      <c r="E1576">
        <f>'Claims Data'!H1576</f>
        <v>3.4</v>
      </c>
      <c r="F1576">
        <f>'Claims Data'!J1576</f>
        <v>97.38</v>
      </c>
      <c r="G1576">
        <f>'Claims Data'!M1576</f>
        <v>0</v>
      </c>
      <c r="H1576" t="b">
        <f>'Claims Data'!L1576</f>
        <v>0</v>
      </c>
      <c r="I1576">
        <f t="shared" si="48"/>
        <v>0</v>
      </c>
      <c r="J1576" t="str">
        <f t="shared" si="49"/>
        <v>Low Risk</v>
      </c>
    </row>
    <row r="1577" spans="1:10" x14ac:dyDescent="0.2">
      <c r="A1577" t="str">
        <f>'Claims Data'!A1577</f>
        <v>CLM01576</v>
      </c>
      <c r="B1577" t="str">
        <f>'Claims Data'!B1577</f>
        <v>PAT0177</v>
      </c>
      <c r="C1577" t="str">
        <f>'Claims Data'!C1577</f>
        <v>PRV0043</v>
      </c>
      <c r="D1577" s="1">
        <f>'Claims Data'!D1577</f>
        <v>45588</v>
      </c>
      <c r="E1577">
        <f>'Claims Data'!H1577</f>
        <v>12.9</v>
      </c>
      <c r="F1577">
        <f>'Claims Data'!J1577</f>
        <v>750</v>
      </c>
      <c r="G1577" t="str">
        <f>'Claims Data'!M1577</f>
        <v>phantom_round_amount</v>
      </c>
      <c r="H1577" t="b">
        <f>'Claims Data'!L1577</f>
        <v>1</v>
      </c>
      <c r="I1577">
        <f t="shared" si="48"/>
        <v>40</v>
      </c>
      <c r="J1577" t="str">
        <f t="shared" si="49"/>
        <v>Medium Risk</v>
      </c>
    </row>
    <row r="1578" spans="1:10" x14ac:dyDescent="0.2">
      <c r="A1578" t="str">
        <f>'Claims Data'!A1578</f>
        <v>CLM01577</v>
      </c>
      <c r="B1578" t="str">
        <f>'Claims Data'!B1578</f>
        <v>PAT0003</v>
      </c>
      <c r="C1578" t="str">
        <f>'Claims Data'!C1578</f>
        <v>PRV0049</v>
      </c>
      <c r="D1578" s="1">
        <f>'Claims Data'!D1578</f>
        <v>45614</v>
      </c>
      <c r="E1578">
        <f>'Claims Data'!H1578</f>
        <v>7.3</v>
      </c>
      <c r="F1578">
        <f>'Claims Data'!J1578</f>
        <v>233.72</v>
      </c>
      <c r="G1578">
        <f>'Claims Data'!M1578</f>
        <v>0</v>
      </c>
      <c r="H1578" t="b">
        <f>'Claims Data'!L1578</f>
        <v>0</v>
      </c>
      <c r="I1578">
        <f t="shared" si="48"/>
        <v>0</v>
      </c>
      <c r="J1578" t="str">
        <f t="shared" si="49"/>
        <v>Low Risk</v>
      </c>
    </row>
    <row r="1579" spans="1:10" x14ac:dyDescent="0.2">
      <c r="A1579" t="str">
        <f>'Claims Data'!A1579</f>
        <v>CLM01578</v>
      </c>
      <c r="B1579" t="str">
        <f>'Claims Data'!B1579</f>
        <v>PAT0148</v>
      </c>
      <c r="C1579" t="str">
        <f>'Claims Data'!C1579</f>
        <v>PRV0038</v>
      </c>
      <c r="D1579" s="1">
        <f>'Claims Data'!D1579</f>
        <v>45361</v>
      </c>
      <c r="E1579">
        <f>'Claims Data'!H1579</f>
        <v>4.7</v>
      </c>
      <c r="F1579">
        <f>'Claims Data'!J1579</f>
        <v>240.52</v>
      </c>
      <c r="G1579">
        <f>'Claims Data'!M1579</f>
        <v>0</v>
      </c>
      <c r="H1579" t="b">
        <f>'Claims Data'!L1579</f>
        <v>0</v>
      </c>
      <c r="I1579">
        <f t="shared" si="48"/>
        <v>0</v>
      </c>
      <c r="J1579" t="str">
        <f t="shared" si="49"/>
        <v>Low Risk</v>
      </c>
    </row>
    <row r="1580" spans="1:10" x14ac:dyDescent="0.2">
      <c r="A1580" t="str">
        <f>'Claims Data'!A1580</f>
        <v>CLM01579</v>
      </c>
      <c r="B1580" t="str">
        <f>'Claims Data'!B1580</f>
        <v>PAT0244</v>
      </c>
      <c r="C1580" t="str">
        <f>'Claims Data'!C1580</f>
        <v>PRV0043</v>
      </c>
      <c r="D1580" s="1">
        <f>'Claims Data'!D1580</f>
        <v>45136</v>
      </c>
      <c r="E1580">
        <f>'Claims Data'!H1580</f>
        <v>23.9</v>
      </c>
      <c r="F1580">
        <f>'Claims Data'!J1580</f>
        <v>1270.28</v>
      </c>
      <c r="G1580" t="str">
        <f>'Claims Data'!M1580</f>
        <v>inflated_hours</v>
      </c>
      <c r="H1580" t="b">
        <f>'Claims Data'!L1580</f>
        <v>1</v>
      </c>
      <c r="I1580">
        <f t="shared" si="48"/>
        <v>50</v>
      </c>
      <c r="J1580" t="str">
        <f t="shared" si="49"/>
        <v>Medium Risk</v>
      </c>
    </row>
    <row r="1581" spans="1:10" x14ac:dyDescent="0.2">
      <c r="A1581" t="str">
        <f>'Claims Data'!A1581</f>
        <v>CLM01580</v>
      </c>
      <c r="B1581" t="str">
        <f>'Claims Data'!B1581</f>
        <v>PAT0035</v>
      </c>
      <c r="C1581" t="str">
        <f>'Claims Data'!C1581</f>
        <v>PRV0043</v>
      </c>
      <c r="D1581" s="1">
        <f>'Claims Data'!D1581</f>
        <v>44974</v>
      </c>
      <c r="E1581">
        <f>'Claims Data'!H1581</f>
        <v>5</v>
      </c>
      <c r="F1581">
        <f>'Claims Data'!J1581</f>
        <v>301.3</v>
      </c>
      <c r="G1581">
        <f>'Claims Data'!M1581</f>
        <v>0</v>
      </c>
      <c r="H1581" t="b">
        <f>'Claims Data'!L1581</f>
        <v>0</v>
      </c>
      <c r="I1581">
        <f t="shared" si="48"/>
        <v>0</v>
      </c>
      <c r="J1581" t="str">
        <f t="shared" si="49"/>
        <v>Low Risk</v>
      </c>
    </row>
    <row r="1582" spans="1:10" x14ac:dyDescent="0.2">
      <c r="A1582" t="str">
        <f>'Claims Data'!A1582</f>
        <v>CLM01581</v>
      </c>
      <c r="B1582" t="str">
        <f>'Claims Data'!B1582</f>
        <v>PAT0129</v>
      </c>
      <c r="C1582" t="str">
        <f>'Claims Data'!C1582</f>
        <v>PRV0015</v>
      </c>
      <c r="D1582" s="1">
        <f>'Claims Data'!D1582</f>
        <v>45283</v>
      </c>
      <c r="E1582">
        <f>'Claims Data'!H1582</f>
        <v>7.5</v>
      </c>
      <c r="F1582">
        <f>'Claims Data'!J1582</f>
        <v>571.54999999999995</v>
      </c>
      <c r="G1582">
        <f>'Claims Data'!M1582</f>
        <v>0</v>
      </c>
      <c r="H1582" t="b">
        <f>'Claims Data'!L1582</f>
        <v>0</v>
      </c>
      <c r="I1582">
        <f t="shared" si="48"/>
        <v>0</v>
      </c>
      <c r="J1582" t="str">
        <f t="shared" si="49"/>
        <v>Low Risk</v>
      </c>
    </row>
    <row r="1583" spans="1:10" x14ac:dyDescent="0.2">
      <c r="A1583" t="str">
        <f>'Claims Data'!A1583</f>
        <v>CLM01582</v>
      </c>
      <c r="B1583" t="str">
        <f>'Claims Data'!B1583</f>
        <v>PAT0068</v>
      </c>
      <c r="C1583" t="str">
        <f>'Claims Data'!C1583</f>
        <v>PRV0046</v>
      </c>
      <c r="D1583" s="1">
        <f>'Claims Data'!D1583</f>
        <v>45654</v>
      </c>
      <c r="E1583">
        <f>'Claims Data'!H1583</f>
        <v>2.8</v>
      </c>
      <c r="F1583">
        <f>'Claims Data'!J1583</f>
        <v>119.29</v>
      </c>
      <c r="G1583">
        <f>'Claims Data'!M1583</f>
        <v>0</v>
      </c>
      <c r="H1583" t="b">
        <f>'Claims Data'!L1583</f>
        <v>0</v>
      </c>
      <c r="I1583">
        <f t="shared" si="48"/>
        <v>0</v>
      </c>
      <c r="J1583" t="str">
        <f t="shared" si="49"/>
        <v>Low Risk</v>
      </c>
    </row>
    <row r="1584" spans="1:10" x14ac:dyDescent="0.2">
      <c r="A1584" t="str">
        <f>'Claims Data'!A1584</f>
        <v>CLM01583</v>
      </c>
      <c r="B1584" t="str">
        <f>'Claims Data'!B1584</f>
        <v>PAT0255</v>
      </c>
      <c r="C1584" t="str">
        <f>'Claims Data'!C1584</f>
        <v>PRV0029</v>
      </c>
      <c r="D1584" s="1">
        <f>'Claims Data'!D1584</f>
        <v>45314</v>
      </c>
      <c r="E1584">
        <f>'Claims Data'!H1584</f>
        <v>7.8</v>
      </c>
      <c r="F1584">
        <f>'Claims Data'!J1584</f>
        <v>584.88</v>
      </c>
      <c r="G1584">
        <f>'Claims Data'!M1584</f>
        <v>0</v>
      </c>
      <c r="H1584" t="b">
        <f>'Claims Data'!L1584</f>
        <v>0</v>
      </c>
      <c r="I1584">
        <f t="shared" si="48"/>
        <v>0</v>
      </c>
      <c r="J1584" t="str">
        <f t="shared" si="49"/>
        <v>Low Risk</v>
      </c>
    </row>
    <row r="1585" spans="1:10" x14ac:dyDescent="0.2">
      <c r="A1585" t="str">
        <f>'Claims Data'!A1585</f>
        <v>CLM01584</v>
      </c>
      <c r="B1585" t="str">
        <f>'Claims Data'!B1585</f>
        <v>PAT0203</v>
      </c>
      <c r="C1585" t="str">
        <f>'Claims Data'!C1585</f>
        <v>PRV0049</v>
      </c>
      <c r="D1585" s="1">
        <f>'Claims Data'!D1585</f>
        <v>45200</v>
      </c>
      <c r="E1585">
        <f>'Claims Data'!H1585</f>
        <v>6.8</v>
      </c>
      <c r="F1585">
        <f>'Claims Data'!J1585</f>
        <v>496.3</v>
      </c>
      <c r="G1585">
        <f>'Claims Data'!M1585</f>
        <v>0</v>
      </c>
      <c r="H1585" t="b">
        <f>'Claims Data'!L1585</f>
        <v>0</v>
      </c>
      <c r="I1585">
        <f t="shared" si="48"/>
        <v>0</v>
      </c>
      <c r="J1585" t="str">
        <f t="shared" si="49"/>
        <v>Low Risk</v>
      </c>
    </row>
    <row r="1586" spans="1:10" x14ac:dyDescent="0.2">
      <c r="A1586" t="str">
        <f>'Claims Data'!A1586</f>
        <v>CLM01585</v>
      </c>
      <c r="B1586" t="str">
        <f>'Claims Data'!B1586</f>
        <v>PAT0137</v>
      </c>
      <c r="C1586" t="str">
        <f>'Claims Data'!C1586</f>
        <v>PRV0028</v>
      </c>
      <c r="D1586" s="1">
        <f>'Claims Data'!D1586</f>
        <v>45177</v>
      </c>
      <c r="E1586">
        <f>'Claims Data'!H1586</f>
        <v>3.7</v>
      </c>
      <c r="F1586">
        <f>'Claims Data'!J1586</f>
        <v>258.83</v>
      </c>
      <c r="G1586">
        <f>'Claims Data'!M1586</f>
        <v>0</v>
      </c>
      <c r="H1586" t="b">
        <f>'Claims Data'!L1586</f>
        <v>0</v>
      </c>
      <c r="I1586">
        <f t="shared" si="48"/>
        <v>0</v>
      </c>
      <c r="J1586" t="str">
        <f t="shared" si="49"/>
        <v>Low Risk</v>
      </c>
    </row>
    <row r="1587" spans="1:10" x14ac:dyDescent="0.2">
      <c r="A1587" t="str">
        <f>'Claims Data'!A1587</f>
        <v>CLM01586</v>
      </c>
      <c r="B1587" t="str">
        <f>'Claims Data'!B1587</f>
        <v>PAT0195</v>
      </c>
      <c r="C1587" t="str">
        <f>'Claims Data'!C1587</f>
        <v>PRV0036</v>
      </c>
      <c r="D1587" s="1">
        <f>'Claims Data'!D1587</f>
        <v>45505</v>
      </c>
      <c r="E1587">
        <f>'Claims Data'!H1587</f>
        <v>2.8</v>
      </c>
      <c r="F1587">
        <f>'Claims Data'!J1587</f>
        <v>103.51</v>
      </c>
      <c r="G1587">
        <f>'Claims Data'!M1587</f>
        <v>0</v>
      </c>
      <c r="H1587" t="b">
        <f>'Claims Data'!L1587</f>
        <v>0</v>
      </c>
      <c r="I1587">
        <f t="shared" si="48"/>
        <v>0</v>
      </c>
      <c r="J1587" t="str">
        <f t="shared" si="49"/>
        <v>Low Risk</v>
      </c>
    </row>
    <row r="1588" spans="1:10" x14ac:dyDescent="0.2">
      <c r="A1588" t="str">
        <f>'Claims Data'!A1588</f>
        <v>CLM01587</v>
      </c>
      <c r="B1588" t="str">
        <f>'Claims Data'!B1588</f>
        <v>PAT0236</v>
      </c>
      <c r="C1588" t="str">
        <f>'Claims Data'!C1588</f>
        <v>PRV0014</v>
      </c>
      <c r="D1588" s="1">
        <f>'Claims Data'!D1588</f>
        <v>45294</v>
      </c>
      <c r="E1588">
        <f>'Claims Data'!H1588</f>
        <v>2.6</v>
      </c>
      <c r="F1588">
        <f>'Claims Data'!J1588</f>
        <v>129.88999999999999</v>
      </c>
      <c r="G1588">
        <f>'Claims Data'!M1588</f>
        <v>0</v>
      </c>
      <c r="H1588" t="b">
        <f>'Claims Data'!L1588</f>
        <v>0</v>
      </c>
      <c r="I1588">
        <f t="shared" si="48"/>
        <v>0</v>
      </c>
      <c r="J1588" t="str">
        <f t="shared" si="49"/>
        <v>Low Risk</v>
      </c>
    </row>
    <row r="1589" spans="1:10" x14ac:dyDescent="0.2">
      <c r="A1589" t="str">
        <f>'Claims Data'!A1589</f>
        <v>CLM01588</v>
      </c>
      <c r="B1589" t="str">
        <f>'Claims Data'!B1589</f>
        <v>PAT0003</v>
      </c>
      <c r="C1589" t="str">
        <f>'Claims Data'!C1589</f>
        <v>PRV0020</v>
      </c>
      <c r="D1589" s="1">
        <f>'Claims Data'!D1589</f>
        <v>44968</v>
      </c>
      <c r="E1589">
        <f>'Claims Data'!H1589</f>
        <v>3.4</v>
      </c>
      <c r="F1589">
        <f>'Claims Data'!J1589</f>
        <v>198.59</v>
      </c>
      <c r="G1589">
        <f>'Claims Data'!M1589</f>
        <v>0</v>
      </c>
      <c r="H1589" t="b">
        <f>'Claims Data'!L1589</f>
        <v>0</v>
      </c>
      <c r="I1589">
        <f t="shared" si="48"/>
        <v>0</v>
      </c>
      <c r="J1589" t="str">
        <f t="shared" si="49"/>
        <v>Low Risk</v>
      </c>
    </row>
    <row r="1590" spans="1:10" x14ac:dyDescent="0.2">
      <c r="A1590" t="str">
        <f>'Claims Data'!A1590</f>
        <v>CLM01589</v>
      </c>
      <c r="B1590" t="str">
        <f>'Claims Data'!B1590</f>
        <v>PAT0184</v>
      </c>
      <c r="C1590" t="str">
        <f>'Claims Data'!C1590</f>
        <v>PRV0018</v>
      </c>
      <c r="D1590" s="1">
        <f>'Claims Data'!D1590</f>
        <v>45267</v>
      </c>
      <c r="E1590">
        <f>'Claims Data'!H1590</f>
        <v>7.3</v>
      </c>
      <c r="F1590">
        <f>'Claims Data'!J1590</f>
        <v>338.89</v>
      </c>
      <c r="G1590">
        <f>'Claims Data'!M1590</f>
        <v>0</v>
      </c>
      <c r="H1590" t="b">
        <f>'Claims Data'!L1590</f>
        <v>0</v>
      </c>
      <c r="I1590">
        <f t="shared" si="48"/>
        <v>0</v>
      </c>
      <c r="J1590" t="str">
        <f t="shared" si="49"/>
        <v>Low Risk</v>
      </c>
    </row>
    <row r="1591" spans="1:10" x14ac:dyDescent="0.2">
      <c r="A1591" t="str">
        <f>'Claims Data'!A1591</f>
        <v>CLM01590</v>
      </c>
      <c r="B1591" t="str">
        <f>'Claims Data'!B1591</f>
        <v>PAT0103</v>
      </c>
      <c r="C1591" t="str">
        <f>'Claims Data'!C1591</f>
        <v>PRV0001</v>
      </c>
      <c r="D1591" s="1">
        <f>'Claims Data'!D1591</f>
        <v>45184</v>
      </c>
      <c r="E1591">
        <f>'Claims Data'!H1591</f>
        <v>7</v>
      </c>
      <c r="F1591">
        <f>'Claims Data'!J1591</f>
        <v>550.66999999999996</v>
      </c>
      <c r="G1591">
        <f>'Claims Data'!M1591</f>
        <v>0</v>
      </c>
      <c r="H1591" t="b">
        <f>'Claims Data'!L1591</f>
        <v>0</v>
      </c>
      <c r="I1591">
        <f t="shared" si="48"/>
        <v>0</v>
      </c>
      <c r="J1591" t="str">
        <f t="shared" si="49"/>
        <v>Low Risk</v>
      </c>
    </row>
    <row r="1592" spans="1:10" x14ac:dyDescent="0.2">
      <c r="A1592" t="str">
        <f>'Claims Data'!A1592</f>
        <v>CLM01591</v>
      </c>
      <c r="B1592" t="str">
        <f>'Claims Data'!B1592</f>
        <v>PAT0186</v>
      </c>
      <c r="C1592" t="str">
        <f>'Claims Data'!C1592</f>
        <v>PRV0010</v>
      </c>
      <c r="D1592" s="1">
        <f>'Claims Data'!D1592</f>
        <v>45285</v>
      </c>
      <c r="E1592">
        <f>'Claims Data'!H1592</f>
        <v>4</v>
      </c>
      <c r="F1592">
        <f>'Claims Data'!J1592</f>
        <v>127.35</v>
      </c>
      <c r="G1592">
        <f>'Claims Data'!M1592</f>
        <v>0</v>
      </c>
      <c r="H1592" t="b">
        <f>'Claims Data'!L1592</f>
        <v>0</v>
      </c>
      <c r="I1592">
        <f t="shared" si="48"/>
        <v>0</v>
      </c>
      <c r="J1592" t="str">
        <f t="shared" si="49"/>
        <v>Low Risk</v>
      </c>
    </row>
    <row r="1593" spans="1:10" x14ac:dyDescent="0.2">
      <c r="A1593" t="str">
        <f>'Claims Data'!A1593</f>
        <v>CLM01592</v>
      </c>
      <c r="B1593" t="str">
        <f>'Claims Data'!B1593</f>
        <v>PAT0199</v>
      </c>
      <c r="C1593" t="str">
        <f>'Claims Data'!C1593</f>
        <v>PRV0060</v>
      </c>
      <c r="D1593" s="1">
        <f>'Claims Data'!D1593</f>
        <v>45520</v>
      </c>
      <c r="E1593">
        <f>'Claims Data'!H1593</f>
        <v>5.4</v>
      </c>
      <c r="F1593">
        <f>'Claims Data'!J1593</f>
        <v>292.58</v>
      </c>
      <c r="G1593">
        <f>'Claims Data'!M1593</f>
        <v>0</v>
      </c>
      <c r="H1593" t="b">
        <f>'Claims Data'!L1593</f>
        <v>0</v>
      </c>
      <c r="I1593">
        <f t="shared" si="48"/>
        <v>0</v>
      </c>
      <c r="J1593" t="str">
        <f t="shared" si="49"/>
        <v>Low Risk</v>
      </c>
    </row>
    <row r="1594" spans="1:10" x14ac:dyDescent="0.2">
      <c r="A1594" t="str">
        <f>'Claims Data'!A1594</f>
        <v>CLM01593</v>
      </c>
      <c r="B1594" t="str">
        <f>'Claims Data'!B1594</f>
        <v>PAT0223</v>
      </c>
      <c r="C1594" t="str">
        <f>'Claims Data'!C1594</f>
        <v>PRV0060</v>
      </c>
      <c r="D1594" s="1">
        <f>'Claims Data'!D1594</f>
        <v>45551</v>
      </c>
      <c r="E1594">
        <f>'Claims Data'!H1594</f>
        <v>19.5</v>
      </c>
      <c r="F1594">
        <f>'Claims Data'!J1594</f>
        <v>1388.59</v>
      </c>
      <c r="G1594" t="str">
        <f>'Claims Data'!M1594</f>
        <v>inflated_hours</v>
      </c>
      <c r="H1594" t="b">
        <f>'Claims Data'!L1594</f>
        <v>1</v>
      </c>
      <c r="I1594">
        <f t="shared" si="48"/>
        <v>50</v>
      </c>
      <c r="J1594" t="str">
        <f t="shared" si="49"/>
        <v>Medium Risk</v>
      </c>
    </row>
    <row r="1595" spans="1:10" x14ac:dyDescent="0.2">
      <c r="A1595" t="str">
        <f>'Claims Data'!A1595</f>
        <v>CLM01594</v>
      </c>
      <c r="B1595" t="str">
        <f>'Claims Data'!B1595</f>
        <v>PAT0206</v>
      </c>
      <c r="C1595" t="str">
        <f>'Claims Data'!C1595</f>
        <v>PRV0051</v>
      </c>
      <c r="D1595" s="1">
        <f>'Claims Data'!D1595</f>
        <v>45559</v>
      </c>
      <c r="E1595">
        <f>'Claims Data'!H1595</f>
        <v>7.4</v>
      </c>
      <c r="F1595">
        <f>'Claims Data'!J1595</f>
        <v>563.91</v>
      </c>
      <c r="G1595" t="str">
        <f>'Claims Data'!M1595</f>
        <v>duplicate_claim</v>
      </c>
      <c r="H1595" t="b">
        <f>'Claims Data'!L1595</f>
        <v>1</v>
      </c>
      <c r="I1595">
        <f t="shared" si="48"/>
        <v>10</v>
      </c>
      <c r="J1595" t="str">
        <f t="shared" si="49"/>
        <v>Low Risk</v>
      </c>
    </row>
    <row r="1596" spans="1:10" x14ac:dyDescent="0.2">
      <c r="A1596" t="str">
        <f>'Claims Data'!A1596</f>
        <v>CLM01595</v>
      </c>
      <c r="B1596" t="str">
        <f>'Claims Data'!B1596</f>
        <v>PAT0288</v>
      </c>
      <c r="C1596" t="str">
        <f>'Claims Data'!C1596</f>
        <v>PRV0059</v>
      </c>
      <c r="D1596" s="1">
        <f>'Claims Data'!D1596</f>
        <v>45082</v>
      </c>
      <c r="E1596">
        <f>'Claims Data'!H1596</f>
        <v>6.2</v>
      </c>
      <c r="F1596">
        <f>'Claims Data'!J1596</f>
        <v>499.71</v>
      </c>
      <c r="G1596">
        <f>'Claims Data'!M1596</f>
        <v>0</v>
      </c>
      <c r="H1596" t="b">
        <f>'Claims Data'!L1596</f>
        <v>0</v>
      </c>
      <c r="I1596">
        <f t="shared" si="48"/>
        <v>0</v>
      </c>
      <c r="J1596" t="str">
        <f t="shared" si="49"/>
        <v>Low Risk</v>
      </c>
    </row>
    <row r="1597" spans="1:10" x14ac:dyDescent="0.2">
      <c r="A1597" t="str">
        <f>'Claims Data'!A1597</f>
        <v>CLM01596</v>
      </c>
      <c r="B1597" t="str">
        <f>'Claims Data'!B1597</f>
        <v>PAT0113</v>
      </c>
      <c r="C1597" t="str">
        <f>'Claims Data'!C1597</f>
        <v>PRV0003</v>
      </c>
      <c r="D1597" s="1">
        <f>'Claims Data'!D1597</f>
        <v>45025</v>
      </c>
      <c r="E1597">
        <f>'Claims Data'!H1597</f>
        <v>7.8</v>
      </c>
      <c r="F1597">
        <f>'Claims Data'!J1597</f>
        <v>548.70000000000005</v>
      </c>
      <c r="G1597">
        <f>'Claims Data'!M1597</f>
        <v>0</v>
      </c>
      <c r="H1597" t="b">
        <f>'Claims Data'!L1597</f>
        <v>0</v>
      </c>
      <c r="I1597">
        <f t="shared" si="48"/>
        <v>0</v>
      </c>
      <c r="J1597" t="str">
        <f t="shared" si="49"/>
        <v>Low Risk</v>
      </c>
    </row>
    <row r="1598" spans="1:10" x14ac:dyDescent="0.2">
      <c r="A1598" t="str">
        <f>'Claims Data'!A1598</f>
        <v>CLM01597</v>
      </c>
      <c r="B1598" t="str">
        <f>'Claims Data'!B1598</f>
        <v>PAT0157</v>
      </c>
      <c r="C1598" t="str">
        <f>'Claims Data'!C1598</f>
        <v>PRV0029</v>
      </c>
      <c r="D1598" s="1">
        <f>'Claims Data'!D1598</f>
        <v>45095</v>
      </c>
      <c r="E1598">
        <f>'Claims Data'!H1598</f>
        <v>6.9</v>
      </c>
      <c r="F1598">
        <f>'Claims Data'!J1598</f>
        <v>189.88</v>
      </c>
      <c r="G1598">
        <f>'Claims Data'!M1598</f>
        <v>0</v>
      </c>
      <c r="H1598" t="b">
        <f>'Claims Data'!L1598</f>
        <v>0</v>
      </c>
      <c r="I1598">
        <f t="shared" si="48"/>
        <v>0</v>
      </c>
      <c r="J1598" t="str">
        <f t="shared" si="49"/>
        <v>Low Risk</v>
      </c>
    </row>
    <row r="1599" spans="1:10" x14ac:dyDescent="0.2">
      <c r="A1599" t="str">
        <f>'Claims Data'!A1599</f>
        <v>CLM01598</v>
      </c>
      <c r="B1599" t="str">
        <f>'Claims Data'!B1599</f>
        <v>PAT0242</v>
      </c>
      <c r="C1599" t="str">
        <f>'Claims Data'!C1599</f>
        <v>PRV0012</v>
      </c>
      <c r="D1599" s="1">
        <f>'Claims Data'!D1599</f>
        <v>45045</v>
      </c>
      <c r="E1599">
        <f>'Claims Data'!H1599</f>
        <v>5.8</v>
      </c>
      <c r="F1599">
        <f>'Claims Data'!J1599</f>
        <v>448.06</v>
      </c>
      <c r="G1599">
        <f>'Claims Data'!M1599</f>
        <v>0</v>
      </c>
      <c r="H1599" t="b">
        <f>'Claims Data'!L1599</f>
        <v>0</v>
      </c>
      <c r="I1599">
        <f t="shared" si="48"/>
        <v>0</v>
      </c>
      <c r="J1599" t="str">
        <f t="shared" si="49"/>
        <v>Low Risk</v>
      </c>
    </row>
    <row r="1600" spans="1:10" x14ac:dyDescent="0.2">
      <c r="A1600" t="str">
        <f>'Claims Data'!A1600</f>
        <v>CLM01599</v>
      </c>
      <c r="B1600" t="str">
        <f>'Claims Data'!B1600</f>
        <v>PAT0146</v>
      </c>
      <c r="C1600" t="str">
        <f>'Claims Data'!C1600</f>
        <v>PRV0052</v>
      </c>
      <c r="D1600" s="1">
        <f>'Claims Data'!D1600</f>
        <v>45636</v>
      </c>
      <c r="E1600">
        <f>'Claims Data'!H1600</f>
        <v>6.4</v>
      </c>
      <c r="F1600">
        <f>'Claims Data'!J1600</f>
        <v>431.93</v>
      </c>
      <c r="G1600">
        <f>'Claims Data'!M1600</f>
        <v>0</v>
      </c>
      <c r="H1600" t="b">
        <f>'Claims Data'!L1600</f>
        <v>0</v>
      </c>
      <c r="I1600">
        <f t="shared" si="48"/>
        <v>0</v>
      </c>
      <c r="J1600" t="str">
        <f t="shared" si="49"/>
        <v>Low Risk</v>
      </c>
    </row>
    <row r="1601" spans="1:10" x14ac:dyDescent="0.2">
      <c r="A1601" t="str">
        <f>'Claims Data'!A1601</f>
        <v>CLM01600</v>
      </c>
      <c r="B1601" t="str">
        <f>'Claims Data'!B1601</f>
        <v>PAT0162</v>
      </c>
      <c r="C1601" t="str">
        <f>'Claims Data'!C1601</f>
        <v>PRV0004</v>
      </c>
      <c r="D1601" s="1">
        <f>'Claims Data'!D1601</f>
        <v>45405</v>
      </c>
      <c r="E1601">
        <f>'Claims Data'!H1601</f>
        <v>6.4</v>
      </c>
      <c r="F1601">
        <f>'Claims Data'!J1601</f>
        <v>198.13</v>
      </c>
      <c r="G1601">
        <f>'Claims Data'!M1601</f>
        <v>0</v>
      </c>
      <c r="H1601" t="b">
        <f>'Claims Data'!L1601</f>
        <v>0</v>
      </c>
      <c r="I1601">
        <f t="shared" si="48"/>
        <v>0</v>
      </c>
      <c r="J1601" t="str">
        <f t="shared" si="49"/>
        <v>Low Risk</v>
      </c>
    </row>
    <row r="1602" spans="1:10" x14ac:dyDescent="0.2">
      <c r="A1602" t="str">
        <f>'Claims Data'!A1602</f>
        <v>CLM01601</v>
      </c>
      <c r="B1602" t="str">
        <f>'Claims Data'!B1602</f>
        <v>PAT0237</v>
      </c>
      <c r="C1602" t="str">
        <f>'Claims Data'!C1602</f>
        <v>PRV0044</v>
      </c>
      <c r="D1602" s="1">
        <f>'Claims Data'!D1602</f>
        <v>45587</v>
      </c>
      <c r="E1602">
        <f>'Claims Data'!H1602</f>
        <v>4</v>
      </c>
      <c r="F1602">
        <f>'Claims Data'!J1602</f>
        <v>133.07</v>
      </c>
      <c r="G1602">
        <f>'Claims Data'!M1602</f>
        <v>0</v>
      </c>
      <c r="H1602" t="b">
        <f>'Claims Data'!L1602</f>
        <v>0</v>
      </c>
      <c r="I1602">
        <f t="shared" si="48"/>
        <v>0</v>
      </c>
      <c r="J1602" t="str">
        <f t="shared" si="49"/>
        <v>Low Risk</v>
      </c>
    </row>
    <row r="1603" spans="1:10" x14ac:dyDescent="0.2">
      <c r="A1603" t="str">
        <f>'Claims Data'!A1603</f>
        <v>CLM01602</v>
      </c>
      <c r="B1603" t="str">
        <f>'Claims Data'!B1603</f>
        <v>PAT0031</v>
      </c>
      <c r="C1603" t="str">
        <f>'Claims Data'!C1603</f>
        <v>PRV0009</v>
      </c>
      <c r="D1603" s="1">
        <f>'Claims Data'!D1603</f>
        <v>45268</v>
      </c>
      <c r="E1603">
        <f>'Claims Data'!H1603</f>
        <v>7.8</v>
      </c>
      <c r="F1603">
        <f>'Claims Data'!J1603</f>
        <v>554.99</v>
      </c>
      <c r="G1603">
        <f>'Claims Data'!M1603</f>
        <v>0</v>
      </c>
      <c r="H1603" t="b">
        <f>'Claims Data'!L1603</f>
        <v>0</v>
      </c>
      <c r="I1603">
        <f t="shared" ref="I1603:I1666" si="50">IF(E1603&gt;16,40,0)+IF(MOD(F1603,250)=0,30,0)+IF(H1603=TRUE,10,0)</f>
        <v>0</v>
      </c>
      <c r="J1603" t="str">
        <f t="shared" ref="J1603:J1666" si="51">IF(I1603&gt;=70,"High Risk",IF(I1603&gt;=30,"Medium Risk","Low Risk"))</f>
        <v>Low Risk</v>
      </c>
    </row>
    <row r="1604" spans="1:10" x14ac:dyDescent="0.2">
      <c r="A1604" t="str">
        <f>'Claims Data'!A1604</f>
        <v>CLM01603</v>
      </c>
      <c r="B1604" t="str">
        <f>'Claims Data'!B1604</f>
        <v>PAT0181</v>
      </c>
      <c r="C1604" t="str">
        <f>'Claims Data'!C1604</f>
        <v>PRV0034</v>
      </c>
      <c r="D1604" s="1">
        <f>'Claims Data'!D1604</f>
        <v>45527</v>
      </c>
      <c r="E1604">
        <f>'Claims Data'!H1604</f>
        <v>7</v>
      </c>
      <c r="F1604">
        <f>'Claims Data'!J1604</f>
        <v>373.94</v>
      </c>
      <c r="G1604">
        <f>'Claims Data'!M1604</f>
        <v>0</v>
      </c>
      <c r="H1604" t="b">
        <f>'Claims Data'!L1604</f>
        <v>0</v>
      </c>
      <c r="I1604">
        <f t="shared" si="50"/>
        <v>0</v>
      </c>
      <c r="J1604" t="str">
        <f t="shared" si="51"/>
        <v>Low Risk</v>
      </c>
    </row>
    <row r="1605" spans="1:10" x14ac:dyDescent="0.2">
      <c r="A1605" t="str">
        <f>'Claims Data'!A1605</f>
        <v>CLM01604</v>
      </c>
      <c r="B1605" t="str">
        <f>'Claims Data'!B1605</f>
        <v>PAT0060</v>
      </c>
      <c r="C1605" t="str">
        <f>'Claims Data'!C1605</f>
        <v>PRV0047</v>
      </c>
      <c r="D1605" s="1">
        <f>'Claims Data'!D1605</f>
        <v>45300</v>
      </c>
      <c r="E1605">
        <f>'Claims Data'!H1605</f>
        <v>2.5</v>
      </c>
      <c r="F1605">
        <f>'Claims Data'!J1605</f>
        <v>118.37</v>
      </c>
      <c r="G1605" t="str">
        <f>'Claims Data'!M1605</f>
        <v>duplicate_claim</v>
      </c>
      <c r="H1605" t="b">
        <f>'Claims Data'!L1605</f>
        <v>1</v>
      </c>
      <c r="I1605">
        <f t="shared" si="50"/>
        <v>10</v>
      </c>
      <c r="J1605" t="str">
        <f t="shared" si="51"/>
        <v>Low Risk</v>
      </c>
    </row>
    <row r="1606" spans="1:10" x14ac:dyDescent="0.2">
      <c r="A1606" t="str">
        <f>'Claims Data'!A1606</f>
        <v>CLM01605</v>
      </c>
      <c r="B1606" t="str">
        <f>'Claims Data'!B1606</f>
        <v>PAT0201</v>
      </c>
      <c r="C1606" t="str">
        <f>'Claims Data'!C1606</f>
        <v>PRV0002</v>
      </c>
      <c r="D1606" s="1">
        <f>'Claims Data'!D1606</f>
        <v>45202</v>
      </c>
      <c r="E1606">
        <f>'Claims Data'!H1606</f>
        <v>5.8</v>
      </c>
      <c r="F1606">
        <f>'Claims Data'!J1606</f>
        <v>230.42</v>
      </c>
      <c r="G1606">
        <f>'Claims Data'!M1606</f>
        <v>0</v>
      </c>
      <c r="H1606" t="b">
        <f>'Claims Data'!L1606</f>
        <v>0</v>
      </c>
      <c r="I1606">
        <f t="shared" si="50"/>
        <v>0</v>
      </c>
      <c r="J1606" t="str">
        <f t="shared" si="51"/>
        <v>Low Risk</v>
      </c>
    </row>
    <row r="1607" spans="1:10" x14ac:dyDescent="0.2">
      <c r="A1607" t="str">
        <f>'Claims Data'!A1607</f>
        <v>CLM01606</v>
      </c>
      <c r="B1607" t="str">
        <f>'Claims Data'!B1607</f>
        <v>PAT0146</v>
      </c>
      <c r="C1607" t="str">
        <f>'Claims Data'!C1607</f>
        <v>PRV0059</v>
      </c>
      <c r="D1607" s="1">
        <f>'Claims Data'!D1607</f>
        <v>45011</v>
      </c>
      <c r="E1607">
        <f>'Claims Data'!H1607</f>
        <v>6.7</v>
      </c>
      <c r="F1607">
        <f>'Claims Data'!J1607</f>
        <v>222.97</v>
      </c>
      <c r="G1607">
        <f>'Claims Data'!M1607</f>
        <v>0</v>
      </c>
      <c r="H1607" t="b">
        <f>'Claims Data'!L1607</f>
        <v>0</v>
      </c>
      <c r="I1607">
        <f t="shared" si="50"/>
        <v>0</v>
      </c>
      <c r="J1607" t="str">
        <f t="shared" si="51"/>
        <v>Low Risk</v>
      </c>
    </row>
    <row r="1608" spans="1:10" x14ac:dyDescent="0.2">
      <c r="A1608" t="str">
        <f>'Claims Data'!A1608</f>
        <v>CLM01607</v>
      </c>
      <c r="B1608" t="str">
        <f>'Claims Data'!B1608</f>
        <v>PAT0164</v>
      </c>
      <c r="C1608" t="str">
        <f>'Claims Data'!C1608</f>
        <v>PRV0018</v>
      </c>
      <c r="D1608" s="1">
        <f>'Claims Data'!D1608</f>
        <v>45482</v>
      </c>
      <c r="E1608">
        <f>'Claims Data'!H1608</f>
        <v>7.5</v>
      </c>
      <c r="F1608">
        <f>'Claims Data'!J1608</f>
        <v>591.63</v>
      </c>
      <c r="G1608">
        <f>'Claims Data'!M1608</f>
        <v>0</v>
      </c>
      <c r="H1608" t="b">
        <f>'Claims Data'!L1608</f>
        <v>0</v>
      </c>
      <c r="I1608">
        <f t="shared" si="50"/>
        <v>0</v>
      </c>
      <c r="J1608" t="str">
        <f t="shared" si="51"/>
        <v>Low Risk</v>
      </c>
    </row>
    <row r="1609" spans="1:10" x14ac:dyDescent="0.2">
      <c r="A1609" t="str">
        <f>'Claims Data'!A1609</f>
        <v>CLM01608</v>
      </c>
      <c r="B1609" t="str">
        <f>'Claims Data'!B1609</f>
        <v>PAT0015</v>
      </c>
      <c r="C1609" t="str">
        <f>'Claims Data'!C1609</f>
        <v>PRV0005</v>
      </c>
      <c r="D1609" s="1">
        <f>'Claims Data'!D1609</f>
        <v>45210</v>
      </c>
      <c r="E1609">
        <f>'Claims Data'!H1609</f>
        <v>7.7</v>
      </c>
      <c r="F1609">
        <f>'Claims Data'!J1609</f>
        <v>396.97</v>
      </c>
      <c r="G1609">
        <f>'Claims Data'!M1609</f>
        <v>0</v>
      </c>
      <c r="H1609" t="b">
        <f>'Claims Data'!L1609</f>
        <v>0</v>
      </c>
      <c r="I1609">
        <f t="shared" si="50"/>
        <v>0</v>
      </c>
      <c r="J1609" t="str">
        <f t="shared" si="51"/>
        <v>Low Risk</v>
      </c>
    </row>
    <row r="1610" spans="1:10" x14ac:dyDescent="0.2">
      <c r="A1610" t="str">
        <f>'Claims Data'!A1610</f>
        <v>CLM01609</v>
      </c>
      <c r="B1610" t="str">
        <f>'Claims Data'!B1610</f>
        <v>PAT0233</v>
      </c>
      <c r="C1610" t="str">
        <f>'Claims Data'!C1610</f>
        <v>PRV0022</v>
      </c>
      <c r="D1610" s="1">
        <f>'Claims Data'!D1610</f>
        <v>45238</v>
      </c>
      <c r="E1610">
        <f>'Claims Data'!H1610</f>
        <v>2.5</v>
      </c>
      <c r="F1610">
        <f>'Claims Data'!J1610</f>
        <v>109.72</v>
      </c>
      <c r="G1610">
        <f>'Claims Data'!M1610</f>
        <v>0</v>
      </c>
      <c r="H1610" t="b">
        <f>'Claims Data'!L1610</f>
        <v>0</v>
      </c>
      <c r="I1610">
        <f t="shared" si="50"/>
        <v>0</v>
      </c>
      <c r="J1610" t="str">
        <f t="shared" si="51"/>
        <v>Low Risk</v>
      </c>
    </row>
    <row r="1611" spans="1:10" x14ac:dyDescent="0.2">
      <c r="A1611" t="str">
        <f>'Claims Data'!A1611</f>
        <v>CLM01610</v>
      </c>
      <c r="B1611" t="str">
        <f>'Claims Data'!B1611</f>
        <v>PAT0085</v>
      </c>
      <c r="C1611" t="str">
        <f>'Claims Data'!C1611</f>
        <v>PRV0049</v>
      </c>
      <c r="D1611" s="1">
        <f>'Claims Data'!D1611</f>
        <v>44965</v>
      </c>
      <c r="E1611">
        <f>'Claims Data'!H1611</f>
        <v>2.4</v>
      </c>
      <c r="F1611">
        <f>'Claims Data'!J1611</f>
        <v>169.32</v>
      </c>
      <c r="G1611">
        <f>'Claims Data'!M1611</f>
        <v>0</v>
      </c>
      <c r="H1611" t="b">
        <f>'Claims Data'!L1611</f>
        <v>0</v>
      </c>
      <c r="I1611">
        <f t="shared" si="50"/>
        <v>0</v>
      </c>
      <c r="J1611" t="str">
        <f t="shared" si="51"/>
        <v>Low Risk</v>
      </c>
    </row>
    <row r="1612" spans="1:10" x14ac:dyDescent="0.2">
      <c r="A1612" t="str">
        <f>'Claims Data'!A1612</f>
        <v>CLM01611</v>
      </c>
      <c r="B1612" t="str">
        <f>'Claims Data'!B1612</f>
        <v>PAT0188</v>
      </c>
      <c r="C1612" t="str">
        <f>'Claims Data'!C1612</f>
        <v>PRV0022</v>
      </c>
      <c r="D1612" s="1">
        <f>'Claims Data'!D1612</f>
        <v>45143</v>
      </c>
      <c r="E1612">
        <f>'Claims Data'!H1612</f>
        <v>7.4</v>
      </c>
      <c r="F1612">
        <f>'Claims Data'!J1612</f>
        <v>210.67</v>
      </c>
      <c r="G1612">
        <f>'Claims Data'!M1612</f>
        <v>0</v>
      </c>
      <c r="H1612" t="b">
        <f>'Claims Data'!L1612</f>
        <v>0</v>
      </c>
      <c r="I1612">
        <f t="shared" si="50"/>
        <v>0</v>
      </c>
      <c r="J1612" t="str">
        <f t="shared" si="51"/>
        <v>Low Risk</v>
      </c>
    </row>
    <row r="1613" spans="1:10" x14ac:dyDescent="0.2">
      <c r="A1613" t="str">
        <f>'Claims Data'!A1613</f>
        <v>CLM01612</v>
      </c>
      <c r="B1613" t="str">
        <f>'Claims Data'!B1613</f>
        <v>PAT0234</v>
      </c>
      <c r="C1613" t="str">
        <f>'Claims Data'!C1613</f>
        <v>PRV0056</v>
      </c>
      <c r="D1613" s="1">
        <f>'Claims Data'!D1613</f>
        <v>44956</v>
      </c>
      <c r="E1613">
        <f>'Claims Data'!H1613</f>
        <v>4.5</v>
      </c>
      <c r="F1613">
        <f>'Claims Data'!J1613</f>
        <v>351.66</v>
      </c>
      <c r="G1613">
        <f>'Claims Data'!M1613</f>
        <v>0</v>
      </c>
      <c r="H1613" t="b">
        <f>'Claims Data'!L1613</f>
        <v>0</v>
      </c>
      <c r="I1613">
        <f t="shared" si="50"/>
        <v>0</v>
      </c>
      <c r="J1613" t="str">
        <f t="shared" si="51"/>
        <v>Low Risk</v>
      </c>
    </row>
    <row r="1614" spans="1:10" x14ac:dyDescent="0.2">
      <c r="A1614" t="str">
        <f>'Claims Data'!A1614</f>
        <v>CLM01613</v>
      </c>
      <c r="B1614" t="str">
        <f>'Claims Data'!B1614</f>
        <v>PAT0267</v>
      </c>
      <c r="C1614" t="str">
        <f>'Claims Data'!C1614</f>
        <v>PRV0026</v>
      </c>
      <c r="D1614" s="1">
        <f>'Claims Data'!D1614</f>
        <v>45143</v>
      </c>
      <c r="E1614">
        <f>'Claims Data'!H1614</f>
        <v>6.3</v>
      </c>
      <c r="F1614">
        <f>'Claims Data'!J1614</f>
        <v>276.08</v>
      </c>
      <c r="G1614">
        <f>'Claims Data'!M1614</f>
        <v>0</v>
      </c>
      <c r="H1614" t="b">
        <f>'Claims Data'!L1614</f>
        <v>0</v>
      </c>
      <c r="I1614">
        <f t="shared" si="50"/>
        <v>0</v>
      </c>
      <c r="J1614" t="str">
        <f t="shared" si="51"/>
        <v>Low Risk</v>
      </c>
    </row>
    <row r="1615" spans="1:10" x14ac:dyDescent="0.2">
      <c r="A1615" t="str">
        <f>'Claims Data'!A1615</f>
        <v>CLM01614</v>
      </c>
      <c r="B1615" t="str">
        <f>'Claims Data'!B1615</f>
        <v>PAT0171</v>
      </c>
      <c r="C1615" t="str">
        <f>'Claims Data'!C1615</f>
        <v>PRV0002</v>
      </c>
      <c r="D1615" s="1">
        <f>'Claims Data'!D1615</f>
        <v>45412</v>
      </c>
      <c r="E1615">
        <f>'Claims Data'!H1615</f>
        <v>7</v>
      </c>
      <c r="F1615">
        <f>'Claims Data'!J1615</f>
        <v>553.09</v>
      </c>
      <c r="G1615" t="str">
        <f>'Claims Data'!M1615</f>
        <v>duplicate_claim</v>
      </c>
      <c r="H1615" t="b">
        <f>'Claims Data'!L1615</f>
        <v>1</v>
      </c>
      <c r="I1615">
        <f t="shared" si="50"/>
        <v>10</v>
      </c>
      <c r="J1615" t="str">
        <f t="shared" si="51"/>
        <v>Low Risk</v>
      </c>
    </row>
    <row r="1616" spans="1:10" x14ac:dyDescent="0.2">
      <c r="A1616" t="str">
        <f>'Claims Data'!A1616</f>
        <v>CLM01615</v>
      </c>
      <c r="B1616" t="str">
        <f>'Claims Data'!B1616</f>
        <v>PAT0256</v>
      </c>
      <c r="C1616" t="str">
        <f>'Claims Data'!C1616</f>
        <v>PRV0006</v>
      </c>
      <c r="D1616" s="1">
        <f>'Claims Data'!D1616</f>
        <v>45074</v>
      </c>
      <c r="E1616">
        <f>'Claims Data'!H1616</f>
        <v>6.2</v>
      </c>
      <c r="F1616">
        <f>'Claims Data'!J1616</f>
        <v>320.98</v>
      </c>
      <c r="G1616">
        <f>'Claims Data'!M1616</f>
        <v>0</v>
      </c>
      <c r="H1616" t="b">
        <f>'Claims Data'!L1616</f>
        <v>0</v>
      </c>
      <c r="I1616">
        <f t="shared" si="50"/>
        <v>0</v>
      </c>
      <c r="J1616" t="str">
        <f t="shared" si="51"/>
        <v>Low Risk</v>
      </c>
    </row>
    <row r="1617" spans="1:10" x14ac:dyDescent="0.2">
      <c r="A1617" t="str">
        <f>'Claims Data'!A1617</f>
        <v>CLM01616</v>
      </c>
      <c r="B1617" t="str">
        <f>'Claims Data'!B1617</f>
        <v>PAT0065</v>
      </c>
      <c r="C1617" t="str">
        <f>'Claims Data'!C1617</f>
        <v>PRV0030</v>
      </c>
      <c r="D1617" s="1">
        <f>'Claims Data'!D1617</f>
        <v>49809</v>
      </c>
      <c r="E1617">
        <f>'Claims Data'!H1617</f>
        <v>6.2</v>
      </c>
      <c r="F1617">
        <f>'Claims Data'!J1617</f>
        <v>485.22</v>
      </c>
      <c r="G1617" t="str">
        <f>'Claims Data'!M1617</f>
        <v>deceased_patient_billing</v>
      </c>
      <c r="H1617" t="b">
        <f>'Claims Data'!L1617</f>
        <v>1</v>
      </c>
      <c r="I1617">
        <f t="shared" si="50"/>
        <v>10</v>
      </c>
      <c r="J1617" t="str">
        <f t="shared" si="51"/>
        <v>Low Risk</v>
      </c>
    </row>
    <row r="1618" spans="1:10" x14ac:dyDescent="0.2">
      <c r="A1618" t="str">
        <f>'Claims Data'!A1618</f>
        <v>CLM01617</v>
      </c>
      <c r="B1618" t="str">
        <f>'Claims Data'!B1618</f>
        <v>PAT0032</v>
      </c>
      <c r="C1618" t="str">
        <f>'Claims Data'!C1618</f>
        <v>PRV0049</v>
      </c>
      <c r="D1618" s="1">
        <f>'Claims Data'!D1618</f>
        <v>45630</v>
      </c>
      <c r="E1618">
        <f>'Claims Data'!H1618</f>
        <v>6.7</v>
      </c>
      <c r="F1618">
        <f>'Claims Data'!J1618</f>
        <v>521.65</v>
      </c>
      <c r="G1618">
        <f>'Claims Data'!M1618</f>
        <v>0</v>
      </c>
      <c r="H1618" t="b">
        <f>'Claims Data'!L1618</f>
        <v>0</v>
      </c>
      <c r="I1618">
        <f t="shared" si="50"/>
        <v>0</v>
      </c>
      <c r="J1618" t="str">
        <f t="shared" si="51"/>
        <v>Low Risk</v>
      </c>
    </row>
    <row r="1619" spans="1:10" x14ac:dyDescent="0.2">
      <c r="A1619" t="str">
        <f>'Claims Data'!A1619</f>
        <v>CLM01618</v>
      </c>
      <c r="B1619" t="str">
        <f>'Claims Data'!B1619</f>
        <v>PAT0142</v>
      </c>
      <c r="C1619" t="str">
        <f>'Claims Data'!C1619</f>
        <v>PRV0011</v>
      </c>
      <c r="D1619" s="1">
        <f>'Claims Data'!D1619</f>
        <v>45607</v>
      </c>
      <c r="E1619">
        <f>'Claims Data'!H1619</f>
        <v>5.2</v>
      </c>
      <c r="F1619">
        <f>'Claims Data'!J1619</f>
        <v>251.68</v>
      </c>
      <c r="G1619">
        <f>'Claims Data'!M1619</f>
        <v>0</v>
      </c>
      <c r="H1619" t="b">
        <f>'Claims Data'!L1619</f>
        <v>0</v>
      </c>
      <c r="I1619">
        <f t="shared" si="50"/>
        <v>0</v>
      </c>
      <c r="J1619" t="str">
        <f t="shared" si="51"/>
        <v>Low Risk</v>
      </c>
    </row>
    <row r="1620" spans="1:10" x14ac:dyDescent="0.2">
      <c r="A1620" t="str">
        <f>'Claims Data'!A1620</f>
        <v>CLM01619</v>
      </c>
      <c r="B1620" t="str">
        <f>'Claims Data'!B1620</f>
        <v>PAT0261</v>
      </c>
      <c r="C1620" t="str">
        <f>'Claims Data'!C1620</f>
        <v>PRV0006</v>
      </c>
      <c r="D1620" s="1">
        <f>'Claims Data'!D1620</f>
        <v>45213</v>
      </c>
      <c r="E1620">
        <f>'Claims Data'!H1620</f>
        <v>5.0999999999999996</v>
      </c>
      <c r="F1620">
        <f>'Claims Data'!J1620</f>
        <v>292.98</v>
      </c>
      <c r="G1620">
        <f>'Claims Data'!M1620</f>
        <v>0</v>
      </c>
      <c r="H1620" t="b">
        <f>'Claims Data'!L1620</f>
        <v>0</v>
      </c>
      <c r="I1620">
        <f t="shared" si="50"/>
        <v>0</v>
      </c>
      <c r="J1620" t="str">
        <f t="shared" si="51"/>
        <v>Low Risk</v>
      </c>
    </row>
    <row r="1621" spans="1:10" x14ac:dyDescent="0.2">
      <c r="A1621" t="str">
        <f>'Claims Data'!A1621</f>
        <v>CLM01620</v>
      </c>
      <c r="B1621" t="str">
        <f>'Claims Data'!B1621</f>
        <v>PAT0105</v>
      </c>
      <c r="C1621" t="str">
        <f>'Claims Data'!C1621</f>
        <v>PRV0042</v>
      </c>
      <c r="D1621" s="1">
        <f>'Claims Data'!D1621</f>
        <v>45099</v>
      </c>
      <c r="E1621">
        <f>'Claims Data'!H1621</f>
        <v>5.0999999999999996</v>
      </c>
      <c r="F1621">
        <f>'Claims Data'!J1621</f>
        <v>223.05</v>
      </c>
      <c r="G1621">
        <f>'Claims Data'!M1621</f>
        <v>0</v>
      </c>
      <c r="H1621" t="b">
        <f>'Claims Data'!L1621</f>
        <v>0</v>
      </c>
      <c r="I1621">
        <f t="shared" si="50"/>
        <v>0</v>
      </c>
      <c r="J1621" t="str">
        <f t="shared" si="51"/>
        <v>Low Risk</v>
      </c>
    </row>
    <row r="1622" spans="1:10" x14ac:dyDescent="0.2">
      <c r="A1622" t="str">
        <f>'Claims Data'!A1622</f>
        <v>CLM01621</v>
      </c>
      <c r="B1622" t="str">
        <f>'Claims Data'!B1622</f>
        <v>PAT0141</v>
      </c>
      <c r="C1622" t="str">
        <f>'Claims Data'!C1622</f>
        <v>PRV0025</v>
      </c>
      <c r="D1622" s="1">
        <f>'Claims Data'!D1622</f>
        <v>45119</v>
      </c>
      <c r="E1622">
        <f>'Claims Data'!H1622</f>
        <v>2.1</v>
      </c>
      <c r="F1622">
        <f>'Claims Data'!J1622</f>
        <v>164.68</v>
      </c>
      <c r="G1622">
        <f>'Claims Data'!M1622</f>
        <v>0</v>
      </c>
      <c r="H1622" t="b">
        <f>'Claims Data'!L1622</f>
        <v>0</v>
      </c>
      <c r="I1622">
        <f t="shared" si="50"/>
        <v>0</v>
      </c>
      <c r="J1622" t="str">
        <f t="shared" si="51"/>
        <v>Low Risk</v>
      </c>
    </row>
    <row r="1623" spans="1:10" x14ac:dyDescent="0.2">
      <c r="A1623" t="str">
        <f>'Claims Data'!A1623</f>
        <v>CLM01622</v>
      </c>
      <c r="B1623" t="str">
        <f>'Claims Data'!B1623</f>
        <v>PAT0023</v>
      </c>
      <c r="C1623" t="str">
        <f>'Claims Data'!C1623</f>
        <v>PRV0045</v>
      </c>
      <c r="D1623" s="1">
        <f>'Claims Data'!D1623</f>
        <v>44943</v>
      </c>
      <c r="E1623">
        <f>'Claims Data'!H1623</f>
        <v>3.4</v>
      </c>
      <c r="F1623">
        <f>'Claims Data'!J1623</f>
        <v>242.93</v>
      </c>
      <c r="G1623">
        <f>'Claims Data'!M1623</f>
        <v>0</v>
      </c>
      <c r="H1623" t="b">
        <f>'Claims Data'!L1623</f>
        <v>0</v>
      </c>
      <c r="I1623">
        <f t="shared" si="50"/>
        <v>0</v>
      </c>
      <c r="J1623" t="str">
        <f t="shared" si="51"/>
        <v>Low Risk</v>
      </c>
    </row>
    <row r="1624" spans="1:10" x14ac:dyDescent="0.2">
      <c r="A1624" t="str">
        <f>'Claims Data'!A1624</f>
        <v>CLM01623</v>
      </c>
      <c r="B1624" t="str">
        <f>'Claims Data'!B1624</f>
        <v>PAT0114</v>
      </c>
      <c r="C1624" t="str">
        <f>'Claims Data'!C1624</f>
        <v>PRV0004</v>
      </c>
      <c r="D1624" s="1">
        <f>'Claims Data'!D1624</f>
        <v>45306</v>
      </c>
      <c r="E1624">
        <f>'Claims Data'!H1624</f>
        <v>7.9</v>
      </c>
      <c r="F1624">
        <f>'Claims Data'!J1624</f>
        <v>249.85</v>
      </c>
      <c r="G1624">
        <f>'Claims Data'!M1624</f>
        <v>0</v>
      </c>
      <c r="H1624" t="b">
        <f>'Claims Data'!L1624</f>
        <v>0</v>
      </c>
      <c r="I1624">
        <f t="shared" si="50"/>
        <v>0</v>
      </c>
      <c r="J1624" t="str">
        <f t="shared" si="51"/>
        <v>Low Risk</v>
      </c>
    </row>
    <row r="1625" spans="1:10" x14ac:dyDescent="0.2">
      <c r="A1625" t="str">
        <f>'Claims Data'!A1625</f>
        <v>CLM01624</v>
      </c>
      <c r="B1625" t="str">
        <f>'Claims Data'!B1625</f>
        <v>PAT0212</v>
      </c>
      <c r="C1625" t="str">
        <f>'Claims Data'!C1625</f>
        <v>PRV0029</v>
      </c>
      <c r="D1625" s="1">
        <f>'Claims Data'!D1625</f>
        <v>45321</v>
      </c>
      <c r="E1625">
        <f>'Claims Data'!H1625</f>
        <v>3.6</v>
      </c>
      <c r="F1625">
        <f>'Claims Data'!J1625</f>
        <v>199.62</v>
      </c>
      <c r="G1625">
        <f>'Claims Data'!M1625</f>
        <v>0</v>
      </c>
      <c r="H1625" t="b">
        <f>'Claims Data'!L1625</f>
        <v>0</v>
      </c>
      <c r="I1625">
        <f t="shared" si="50"/>
        <v>0</v>
      </c>
      <c r="J1625" t="str">
        <f t="shared" si="51"/>
        <v>Low Risk</v>
      </c>
    </row>
    <row r="1626" spans="1:10" x14ac:dyDescent="0.2">
      <c r="A1626" t="str">
        <f>'Claims Data'!A1626</f>
        <v>CLM01625</v>
      </c>
      <c r="B1626" t="str">
        <f>'Claims Data'!B1626</f>
        <v>PAT0068</v>
      </c>
      <c r="C1626" t="str">
        <f>'Claims Data'!C1626</f>
        <v>PRV0013</v>
      </c>
      <c r="D1626" s="1">
        <f>'Claims Data'!D1626</f>
        <v>45084</v>
      </c>
      <c r="E1626">
        <f>'Claims Data'!H1626</f>
        <v>6.5</v>
      </c>
      <c r="F1626">
        <f>'Claims Data'!J1626</f>
        <v>529.62</v>
      </c>
      <c r="G1626">
        <f>'Claims Data'!M1626</f>
        <v>0</v>
      </c>
      <c r="H1626" t="b">
        <f>'Claims Data'!L1626</f>
        <v>0</v>
      </c>
      <c r="I1626">
        <f t="shared" si="50"/>
        <v>0</v>
      </c>
      <c r="J1626" t="str">
        <f t="shared" si="51"/>
        <v>Low Risk</v>
      </c>
    </row>
    <row r="1627" spans="1:10" x14ac:dyDescent="0.2">
      <c r="A1627" t="str">
        <f>'Claims Data'!A1627</f>
        <v>CLM01626</v>
      </c>
      <c r="B1627" t="str">
        <f>'Claims Data'!B1627</f>
        <v>PAT0299</v>
      </c>
      <c r="C1627" t="str">
        <f>'Claims Data'!C1627</f>
        <v>PRV0027</v>
      </c>
      <c r="D1627" s="1">
        <f>'Claims Data'!D1627</f>
        <v>45141</v>
      </c>
      <c r="E1627">
        <f>'Claims Data'!H1627</f>
        <v>5.4</v>
      </c>
      <c r="F1627">
        <f>'Claims Data'!J1627</f>
        <v>136.69</v>
      </c>
      <c r="G1627">
        <f>'Claims Data'!M1627</f>
        <v>0</v>
      </c>
      <c r="H1627" t="b">
        <f>'Claims Data'!L1627</f>
        <v>0</v>
      </c>
      <c r="I1627">
        <f t="shared" si="50"/>
        <v>0</v>
      </c>
      <c r="J1627" t="str">
        <f t="shared" si="51"/>
        <v>Low Risk</v>
      </c>
    </row>
    <row r="1628" spans="1:10" x14ac:dyDescent="0.2">
      <c r="A1628" t="str">
        <f>'Claims Data'!A1628</f>
        <v>CLM01627</v>
      </c>
      <c r="B1628" t="str">
        <f>'Claims Data'!B1628</f>
        <v>PAT0279</v>
      </c>
      <c r="C1628" t="str">
        <f>'Claims Data'!C1628</f>
        <v>PRV0038</v>
      </c>
      <c r="D1628" s="1">
        <f>'Claims Data'!D1628</f>
        <v>45295</v>
      </c>
      <c r="E1628">
        <f>'Claims Data'!H1628</f>
        <v>6.8</v>
      </c>
      <c r="F1628">
        <f>'Claims Data'!J1628</f>
        <v>573.51</v>
      </c>
      <c r="G1628">
        <f>'Claims Data'!M1628</f>
        <v>0</v>
      </c>
      <c r="H1628" t="b">
        <f>'Claims Data'!L1628</f>
        <v>0</v>
      </c>
      <c r="I1628">
        <f t="shared" si="50"/>
        <v>0</v>
      </c>
      <c r="J1628" t="str">
        <f t="shared" si="51"/>
        <v>Low Risk</v>
      </c>
    </row>
    <row r="1629" spans="1:10" x14ac:dyDescent="0.2">
      <c r="A1629" t="str">
        <f>'Claims Data'!A1629</f>
        <v>CLM01628</v>
      </c>
      <c r="B1629" t="str">
        <f>'Claims Data'!B1629</f>
        <v>PAT0127</v>
      </c>
      <c r="C1629" t="str">
        <f>'Claims Data'!C1629</f>
        <v>PRV0043</v>
      </c>
      <c r="D1629" s="1">
        <f>'Claims Data'!D1629</f>
        <v>45389</v>
      </c>
      <c r="E1629">
        <f>'Claims Data'!H1629</f>
        <v>4.0999999999999996</v>
      </c>
      <c r="F1629">
        <f>'Claims Data'!J1629</f>
        <v>172.5</v>
      </c>
      <c r="G1629">
        <f>'Claims Data'!M1629</f>
        <v>0</v>
      </c>
      <c r="H1629" t="b">
        <f>'Claims Data'!L1629</f>
        <v>0</v>
      </c>
      <c r="I1629">
        <f t="shared" si="50"/>
        <v>0</v>
      </c>
      <c r="J1629" t="str">
        <f t="shared" si="51"/>
        <v>Low Risk</v>
      </c>
    </row>
    <row r="1630" spans="1:10" x14ac:dyDescent="0.2">
      <c r="A1630" t="str">
        <f>'Claims Data'!A1630</f>
        <v>CLM01629</v>
      </c>
      <c r="B1630" t="str">
        <f>'Claims Data'!B1630</f>
        <v>PAT0277</v>
      </c>
      <c r="C1630" t="str">
        <f>'Claims Data'!C1630</f>
        <v>PRV0035</v>
      </c>
      <c r="D1630" s="1">
        <f>'Claims Data'!D1630</f>
        <v>45606</v>
      </c>
      <c r="E1630">
        <f>'Claims Data'!H1630</f>
        <v>6.3</v>
      </c>
      <c r="F1630">
        <f>'Claims Data'!J1630</f>
        <v>353.93</v>
      </c>
      <c r="G1630">
        <f>'Claims Data'!M1630</f>
        <v>0</v>
      </c>
      <c r="H1630" t="b">
        <f>'Claims Data'!L1630</f>
        <v>0</v>
      </c>
      <c r="I1630">
        <f t="shared" si="50"/>
        <v>0</v>
      </c>
      <c r="J1630" t="str">
        <f t="shared" si="51"/>
        <v>Low Risk</v>
      </c>
    </row>
    <row r="1631" spans="1:10" x14ac:dyDescent="0.2">
      <c r="A1631" t="str">
        <f>'Claims Data'!A1631</f>
        <v>CLM01630</v>
      </c>
      <c r="B1631" t="str">
        <f>'Claims Data'!B1631</f>
        <v>PAT0185</v>
      </c>
      <c r="C1631" t="str">
        <f>'Claims Data'!C1631</f>
        <v>PRV0007</v>
      </c>
      <c r="D1631" s="1">
        <f>'Claims Data'!D1631</f>
        <v>44927</v>
      </c>
      <c r="E1631">
        <f>'Claims Data'!H1631</f>
        <v>4</v>
      </c>
      <c r="F1631">
        <f>'Claims Data'!J1631</f>
        <v>239.77</v>
      </c>
      <c r="G1631">
        <f>'Claims Data'!M1631</f>
        <v>0</v>
      </c>
      <c r="H1631" t="b">
        <f>'Claims Data'!L1631</f>
        <v>0</v>
      </c>
      <c r="I1631">
        <f t="shared" si="50"/>
        <v>0</v>
      </c>
      <c r="J1631" t="str">
        <f t="shared" si="51"/>
        <v>Low Risk</v>
      </c>
    </row>
    <row r="1632" spans="1:10" x14ac:dyDescent="0.2">
      <c r="A1632" t="str">
        <f>'Claims Data'!A1632</f>
        <v>CLM01631</v>
      </c>
      <c r="B1632" t="str">
        <f>'Claims Data'!B1632</f>
        <v>PAT0128</v>
      </c>
      <c r="C1632" t="str">
        <f>'Claims Data'!C1632</f>
        <v>PRV0030</v>
      </c>
      <c r="D1632" s="1">
        <f>'Claims Data'!D1632</f>
        <v>45135</v>
      </c>
      <c r="E1632">
        <f>'Claims Data'!H1632</f>
        <v>2.6</v>
      </c>
      <c r="F1632">
        <f>'Claims Data'!J1632</f>
        <v>176.02</v>
      </c>
      <c r="G1632">
        <f>'Claims Data'!M1632</f>
        <v>0</v>
      </c>
      <c r="H1632" t="b">
        <f>'Claims Data'!L1632</f>
        <v>0</v>
      </c>
      <c r="I1632">
        <f t="shared" si="50"/>
        <v>0</v>
      </c>
      <c r="J1632" t="str">
        <f t="shared" si="51"/>
        <v>Low Risk</v>
      </c>
    </row>
    <row r="1633" spans="1:10" x14ac:dyDescent="0.2">
      <c r="A1633" t="str">
        <f>'Claims Data'!A1633</f>
        <v>CLM01632</v>
      </c>
      <c r="B1633" t="str">
        <f>'Claims Data'!B1633</f>
        <v>PAT0048</v>
      </c>
      <c r="C1633" t="str">
        <f>'Claims Data'!C1633</f>
        <v>PRV0021</v>
      </c>
      <c r="D1633" s="1">
        <f>'Claims Data'!D1633</f>
        <v>45113</v>
      </c>
      <c r="E1633">
        <f>'Claims Data'!H1633</f>
        <v>2.6</v>
      </c>
      <c r="F1633">
        <f>'Claims Data'!J1633</f>
        <v>131.28</v>
      </c>
      <c r="G1633">
        <f>'Claims Data'!M1633</f>
        <v>0</v>
      </c>
      <c r="H1633" t="b">
        <f>'Claims Data'!L1633</f>
        <v>0</v>
      </c>
      <c r="I1633">
        <f t="shared" si="50"/>
        <v>0</v>
      </c>
      <c r="J1633" t="str">
        <f t="shared" si="51"/>
        <v>Low Risk</v>
      </c>
    </row>
    <row r="1634" spans="1:10" x14ac:dyDescent="0.2">
      <c r="A1634" t="str">
        <f>'Claims Data'!A1634</f>
        <v>CLM01633</v>
      </c>
      <c r="B1634" t="str">
        <f>'Claims Data'!B1634</f>
        <v>PAT0173</v>
      </c>
      <c r="C1634" t="str">
        <f>'Claims Data'!C1634</f>
        <v>PRV0035</v>
      </c>
      <c r="D1634" s="1">
        <f>'Claims Data'!D1634</f>
        <v>45364</v>
      </c>
      <c r="E1634">
        <f>'Claims Data'!H1634</f>
        <v>3.3</v>
      </c>
      <c r="F1634">
        <f>'Claims Data'!J1634</f>
        <v>97.96</v>
      </c>
      <c r="G1634">
        <f>'Claims Data'!M1634</f>
        <v>0</v>
      </c>
      <c r="H1634" t="b">
        <f>'Claims Data'!L1634</f>
        <v>0</v>
      </c>
      <c r="I1634">
        <f t="shared" si="50"/>
        <v>0</v>
      </c>
      <c r="J1634" t="str">
        <f t="shared" si="51"/>
        <v>Low Risk</v>
      </c>
    </row>
    <row r="1635" spans="1:10" x14ac:dyDescent="0.2">
      <c r="A1635" t="str">
        <f>'Claims Data'!A1635</f>
        <v>CLM01634</v>
      </c>
      <c r="B1635" t="str">
        <f>'Claims Data'!B1635</f>
        <v>PAT0202</v>
      </c>
      <c r="C1635" t="str">
        <f>'Claims Data'!C1635</f>
        <v>PRV0033</v>
      </c>
      <c r="D1635" s="1">
        <f>'Claims Data'!D1635</f>
        <v>45604</v>
      </c>
      <c r="E1635">
        <f>'Claims Data'!H1635</f>
        <v>5.5</v>
      </c>
      <c r="F1635">
        <f>'Claims Data'!J1635</f>
        <v>308.75</v>
      </c>
      <c r="G1635">
        <f>'Claims Data'!M1635</f>
        <v>0</v>
      </c>
      <c r="H1635" t="b">
        <f>'Claims Data'!L1635</f>
        <v>0</v>
      </c>
      <c r="I1635">
        <f t="shared" si="50"/>
        <v>0</v>
      </c>
      <c r="J1635" t="str">
        <f t="shared" si="51"/>
        <v>Low Risk</v>
      </c>
    </row>
    <row r="1636" spans="1:10" x14ac:dyDescent="0.2">
      <c r="A1636" t="str">
        <f>'Claims Data'!A1636</f>
        <v>CLM01635</v>
      </c>
      <c r="B1636" t="str">
        <f>'Claims Data'!B1636</f>
        <v>PAT0177</v>
      </c>
      <c r="C1636" t="str">
        <f>'Claims Data'!C1636</f>
        <v>PRV0003</v>
      </c>
      <c r="D1636" s="1">
        <f>'Claims Data'!D1636</f>
        <v>45633</v>
      </c>
      <c r="E1636">
        <f>'Claims Data'!H1636</f>
        <v>5.5</v>
      </c>
      <c r="F1636">
        <f>'Claims Data'!J1636</f>
        <v>347.53</v>
      </c>
      <c r="G1636" t="str">
        <f>'Claims Data'!M1636</f>
        <v>duplicate_claim</v>
      </c>
      <c r="H1636" t="b">
        <f>'Claims Data'!L1636</f>
        <v>1</v>
      </c>
      <c r="I1636">
        <f t="shared" si="50"/>
        <v>10</v>
      </c>
      <c r="J1636" t="str">
        <f t="shared" si="51"/>
        <v>Low Risk</v>
      </c>
    </row>
    <row r="1637" spans="1:10" x14ac:dyDescent="0.2">
      <c r="A1637" t="str">
        <f>'Claims Data'!A1637</f>
        <v>CLM01636</v>
      </c>
      <c r="B1637" t="str">
        <f>'Claims Data'!B1637</f>
        <v>PAT0030</v>
      </c>
      <c r="C1637" t="str">
        <f>'Claims Data'!C1637</f>
        <v>PRV0026</v>
      </c>
      <c r="D1637" s="1">
        <f>'Claims Data'!D1637</f>
        <v>45058</v>
      </c>
      <c r="E1637">
        <f>'Claims Data'!H1637</f>
        <v>22.5</v>
      </c>
      <c r="F1637">
        <f>'Claims Data'!J1637</f>
        <v>1125.45</v>
      </c>
      <c r="G1637" t="str">
        <f>'Claims Data'!M1637</f>
        <v>inflated_hours</v>
      </c>
      <c r="H1637" t="b">
        <f>'Claims Data'!L1637</f>
        <v>1</v>
      </c>
      <c r="I1637">
        <f t="shared" si="50"/>
        <v>50</v>
      </c>
      <c r="J1637" t="str">
        <f t="shared" si="51"/>
        <v>Medium Risk</v>
      </c>
    </row>
    <row r="1638" spans="1:10" x14ac:dyDescent="0.2">
      <c r="A1638" t="str">
        <f>'Claims Data'!A1638</f>
        <v>CLM01637</v>
      </c>
      <c r="B1638" t="str">
        <f>'Claims Data'!B1638</f>
        <v>PAT0060</v>
      </c>
      <c r="C1638" t="str">
        <f>'Claims Data'!C1638</f>
        <v>PRV0034</v>
      </c>
      <c r="D1638" s="1">
        <f>'Claims Data'!D1638</f>
        <v>45593</v>
      </c>
      <c r="E1638">
        <f>'Claims Data'!H1638</f>
        <v>5</v>
      </c>
      <c r="F1638">
        <f>'Claims Data'!J1638</f>
        <v>270.43</v>
      </c>
      <c r="G1638">
        <f>'Claims Data'!M1638</f>
        <v>0</v>
      </c>
      <c r="H1638" t="b">
        <f>'Claims Data'!L1638</f>
        <v>0</v>
      </c>
      <c r="I1638">
        <f t="shared" si="50"/>
        <v>0</v>
      </c>
      <c r="J1638" t="str">
        <f t="shared" si="51"/>
        <v>Low Risk</v>
      </c>
    </row>
    <row r="1639" spans="1:10" x14ac:dyDescent="0.2">
      <c r="A1639" t="str">
        <f>'Claims Data'!A1639</f>
        <v>CLM01638</v>
      </c>
      <c r="B1639" t="str">
        <f>'Claims Data'!B1639</f>
        <v>PAT0203</v>
      </c>
      <c r="C1639" t="str">
        <f>'Claims Data'!C1639</f>
        <v>PRV0023</v>
      </c>
      <c r="D1639" s="1">
        <f>'Claims Data'!D1639</f>
        <v>45449</v>
      </c>
      <c r="E1639">
        <f>'Claims Data'!H1639</f>
        <v>7.8</v>
      </c>
      <c r="F1639">
        <f>'Claims Data'!J1639</f>
        <v>435.17</v>
      </c>
      <c r="G1639">
        <f>'Claims Data'!M1639</f>
        <v>0</v>
      </c>
      <c r="H1639" t="b">
        <f>'Claims Data'!L1639</f>
        <v>0</v>
      </c>
      <c r="I1639">
        <f t="shared" si="50"/>
        <v>0</v>
      </c>
      <c r="J1639" t="str">
        <f t="shared" si="51"/>
        <v>Low Risk</v>
      </c>
    </row>
    <row r="1640" spans="1:10" x14ac:dyDescent="0.2">
      <c r="A1640" t="str">
        <f>'Claims Data'!A1640</f>
        <v>CLM01639</v>
      </c>
      <c r="B1640" t="str">
        <f>'Claims Data'!B1640</f>
        <v>PAT0189</v>
      </c>
      <c r="C1640" t="str">
        <f>'Claims Data'!C1640</f>
        <v>PRV0022</v>
      </c>
      <c r="D1640" s="1">
        <f>'Claims Data'!D1640</f>
        <v>44980</v>
      </c>
      <c r="E1640">
        <f>'Claims Data'!H1640</f>
        <v>6.2</v>
      </c>
      <c r="F1640">
        <f>'Claims Data'!J1640</f>
        <v>324.42</v>
      </c>
      <c r="G1640">
        <f>'Claims Data'!M1640</f>
        <v>0</v>
      </c>
      <c r="H1640" t="b">
        <f>'Claims Data'!L1640</f>
        <v>0</v>
      </c>
      <c r="I1640">
        <f t="shared" si="50"/>
        <v>0</v>
      </c>
      <c r="J1640" t="str">
        <f t="shared" si="51"/>
        <v>Low Risk</v>
      </c>
    </row>
    <row r="1641" spans="1:10" x14ac:dyDescent="0.2">
      <c r="A1641" t="str">
        <f>'Claims Data'!A1641</f>
        <v>CLM01640</v>
      </c>
      <c r="B1641" t="str">
        <f>'Claims Data'!B1641</f>
        <v>PAT0071</v>
      </c>
      <c r="C1641" t="str">
        <f>'Claims Data'!C1641</f>
        <v>PRV0013</v>
      </c>
      <c r="D1641" s="1">
        <f>'Claims Data'!D1641</f>
        <v>45056</v>
      </c>
      <c r="E1641">
        <f>'Claims Data'!H1641</f>
        <v>7.7</v>
      </c>
      <c r="F1641">
        <f>'Claims Data'!J1641</f>
        <v>363.13</v>
      </c>
      <c r="G1641">
        <f>'Claims Data'!M1641</f>
        <v>0</v>
      </c>
      <c r="H1641" t="b">
        <f>'Claims Data'!L1641</f>
        <v>0</v>
      </c>
      <c r="I1641">
        <f t="shared" si="50"/>
        <v>0</v>
      </c>
      <c r="J1641" t="str">
        <f t="shared" si="51"/>
        <v>Low Risk</v>
      </c>
    </row>
    <row r="1642" spans="1:10" x14ac:dyDescent="0.2">
      <c r="A1642" t="str">
        <f>'Claims Data'!A1642</f>
        <v>CLM01641</v>
      </c>
      <c r="B1642" t="str">
        <f>'Claims Data'!B1642</f>
        <v>PAT0103</v>
      </c>
      <c r="C1642" t="str">
        <f>'Claims Data'!C1642</f>
        <v>PRV0003</v>
      </c>
      <c r="D1642" s="1">
        <f>'Claims Data'!D1642</f>
        <v>45593</v>
      </c>
      <c r="E1642">
        <f>'Claims Data'!H1642</f>
        <v>2.7</v>
      </c>
      <c r="F1642">
        <f>'Claims Data'!J1642</f>
        <v>127.37</v>
      </c>
      <c r="G1642">
        <f>'Claims Data'!M1642</f>
        <v>0</v>
      </c>
      <c r="H1642" t="b">
        <f>'Claims Data'!L1642</f>
        <v>0</v>
      </c>
      <c r="I1642">
        <f t="shared" si="50"/>
        <v>0</v>
      </c>
      <c r="J1642" t="str">
        <f t="shared" si="51"/>
        <v>Low Risk</v>
      </c>
    </row>
    <row r="1643" spans="1:10" x14ac:dyDescent="0.2">
      <c r="A1643" t="str">
        <f>'Claims Data'!A1643</f>
        <v>CLM01642</v>
      </c>
      <c r="B1643" t="str">
        <f>'Claims Data'!B1643</f>
        <v>PAT0126</v>
      </c>
      <c r="C1643" t="str">
        <f>'Claims Data'!C1643</f>
        <v>PRV0057</v>
      </c>
      <c r="D1643" s="1">
        <f>'Claims Data'!D1643</f>
        <v>45012</v>
      </c>
      <c r="E1643">
        <f>'Claims Data'!H1643</f>
        <v>5.0999999999999996</v>
      </c>
      <c r="F1643">
        <f>'Claims Data'!J1643</f>
        <v>163.53</v>
      </c>
      <c r="G1643">
        <f>'Claims Data'!M1643</f>
        <v>0</v>
      </c>
      <c r="H1643" t="b">
        <f>'Claims Data'!L1643</f>
        <v>0</v>
      </c>
      <c r="I1643">
        <f t="shared" si="50"/>
        <v>0</v>
      </c>
      <c r="J1643" t="str">
        <f t="shared" si="51"/>
        <v>Low Risk</v>
      </c>
    </row>
    <row r="1644" spans="1:10" x14ac:dyDescent="0.2">
      <c r="A1644" t="str">
        <f>'Claims Data'!A1644</f>
        <v>CLM01643</v>
      </c>
      <c r="B1644" t="str">
        <f>'Claims Data'!B1644</f>
        <v>PAT0083</v>
      </c>
      <c r="C1644" t="str">
        <f>'Claims Data'!C1644</f>
        <v>PRV0022</v>
      </c>
      <c r="D1644" s="1">
        <f>'Claims Data'!D1644</f>
        <v>45145</v>
      </c>
      <c r="E1644">
        <f>'Claims Data'!H1644</f>
        <v>3.8</v>
      </c>
      <c r="F1644">
        <f>'Claims Data'!J1644</f>
        <v>205.79</v>
      </c>
      <c r="G1644">
        <f>'Claims Data'!M1644</f>
        <v>0</v>
      </c>
      <c r="H1644" t="b">
        <f>'Claims Data'!L1644</f>
        <v>0</v>
      </c>
      <c r="I1644">
        <f t="shared" si="50"/>
        <v>0</v>
      </c>
      <c r="J1644" t="str">
        <f t="shared" si="51"/>
        <v>Low Risk</v>
      </c>
    </row>
    <row r="1645" spans="1:10" x14ac:dyDescent="0.2">
      <c r="A1645" t="str">
        <f>'Claims Data'!A1645</f>
        <v>CLM01644</v>
      </c>
      <c r="B1645" t="str">
        <f>'Claims Data'!B1645</f>
        <v>PAT0036</v>
      </c>
      <c r="C1645" t="str">
        <f>'Claims Data'!C1645</f>
        <v>PRV0014</v>
      </c>
      <c r="D1645" s="1">
        <f>'Claims Data'!D1645</f>
        <v>45295</v>
      </c>
      <c r="E1645">
        <f>'Claims Data'!H1645</f>
        <v>6.7</v>
      </c>
      <c r="F1645">
        <f>'Claims Data'!J1645</f>
        <v>337.05</v>
      </c>
      <c r="G1645">
        <f>'Claims Data'!M1645</f>
        <v>0</v>
      </c>
      <c r="H1645" t="b">
        <f>'Claims Data'!L1645</f>
        <v>0</v>
      </c>
      <c r="I1645">
        <f t="shared" si="50"/>
        <v>0</v>
      </c>
      <c r="J1645" t="str">
        <f t="shared" si="51"/>
        <v>Low Risk</v>
      </c>
    </row>
    <row r="1646" spans="1:10" x14ac:dyDescent="0.2">
      <c r="A1646" t="str">
        <f>'Claims Data'!A1646</f>
        <v>CLM01645</v>
      </c>
      <c r="B1646" t="str">
        <f>'Claims Data'!B1646</f>
        <v>PAT0107</v>
      </c>
      <c r="C1646" t="str">
        <f>'Claims Data'!C1646</f>
        <v>PRV0034</v>
      </c>
      <c r="D1646" s="1">
        <f>'Claims Data'!D1646</f>
        <v>44968</v>
      </c>
      <c r="E1646">
        <f>'Claims Data'!H1646</f>
        <v>3.3</v>
      </c>
      <c r="F1646">
        <f>'Claims Data'!J1646</f>
        <v>244.69</v>
      </c>
      <c r="G1646">
        <f>'Claims Data'!M1646</f>
        <v>0</v>
      </c>
      <c r="H1646" t="b">
        <f>'Claims Data'!L1646</f>
        <v>0</v>
      </c>
      <c r="I1646">
        <f t="shared" si="50"/>
        <v>0</v>
      </c>
      <c r="J1646" t="str">
        <f t="shared" si="51"/>
        <v>Low Risk</v>
      </c>
    </row>
    <row r="1647" spans="1:10" x14ac:dyDescent="0.2">
      <c r="A1647" t="str">
        <f>'Claims Data'!A1647</f>
        <v>CLM01646</v>
      </c>
      <c r="B1647" t="str">
        <f>'Claims Data'!B1647</f>
        <v>PAT0094</v>
      </c>
      <c r="C1647" t="str">
        <f>'Claims Data'!C1647</f>
        <v>PRV0009</v>
      </c>
      <c r="D1647" s="1">
        <f>'Claims Data'!D1647</f>
        <v>45053</v>
      </c>
      <c r="E1647">
        <f>'Claims Data'!H1647</f>
        <v>2.7</v>
      </c>
      <c r="F1647">
        <f>'Claims Data'!J1647</f>
        <v>123.98</v>
      </c>
      <c r="G1647">
        <f>'Claims Data'!M1647</f>
        <v>0</v>
      </c>
      <c r="H1647" t="b">
        <f>'Claims Data'!L1647</f>
        <v>0</v>
      </c>
      <c r="I1647">
        <f t="shared" si="50"/>
        <v>0</v>
      </c>
      <c r="J1647" t="str">
        <f t="shared" si="51"/>
        <v>Low Risk</v>
      </c>
    </row>
    <row r="1648" spans="1:10" x14ac:dyDescent="0.2">
      <c r="A1648" t="str">
        <f>'Claims Data'!A1648</f>
        <v>CLM01647</v>
      </c>
      <c r="B1648" t="str">
        <f>'Claims Data'!B1648</f>
        <v>PAT0258</v>
      </c>
      <c r="C1648" t="str">
        <f>'Claims Data'!C1648</f>
        <v>PRV0052</v>
      </c>
      <c r="D1648" s="1">
        <f>'Claims Data'!D1648</f>
        <v>45148</v>
      </c>
      <c r="E1648">
        <f>'Claims Data'!H1648</f>
        <v>4.9000000000000004</v>
      </c>
      <c r="F1648">
        <f>'Claims Data'!J1648</f>
        <v>213.55</v>
      </c>
      <c r="G1648">
        <f>'Claims Data'!M1648</f>
        <v>0</v>
      </c>
      <c r="H1648" t="b">
        <f>'Claims Data'!L1648</f>
        <v>0</v>
      </c>
      <c r="I1648">
        <f t="shared" si="50"/>
        <v>0</v>
      </c>
      <c r="J1648" t="str">
        <f t="shared" si="51"/>
        <v>Low Risk</v>
      </c>
    </row>
    <row r="1649" spans="1:10" x14ac:dyDescent="0.2">
      <c r="A1649" t="str">
        <f>'Claims Data'!A1649</f>
        <v>CLM01648</v>
      </c>
      <c r="B1649" t="str">
        <f>'Claims Data'!B1649</f>
        <v>PAT0214</v>
      </c>
      <c r="C1649" t="str">
        <f>'Claims Data'!C1649</f>
        <v>PRV0038</v>
      </c>
      <c r="D1649" s="1">
        <f>'Claims Data'!D1649</f>
        <v>45549</v>
      </c>
      <c r="E1649">
        <f>'Claims Data'!H1649</f>
        <v>6.7</v>
      </c>
      <c r="F1649">
        <f>'Claims Data'!J1649</f>
        <v>358.54</v>
      </c>
      <c r="G1649">
        <f>'Claims Data'!M1649</f>
        <v>0</v>
      </c>
      <c r="H1649" t="b">
        <f>'Claims Data'!L1649</f>
        <v>0</v>
      </c>
      <c r="I1649">
        <f t="shared" si="50"/>
        <v>0</v>
      </c>
      <c r="J1649" t="str">
        <f t="shared" si="51"/>
        <v>Low Risk</v>
      </c>
    </row>
    <row r="1650" spans="1:10" x14ac:dyDescent="0.2">
      <c r="A1650" t="str">
        <f>'Claims Data'!A1650</f>
        <v>CLM01649</v>
      </c>
      <c r="B1650" t="str">
        <f>'Claims Data'!B1650</f>
        <v>PAT0232</v>
      </c>
      <c r="C1650" t="str">
        <f>'Claims Data'!C1650</f>
        <v>PRV0016</v>
      </c>
      <c r="D1650" s="1">
        <f>'Claims Data'!D1650</f>
        <v>45611</v>
      </c>
      <c r="E1650">
        <f>'Claims Data'!H1650</f>
        <v>6.6</v>
      </c>
      <c r="F1650">
        <f>'Claims Data'!J1650</f>
        <v>364.89</v>
      </c>
      <c r="G1650">
        <f>'Claims Data'!M1650</f>
        <v>0</v>
      </c>
      <c r="H1650" t="b">
        <f>'Claims Data'!L1650</f>
        <v>0</v>
      </c>
      <c r="I1650">
        <f t="shared" si="50"/>
        <v>0</v>
      </c>
      <c r="J1650" t="str">
        <f t="shared" si="51"/>
        <v>Low Risk</v>
      </c>
    </row>
    <row r="1651" spans="1:10" x14ac:dyDescent="0.2">
      <c r="A1651" t="str">
        <f>'Claims Data'!A1651</f>
        <v>CLM01650</v>
      </c>
      <c r="B1651" t="str">
        <f>'Claims Data'!B1651</f>
        <v>PAT0187</v>
      </c>
      <c r="C1651" t="str">
        <f>'Claims Data'!C1651</f>
        <v>PRV0036</v>
      </c>
      <c r="D1651" s="1">
        <f>'Claims Data'!D1651</f>
        <v>45052</v>
      </c>
      <c r="E1651">
        <f>'Claims Data'!H1651</f>
        <v>6</v>
      </c>
      <c r="F1651">
        <f>'Claims Data'!J1651</f>
        <v>203.63</v>
      </c>
      <c r="G1651">
        <f>'Claims Data'!M1651</f>
        <v>0</v>
      </c>
      <c r="H1651" t="b">
        <f>'Claims Data'!L1651</f>
        <v>0</v>
      </c>
      <c r="I1651">
        <f t="shared" si="50"/>
        <v>0</v>
      </c>
      <c r="J1651" t="str">
        <f t="shared" si="51"/>
        <v>Low Risk</v>
      </c>
    </row>
    <row r="1652" spans="1:10" x14ac:dyDescent="0.2">
      <c r="A1652" t="str">
        <f>'Claims Data'!A1652</f>
        <v>CLM01651</v>
      </c>
      <c r="B1652" t="str">
        <f>'Claims Data'!B1652</f>
        <v>PAT0084</v>
      </c>
      <c r="C1652" t="str">
        <f>'Claims Data'!C1652</f>
        <v>PRV0013</v>
      </c>
      <c r="D1652" s="1">
        <f>'Claims Data'!D1652</f>
        <v>46427</v>
      </c>
      <c r="E1652">
        <f>'Claims Data'!H1652</f>
        <v>2.5</v>
      </c>
      <c r="F1652">
        <f>'Claims Data'!J1652</f>
        <v>156.22</v>
      </c>
      <c r="G1652" t="str">
        <f>'Claims Data'!M1652</f>
        <v>deceased_patient_billing</v>
      </c>
      <c r="H1652" t="b">
        <f>'Claims Data'!L1652</f>
        <v>1</v>
      </c>
      <c r="I1652">
        <f t="shared" si="50"/>
        <v>10</v>
      </c>
      <c r="J1652" t="str">
        <f t="shared" si="51"/>
        <v>Low Risk</v>
      </c>
    </row>
    <row r="1653" spans="1:10" x14ac:dyDescent="0.2">
      <c r="A1653" t="str">
        <f>'Claims Data'!A1653</f>
        <v>CLM01652</v>
      </c>
      <c r="B1653" t="str">
        <f>'Claims Data'!B1653</f>
        <v>PAT0060</v>
      </c>
      <c r="C1653" t="str">
        <f>'Claims Data'!C1653</f>
        <v>PRV0019</v>
      </c>
      <c r="D1653" s="1">
        <f>'Claims Data'!D1653</f>
        <v>45282</v>
      </c>
      <c r="E1653">
        <f>'Claims Data'!H1653</f>
        <v>4.3</v>
      </c>
      <c r="F1653">
        <f>'Claims Data'!J1653</f>
        <v>339.76</v>
      </c>
      <c r="G1653">
        <f>'Claims Data'!M1653</f>
        <v>0</v>
      </c>
      <c r="H1653" t="b">
        <f>'Claims Data'!L1653</f>
        <v>0</v>
      </c>
      <c r="I1653">
        <f t="shared" si="50"/>
        <v>0</v>
      </c>
      <c r="J1653" t="str">
        <f t="shared" si="51"/>
        <v>Low Risk</v>
      </c>
    </row>
    <row r="1654" spans="1:10" x14ac:dyDescent="0.2">
      <c r="A1654" t="str">
        <f>'Claims Data'!A1654</f>
        <v>CLM01653</v>
      </c>
      <c r="B1654" t="str">
        <f>'Claims Data'!B1654</f>
        <v>PAT0102</v>
      </c>
      <c r="C1654" t="str">
        <f>'Claims Data'!C1654</f>
        <v>PRV0001</v>
      </c>
      <c r="D1654" s="1">
        <f>'Claims Data'!D1654</f>
        <v>45575</v>
      </c>
      <c r="E1654">
        <f>'Claims Data'!H1654</f>
        <v>7.7</v>
      </c>
      <c r="F1654">
        <f>'Claims Data'!J1654</f>
        <v>603.70000000000005</v>
      </c>
      <c r="G1654" t="str">
        <f>'Claims Data'!M1654</f>
        <v>duplicate_claim</v>
      </c>
      <c r="H1654" t="b">
        <f>'Claims Data'!L1654</f>
        <v>1</v>
      </c>
      <c r="I1654">
        <f t="shared" si="50"/>
        <v>10</v>
      </c>
      <c r="J1654" t="str">
        <f t="shared" si="51"/>
        <v>Low Risk</v>
      </c>
    </row>
    <row r="1655" spans="1:10" x14ac:dyDescent="0.2">
      <c r="A1655" t="str">
        <f>'Claims Data'!A1655</f>
        <v>CLM01654</v>
      </c>
      <c r="B1655" t="str">
        <f>'Claims Data'!B1655</f>
        <v>PAT0151</v>
      </c>
      <c r="C1655" t="str">
        <f>'Claims Data'!C1655</f>
        <v>PRV0039</v>
      </c>
      <c r="D1655" s="1">
        <f>'Claims Data'!D1655</f>
        <v>45318</v>
      </c>
      <c r="E1655">
        <f>'Claims Data'!H1655</f>
        <v>5.9</v>
      </c>
      <c r="F1655">
        <f>'Claims Data'!J1655</f>
        <v>454.05</v>
      </c>
      <c r="G1655">
        <f>'Claims Data'!M1655</f>
        <v>0</v>
      </c>
      <c r="H1655" t="b">
        <f>'Claims Data'!L1655</f>
        <v>0</v>
      </c>
      <c r="I1655">
        <f t="shared" si="50"/>
        <v>0</v>
      </c>
      <c r="J1655" t="str">
        <f t="shared" si="51"/>
        <v>Low Risk</v>
      </c>
    </row>
    <row r="1656" spans="1:10" x14ac:dyDescent="0.2">
      <c r="A1656" t="str">
        <f>'Claims Data'!A1656</f>
        <v>CLM01655</v>
      </c>
      <c r="B1656" t="str">
        <f>'Claims Data'!B1656</f>
        <v>PAT0161</v>
      </c>
      <c r="C1656" t="str">
        <f>'Claims Data'!C1656</f>
        <v>PRV0055</v>
      </c>
      <c r="D1656" s="1">
        <f>'Claims Data'!D1656</f>
        <v>45351</v>
      </c>
      <c r="E1656">
        <f>'Claims Data'!H1656</f>
        <v>5.4</v>
      </c>
      <c r="F1656">
        <f>'Claims Data'!J1656</f>
        <v>392.96</v>
      </c>
      <c r="G1656">
        <f>'Claims Data'!M1656</f>
        <v>0</v>
      </c>
      <c r="H1656" t="b">
        <f>'Claims Data'!L1656</f>
        <v>0</v>
      </c>
      <c r="I1656">
        <f t="shared" si="50"/>
        <v>0</v>
      </c>
      <c r="J1656" t="str">
        <f t="shared" si="51"/>
        <v>Low Risk</v>
      </c>
    </row>
    <row r="1657" spans="1:10" x14ac:dyDescent="0.2">
      <c r="A1657" t="str">
        <f>'Claims Data'!A1657</f>
        <v>CLM01656</v>
      </c>
      <c r="B1657" t="str">
        <f>'Claims Data'!B1657</f>
        <v>PAT0199</v>
      </c>
      <c r="C1657" t="str">
        <f>'Claims Data'!C1657</f>
        <v>PRV0002</v>
      </c>
      <c r="D1657" s="1">
        <f>'Claims Data'!D1657</f>
        <v>45494</v>
      </c>
      <c r="E1657">
        <f>'Claims Data'!H1657</f>
        <v>21.2</v>
      </c>
      <c r="F1657">
        <f>'Claims Data'!J1657</f>
        <v>687.52</v>
      </c>
      <c r="G1657" t="str">
        <f>'Claims Data'!M1657</f>
        <v>inflated_hours</v>
      </c>
      <c r="H1657" t="b">
        <f>'Claims Data'!L1657</f>
        <v>1</v>
      </c>
      <c r="I1657">
        <f t="shared" si="50"/>
        <v>50</v>
      </c>
      <c r="J1657" t="str">
        <f t="shared" si="51"/>
        <v>Medium Risk</v>
      </c>
    </row>
    <row r="1658" spans="1:10" x14ac:dyDescent="0.2">
      <c r="A1658" t="str">
        <f>'Claims Data'!A1658</f>
        <v>CLM01657</v>
      </c>
      <c r="B1658" t="str">
        <f>'Claims Data'!B1658</f>
        <v>PAT0053</v>
      </c>
      <c r="C1658" t="str">
        <f>'Claims Data'!C1658</f>
        <v>PRV0002</v>
      </c>
      <c r="D1658" s="1">
        <f>'Claims Data'!D1658</f>
        <v>45642</v>
      </c>
      <c r="E1658">
        <f>'Claims Data'!H1658</f>
        <v>3.2</v>
      </c>
      <c r="F1658">
        <f>'Claims Data'!J1658</f>
        <v>198.79</v>
      </c>
      <c r="G1658">
        <f>'Claims Data'!M1658</f>
        <v>0</v>
      </c>
      <c r="H1658" t="b">
        <f>'Claims Data'!L1658</f>
        <v>0</v>
      </c>
      <c r="I1658">
        <f t="shared" si="50"/>
        <v>0</v>
      </c>
      <c r="J1658" t="str">
        <f t="shared" si="51"/>
        <v>Low Risk</v>
      </c>
    </row>
    <row r="1659" spans="1:10" x14ac:dyDescent="0.2">
      <c r="A1659" t="str">
        <f>'Claims Data'!A1659</f>
        <v>CLM01658</v>
      </c>
      <c r="B1659" t="str">
        <f>'Claims Data'!B1659</f>
        <v>PAT0022</v>
      </c>
      <c r="C1659" t="str">
        <f>'Claims Data'!C1659</f>
        <v>PRV0002</v>
      </c>
      <c r="D1659" s="1">
        <f>'Claims Data'!D1659</f>
        <v>45303</v>
      </c>
      <c r="E1659">
        <f>'Claims Data'!H1659</f>
        <v>7.7</v>
      </c>
      <c r="F1659">
        <f>'Claims Data'!J1659</f>
        <v>433.55</v>
      </c>
      <c r="G1659">
        <f>'Claims Data'!M1659</f>
        <v>0</v>
      </c>
      <c r="H1659" t="b">
        <f>'Claims Data'!L1659</f>
        <v>0</v>
      </c>
      <c r="I1659">
        <f t="shared" si="50"/>
        <v>0</v>
      </c>
      <c r="J1659" t="str">
        <f t="shared" si="51"/>
        <v>Low Risk</v>
      </c>
    </row>
    <row r="1660" spans="1:10" x14ac:dyDescent="0.2">
      <c r="A1660" t="str">
        <f>'Claims Data'!A1660</f>
        <v>CLM01659</v>
      </c>
      <c r="B1660" t="str">
        <f>'Claims Data'!B1660</f>
        <v>PAT0266</v>
      </c>
      <c r="C1660" t="str">
        <f>'Claims Data'!C1660</f>
        <v>PRV0057</v>
      </c>
      <c r="D1660" s="1">
        <f>'Claims Data'!D1660</f>
        <v>45359</v>
      </c>
      <c r="E1660">
        <f>'Claims Data'!H1660</f>
        <v>2.7</v>
      </c>
      <c r="F1660">
        <f>'Claims Data'!J1660</f>
        <v>219.16</v>
      </c>
      <c r="G1660">
        <f>'Claims Data'!M1660</f>
        <v>0</v>
      </c>
      <c r="H1660" t="b">
        <f>'Claims Data'!L1660</f>
        <v>0</v>
      </c>
      <c r="I1660">
        <f t="shared" si="50"/>
        <v>0</v>
      </c>
      <c r="J1660" t="str">
        <f t="shared" si="51"/>
        <v>Low Risk</v>
      </c>
    </row>
    <row r="1661" spans="1:10" x14ac:dyDescent="0.2">
      <c r="A1661" t="str">
        <f>'Claims Data'!A1661</f>
        <v>CLM01660</v>
      </c>
      <c r="B1661" t="str">
        <f>'Claims Data'!B1661</f>
        <v>PAT0212</v>
      </c>
      <c r="C1661" t="str">
        <f>'Claims Data'!C1661</f>
        <v>PRV0025</v>
      </c>
      <c r="D1661" s="1">
        <f>'Claims Data'!D1661</f>
        <v>45164</v>
      </c>
      <c r="E1661">
        <f>'Claims Data'!H1661</f>
        <v>3.6</v>
      </c>
      <c r="F1661">
        <f>'Claims Data'!J1661</f>
        <v>134.44999999999999</v>
      </c>
      <c r="G1661">
        <f>'Claims Data'!M1661</f>
        <v>0</v>
      </c>
      <c r="H1661" t="b">
        <f>'Claims Data'!L1661</f>
        <v>0</v>
      </c>
      <c r="I1661">
        <f t="shared" si="50"/>
        <v>0</v>
      </c>
      <c r="J1661" t="str">
        <f t="shared" si="51"/>
        <v>Low Risk</v>
      </c>
    </row>
    <row r="1662" spans="1:10" x14ac:dyDescent="0.2">
      <c r="A1662" t="str">
        <f>'Claims Data'!A1662</f>
        <v>CLM01661</v>
      </c>
      <c r="B1662" t="str">
        <f>'Claims Data'!B1662</f>
        <v>PAT0022</v>
      </c>
      <c r="C1662" t="str">
        <f>'Claims Data'!C1662</f>
        <v>PRV0026</v>
      </c>
      <c r="D1662" s="1">
        <f>'Claims Data'!D1662</f>
        <v>45246</v>
      </c>
      <c r="E1662">
        <f>'Claims Data'!H1662</f>
        <v>2.5</v>
      </c>
      <c r="F1662">
        <f>'Claims Data'!J1662</f>
        <v>142.53</v>
      </c>
      <c r="G1662">
        <f>'Claims Data'!M1662</f>
        <v>0</v>
      </c>
      <c r="H1662" t="b">
        <f>'Claims Data'!L1662</f>
        <v>0</v>
      </c>
      <c r="I1662">
        <f t="shared" si="50"/>
        <v>0</v>
      </c>
      <c r="J1662" t="str">
        <f t="shared" si="51"/>
        <v>Low Risk</v>
      </c>
    </row>
    <row r="1663" spans="1:10" x14ac:dyDescent="0.2">
      <c r="A1663" t="str">
        <f>'Claims Data'!A1663</f>
        <v>CLM01662</v>
      </c>
      <c r="B1663" t="str">
        <f>'Claims Data'!B1663</f>
        <v>PAT0159</v>
      </c>
      <c r="C1663" t="str">
        <f>'Claims Data'!C1663</f>
        <v>PRV0027</v>
      </c>
      <c r="D1663" s="1">
        <f>'Claims Data'!D1663</f>
        <v>45584</v>
      </c>
      <c r="E1663">
        <f>'Claims Data'!H1663</f>
        <v>5.5</v>
      </c>
      <c r="F1663">
        <f>'Claims Data'!J1663</f>
        <v>299.69</v>
      </c>
      <c r="G1663">
        <f>'Claims Data'!M1663</f>
        <v>0</v>
      </c>
      <c r="H1663" t="b">
        <f>'Claims Data'!L1663</f>
        <v>0</v>
      </c>
      <c r="I1663">
        <f t="shared" si="50"/>
        <v>0</v>
      </c>
      <c r="J1663" t="str">
        <f t="shared" si="51"/>
        <v>Low Risk</v>
      </c>
    </row>
    <row r="1664" spans="1:10" x14ac:dyDescent="0.2">
      <c r="A1664" t="str">
        <f>'Claims Data'!A1664</f>
        <v>CLM01663</v>
      </c>
      <c r="B1664" t="str">
        <f>'Claims Data'!B1664</f>
        <v>PAT0022</v>
      </c>
      <c r="C1664" t="str">
        <f>'Claims Data'!C1664</f>
        <v>PRV0028</v>
      </c>
      <c r="D1664" s="1">
        <f>'Claims Data'!D1664</f>
        <v>45524</v>
      </c>
      <c r="E1664">
        <f>'Claims Data'!H1664</f>
        <v>4.5999999999999996</v>
      </c>
      <c r="F1664">
        <f>'Claims Data'!J1664</f>
        <v>229.52</v>
      </c>
      <c r="G1664">
        <f>'Claims Data'!M1664</f>
        <v>0</v>
      </c>
      <c r="H1664" t="b">
        <f>'Claims Data'!L1664</f>
        <v>0</v>
      </c>
      <c r="I1664">
        <f t="shared" si="50"/>
        <v>0</v>
      </c>
      <c r="J1664" t="str">
        <f t="shared" si="51"/>
        <v>Low Risk</v>
      </c>
    </row>
    <row r="1665" spans="1:10" x14ac:dyDescent="0.2">
      <c r="A1665" t="str">
        <f>'Claims Data'!A1665</f>
        <v>CLM01664</v>
      </c>
      <c r="B1665" t="str">
        <f>'Claims Data'!B1665</f>
        <v>PAT0295</v>
      </c>
      <c r="C1665" t="str">
        <f>'Claims Data'!C1665</f>
        <v>PRV0022</v>
      </c>
      <c r="D1665" s="1">
        <f>'Claims Data'!D1665</f>
        <v>45586</v>
      </c>
      <c r="E1665">
        <f>'Claims Data'!H1665</f>
        <v>4.3</v>
      </c>
      <c r="F1665">
        <f>'Claims Data'!J1665</f>
        <v>130.97999999999999</v>
      </c>
      <c r="G1665">
        <f>'Claims Data'!M1665</f>
        <v>0</v>
      </c>
      <c r="H1665" t="b">
        <f>'Claims Data'!L1665</f>
        <v>0</v>
      </c>
      <c r="I1665">
        <f t="shared" si="50"/>
        <v>0</v>
      </c>
      <c r="J1665" t="str">
        <f t="shared" si="51"/>
        <v>Low Risk</v>
      </c>
    </row>
    <row r="1666" spans="1:10" x14ac:dyDescent="0.2">
      <c r="A1666" t="str">
        <f>'Claims Data'!A1666</f>
        <v>CLM01665</v>
      </c>
      <c r="B1666" t="str">
        <f>'Claims Data'!B1666</f>
        <v>PAT0155</v>
      </c>
      <c r="C1666" t="str">
        <f>'Claims Data'!C1666</f>
        <v>PRV0002</v>
      </c>
      <c r="D1666" s="1">
        <f>'Claims Data'!D1666</f>
        <v>45278</v>
      </c>
      <c r="E1666">
        <f>'Claims Data'!H1666</f>
        <v>3.7</v>
      </c>
      <c r="F1666">
        <f>'Claims Data'!J1666</f>
        <v>133.05000000000001</v>
      </c>
      <c r="G1666">
        <f>'Claims Data'!M1666</f>
        <v>0</v>
      </c>
      <c r="H1666" t="b">
        <f>'Claims Data'!L1666</f>
        <v>0</v>
      </c>
      <c r="I1666">
        <f t="shared" si="50"/>
        <v>0</v>
      </c>
      <c r="J1666" t="str">
        <f t="shared" si="51"/>
        <v>Low Risk</v>
      </c>
    </row>
    <row r="1667" spans="1:10" x14ac:dyDescent="0.2">
      <c r="A1667" t="str">
        <f>'Claims Data'!A1667</f>
        <v>CLM01666</v>
      </c>
      <c r="B1667" t="str">
        <f>'Claims Data'!B1667</f>
        <v>PAT0239</v>
      </c>
      <c r="C1667" t="str">
        <f>'Claims Data'!C1667</f>
        <v>PRV0033</v>
      </c>
      <c r="D1667" s="1">
        <f>'Claims Data'!D1667</f>
        <v>45398</v>
      </c>
      <c r="E1667">
        <f>'Claims Data'!H1667</f>
        <v>3.8</v>
      </c>
      <c r="F1667">
        <f>'Claims Data'!J1667</f>
        <v>187.86</v>
      </c>
      <c r="G1667">
        <f>'Claims Data'!M1667</f>
        <v>0</v>
      </c>
      <c r="H1667" t="b">
        <f>'Claims Data'!L1667</f>
        <v>0</v>
      </c>
      <c r="I1667">
        <f t="shared" ref="I1667:I1730" si="52">IF(E1667&gt;16,40,0)+IF(MOD(F1667,250)=0,30,0)+IF(H1667=TRUE,10,0)</f>
        <v>0</v>
      </c>
      <c r="J1667" t="str">
        <f t="shared" ref="J1667:J1730" si="53">IF(I1667&gt;=70,"High Risk",IF(I1667&gt;=30,"Medium Risk","Low Risk"))</f>
        <v>Low Risk</v>
      </c>
    </row>
    <row r="1668" spans="1:10" x14ac:dyDescent="0.2">
      <c r="A1668" t="str">
        <f>'Claims Data'!A1668</f>
        <v>CLM01667</v>
      </c>
      <c r="B1668" t="str">
        <f>'Claims Data'!B1668</f>
        <v>PAT0080</v>
      </c>
      <c r="C1668" t="str">
        <f>'Claims Data'!C1668</f>
        <v>PRV0057</v>
      </c>
      <c r="D1668" s="1">
        <f>'Claims Data'!D1668</f>
        <v>45081</v>
      </c>
      <c r="E1668">
        <f>'Claims Data'!H1668</f>
        <v>5.7</v>
      </c>
      <c r="F1668">
        <f>'Claims Data'!J1668</f>
        <v>253.75</v>
      </c>
      <c r="G1668">
        <f>'Claims Data'!M1668</f>
        <v>0</v>
      </c>
      <c r="H1668" t="b">
        <f>'Claims Data'!L1668</f>
        <v>0</v>
      </c>
      <c r="I1668">
        <f t="shared" si="52"/>
        <v>0</v>
      </c>
      <c r="J1668" t="str">
        <f t="shared" si="53"/>
        <v>Low Risk</v>
      </c>
    </row>
    <row r="1669" spans="1:10" x14ac:dyDescent="0.2">
      <c r="A1669" t="str">
        <f>'Claims Data'!A1669</f>
        <v>CLM01668</v>
      </c>
      <c r="B1669" t="str">
        <f>'Claims Data'!B1669</f>
        <v>PAT0117</v>
      </c>
      <c r="C1669" t="str">
        <f>'Claims Data'!C1669</f>
        <v>PRV0044</v>
      </c>
      <c r="D1669" s="1">
        <f>'Claims Data'!D1669</f>
        <v>45558</v>
      </c>
      <c r="E1669">
        <f>'Claims Data'!H1669</f>
        <v>21.6</v>
      </c>
      <c r="F1669">
        <f>'Claims Data'!J1669</f>
        <v>667.87</v>
      </c>
      <c r="G1669" t="str">
        <f>'Claims Data'!M1669</f>
        <v>inflated_hours</v>
      </c>
      <c r="H1669" t="b">
        <f>'Claims Data'!L1669</f>
        <v>1</v>
      </c>
      <c r="I1669">
        <f t="shared" si="52"/>
        <v>50</v>
      </c>
      <c r="J1669" t="str">
        <f t="shared" si="53"/>
        <v>Medium Risk</v>
      </c>
    </row>
    <row r="1670" spans="1:10" x14ac:dyDescent="0.2">
      <c r="A1670" t="str">
        <f>'Claims Data'!A1670</f>
        <v>CLM01669</v>
      </c>
      <c r="B1670" t="str">
        <f>'Claims Data'!B1670</f>
        <v>PAT0263</v>
      </c>
      <c r="C1670" t="str">
        <f>'Claims Data'!C1670</f>
        <v>PRV0003</v>
      </c>
      <c r="D1670" s="1">
        <f>'Claims Data'!D1670</f>
        <v>45383</v>
      </c>
      <c r="E1670">
        <f>'Claims Data'!H1670</f>
        <v>7.4</v>
      </c>
      <c r="F1670">
        <f>'Claims Data'!J1670</f>
        <v>299.52</v>
      </c>
      <c r="G1670">
        <f>'Claims Data'!M1670</f>
        <v>0</v>
      </c>
      <c r="H1670" t="b">
        <f>'Claims Data'!L1670</f>
        <v>0</v>
      </c>
      <c r="I1670">
        <f t="shared" si="52"/>
        <v>0</v>
      </c>
      <c r="J1670" t="str">
        <f t="shared" si="53"/>
        <v>Low Risk</v>
      </c>
    </row>
    <row r="1671" spans="1:10" x14ac:dyDescent="0.2">
      <c r="A1671" t="str">
        <f>'Claims Data'!A1671</f>
        <v>CLM01670</v>
      </c>
      <c r="B1671" t="str">
        <f>'Claims Data'!B1671</f>
        <v>PAT0161</v>
      </c>
      <c r="C1671" t="str">
        <f>'Claims Data'!C1671</f>
        <v>PRV0033</v>
      </c>
      <c r="D1671" s="1">
        <f>'Claims Data'!D1671</f>
        <v>45422</v>
      </c>
      <c r="E1671">
        <f>'Claims Data'!H1671</f>
        <v>3.2</v>
      </c>
      <c r="F1671">
        <f>'Claims Data'!J1671</f>
        <v>224.41</v>
      </c>
      <c r="G1671">
        <f>'Claims Data'!M1671</f>
        <v>0</v>
      </c>
      <c r="H1671" t="b">
        <f>'Claims Data'!L1671</f>
        <v>0</v>
      </c>
      <c r="I1671">
        <f t="shared" si="52"/>
        <v>0</v>
      </c>
      <c r="J1671" t="str">
        <f t="shared" si="53"/>
        <v>Low Risk</v>
      </c>
    </row>
    <row r="1672" spans="1:10" x14ac:dyDescent="0.2">
      <c r="A1672" t="str">
        <f>'Claims Data'!A1672</f>
        <v>CLM01671</v>
      </c>
      <c r="B1672" t="str">
        <f>'Claims Data'!B1672</f>
        <v>PAT0062</v>
      </c>
      <c r="C1672" t="str">
        <f>'Claims Data'!C1672</f>
        <v>PRV0009</v>
      </c>
      <c r="D1672" s="1">
        <f>'Claims Data'!D1672</f>
        <v>45357</v>
      </c>
      <c r="E1672">
        <f>'Claims Data'!H1672</f>
        <v>5</v>
      </c>
      <c r="F1672">
        <f>'Claims Data'!J1672</f>
        <v>350.72</v>
      </c>
      <c r="G1672">
        <f>'Claims Data'!M1672</f>
        <v>0</v>
      </c>
      <c r="H1672" t="b">
        <f>'Claims Data'!L1672</f>
        <v>0</v>
      </c>
      <c r="I1672">
        <f t="shared" si="52"/>
        <v>0</v>
      </c>
      <c r="J1672" t="str">
        <f t="shared" si="53"/>
        <v>Low Risk</v>
      </c>
    </row>
    <row r="1673" spans="1:10" x14ac:dyDescent="0.2">
      <c r="A1673" t="str">
        <f>'Claims Data'!A1673</f>
        <v>CLM01672</v>
      </c>
      <c r="B1673" t="str">
        <f>'Claims Data'!B1673</f>
        <v>PAT0012</v>
      </c>
      <c r="C1673" t="str">
        <f>'Claims Data'!C1673</f>
        <v>PRV0037</v>
      </c>
      <c r="D1673" s="1">
        <f>'Claims Data'!D1673</f>
        <v>45152</v>
      </c>
      <c r="E1673">
        <f>'Claims Data'!H1673</f>
        <v>3.6</v>
      </c>
      <c r="F1673">
        <f>'Claims Data'!J1673</f>
        <v>158.76</v>
      </c>
      <c r="G1673">
        <f>'Claims Data'!M1673</f>
        <v>0</v>
      </c>
      <c r="H1673" t="b">
        <f>'Claims Data'!L1673</f>
        <v>0</v>
      </c>
      <c r="I1673">
        <f t="shared" si="52"/>
        <v>0</v>
      </c>
      <c r="J1673" t="str">
        <f t="shared" si="53"/>
        <v>Low Risk</v>
      </c>
    </row>
    <row r="1674" spans="1:10" x14ac:dyDescent="0.2">
      <c r="A1674" t="str">
        <f>'Claims Data'!A1674</f>
        <v>CLM01673</v>
      </c>
      <c r="B1674" t="str">
        <f>'Claims Data'!B1674</f>
        <v>PAT0155</v>
      </c>
      <c r="C1674" t="str">
        <f>'Claims Data'!C1674</f>
        <v>PRV0042</v>
      </c>
      <c r="D1674" s="1">
        <f>'Claims Data'!D1674</f>
        <v>45463</v>
      </c>
      <c r="E1674">
        <f>'Claims Data'!H1674</f>
        <v>2.4</v>
      </c>
      <c r="F1674">
        <f>'Claims Data'!J1674</f>
        <v>64.16</v>
      </c>
      <c r="G1674">
        <f>'Claims Data'!M1674</f>
        <v>0</v>
      </c>
      <c r="H1674" t="b">
        <f>'Claims Data'!L1674</f>
        <v>0</v>
      </c>
      <c r="I1674">
        <f t="shared" si="52"/>
        <v>0</v>
      </c>
      <c r="J1674" t="str">
        <f t="shared" si="53"/>
        <v>Low Risk</v>
      </c>
    </row>
    <row r="1675" spans="1:10" x14ac:dyDescent="0.2">
      <c r="A1675" t="str">
        <f>'Claims Data'!A1675</f>
        <v>CLM01674</v>
      </c>
      <c r="B1675" t="str">
        <f>'Claims Data'!B1675</f>
        <v>PAT0079</v>
      </c>
      <c r="C1675" t="str">
        <f>'Claims Data'!C1675</f>
        <v>PRV0030</v>
      </c>
      <c r="D1675" s="1">
        <f>'Claims Data'!D1675</f>
        <v>45381</v>
      </c>
      <c r="E1675">
        <f>'Claims Data'!H1675</f>
        <v>7.5</v>
      </c>
      <c r="F1675">
        <f>'Claims Data'!J1675</f>
        <v>195.88</v>
      </c>
      <c r="G1675">
        <f>'Claims Data'!M1675</f>
        <v>0</v>
      </c>
      <c r="H1675" t="b">
        <f>'Claims Data'!L1675</f>
        <v>0</v>
      </c>
      <c r="I1675">
        <f t="shared" si="52"/>
        <v>0</v>
      </c>
      <c r="J1675" t="str">
        <f t="shared" si="53"/>
        <v>Low Risk</v>
      </c>
    </row>
    <row r="1676" spans="1:10" x14ac:dyDescent="0.2">
      <c r="A1676" t="str">
        <f>'Claims Data'!A1676</f>
        <v>CLM01675</v>
      </c>
      <c r="B1676" t="str">
        <f>'Claims Data'!B1676</f>
        <v>PAT0295</v>
      </c>
      <c r="C1676" t="str">
        <f>'Claims Data'!C1676</f>
        <v>PRV0028</v>
      </c>
      <c r="D1676" s="1">
        <f>'Claims Data'!D1676</f>
        <v>45011</v>
      </c>
      <c r="E1676">
        <f>'Claims Data'!H1676</f>
        <v>3.5</v>
      </c>
      <c r="F1676">
        <f>'Claims Data'!J1676</f>
        <v>203.99</v>
      </c>
      <c r="G1676">
        <f>'Claims Data'!M1676</f>
        <v>0</v>
      </c>
      <c r="H1676" t="b">
        <f>'Claims Data'!L1676</f>
        <v>0</v>
      </c>
      <c r="I1676">
        <f t="shared" si="52"/>
        <v>0</v>
      </c>
      <c r="J1676" t="str">
        <f t="shared" si="53"/>
        <v>Low Risk</v>
      </c>
    </row>
    <row r="1677" spans="1:10" x14ac:dyDescent="0.2">
      <c r="A1677" t="str">
        <f>'Claims Data'!A1677</f>
        <v>CLM01676</v>
      </c>
      <c r="B1677" t="str">
        <f>'Claims Data'!B1677</f>
        <v>PAT0113</v>
      </c>
      <c r="C1677" t="str">
        <f>'Claims Data'!C1677</f>
        <v>PRV0028</v>
      </c>
      <c r="D1677" s="1">
        <f>'Claims Data'!D1677</f>
        <v>45039</v>
      </c>
      <c r="E1677">
        <f>'Claims Data'!H1677</f>
        <v>5.4</v>
      </c>
      <c r="F1677">
        <f>'Claims Data'!J1677</f>
        <v>279.5</v>
      </c>
      <c r="G1677">
        <f>'Claims Data'!M1677</f>
        <v>0</v>
      </c>
      <c r="H1677" t="b">
        <f>'Claims Data'!L1677</f>
        <v>0</v>
      </c>
      <c r="I1677">
        <f t="shared" si="52"/>
        <v>0</v>
      </c>
      <c r="J1677" t="str">
        <f t="shared" si="53"/>
        <v>Low Risk</v>
      </c>
    </row>
    <row r="1678" spans="1:10" x14ac:dyDescent="0.2">
      <c r="A1678" t="str">
        <f>'Claims Data'!A1678</f>
        <v>CLM01677</v>
      </c>
      <c r="B1678" t="str">
        <f>'Claims Data'!B1678</f>
        <v>PAT0226</v>
      </c>
      <c r="C1678" t="str">
        <f>'Claims Data'!C1678</f>
        <v>PRV0021</v>
      </c>
      <c r="D1678" s="1">
        <f>'Claims Data'!D1678</f>
        <v>45265</v>
      </c>
      <c r="E1678">
        <f>'Claims Data'!H1678</f>
        <v>6.7</v>
      </c>
      <c r="F1678">
        <f>'Claims Data'!J1678</f>
        <v>224.73</v>
      </c>
      <c r="G1678">
        <f>'Claims Data'!M1678</f>
        <v>0</v>
      </c>
      <c r="H1678" t="b">
        <f>'Claims Data'!L1678</f>
        <v>0</v>
      </c>
      <c r="I1678">
        <f t="shared" si="52"/>
        <v>0</v>
      </c>
      <c r="J1678" t="str">
        <f t="shared" si="53"/>
        <v>Low Risk</v>
      </c>
    </row>
    <row r="1679" spans="1:10" x14ac:dyDescent="0.2">
      <c r="A1679" t="str">
        <f>'Claims Data'!A1679</f>
        <v>CLM01678</v>
      </c>
      <c r="B1679" t="str">
        <f>'Claims Data'!B1679</f>
        <v>PAT0069</v>
      </c>
      <c r="C1679" t="str">
        <f>'Claims Data'!C1679</f>
        <v>PRV0026</v>
      </c>
      <c r="D1679" s="1">
        <f>'Claims Data'!D1679</f>
        <v>45217</v>
      </c>
      <c r="E1679">
        <f>'Claims Data'!H1679</f>
        <v>6.7</v>
      </c>
      <c r="F1679">
        <f>'Claims Data'!J1679</f>
        <v>383.59</v>
      </c>
      <c r="G1679">
        <f>'Claims Data'!M1679</f>
        <v>0</v>
      </c>
      <c r="H1679" t="b">
        <f>'Claims Data'!L1679</f>
        <v>0</v>
      </c>
      <c r="I1679">
        <f t="shared" si="52"/>
        <v>0</v>
      </c>
      <c r="J1679" t="str">
        <f t="shared" si="53"/>
        <v>Low Risk</v>
      </c>
    </row>
    <row r="1680" spans="1:10" x14ac:dyDescent="0.2">
      <c r="A1680" t="str">
        <f>'Claims Data'!A1680</f>
        <v>CLM01679</v>
      </c>
      <c r="B1680" t="str">
        <f>'Claims Data'!B1680</f>
        <v>PAT0150</v>
      </c>
      <c r="C1680" t="str">
        <f>'Claims Data'!C1680</f>
        <v>PRV0007</v>
      </c>
      <c r="D1680" s="1">
        <f>'Claims Data'!D1680</f>
        <v>45589</v>
      </c>
      <c r="E1680">
        <f>'Claims Data'!H1680</f>
        <v>2.2999999999999998</v>
      </c>
      <c r="F1680">
        <f>'Claims Data'!J1680</f>
        <v>169.64</v>
      </c>
      <c r="G1680">
        <f>'Claims Data'!M1680</f>
        <v>0</v>
      </c>
      <c r="H1680" t="b">
        <f>'Claims Data'!L1680</f>
        <v>0</v>
      </c>
      <c r="I1680">
        <f t="shared" si="52"/>
        <v>0</v>
      </c>
      <c r="J1680" t="str">
        <f t="shared" si="53"/>
        <v>Low Risk</v>
      </c>
    </row>
    <row r="1681" spans="1:10" x14ac:dyDescent="0.2">
      <c r="A1681" t="str">
        <f>'Claims Data'!A1681</f>
        <v>CLM01680</v>
      </c>
      <c r="B1681" t="str">
        <f>'Claims Data'!B1681</f>
        <v>PAT0252</v>
      </c>
      <c r="C1681" t="str">
        <f>'Claims Data'!C1681</f>
        <v>PRV0021</v>
      </c>
      <c r="D1681" s="1">
        <f>'Claims Data'!D1681</f>
        <v>45509</v>
      </c>
      <c r="E1681">
        <f>'Claims Data'!H1681</f>
        <v>5.9</v>
      </c>
      <c r="F1681">
        <f>'Claims Data'!J1681</f>
        <v>206.75</v>
      </c>
      <c r="G1681">
        <f>'Claims Data'!M1681</f>
        <v>0</v>
      </c>
      <c r="H1681" t="b">
        <f>'Claims Data'!L1681</f>
        <v>0</v>
      </c>
      <c r="I1681">
        <f t="shared" si="52"/>
        <v>0</v>
      </c>
      <c r="J1681" t="str">
        <f t="shared" si="53"/>
        <v>Low Risk</v>
      </c>
    </row>
    <row r="1682" spans="1:10" x14ac:dyDescent="0.2">
      <c r="A1682" t="str">
        <f>'Claims Data'!A1682</f>
        <v>CLM01681</v>
      </c>
      <c r="B1682" t="str">
        <f>'Claims Data'!B1682</f>
        <v>PAT0220</v>
      </c>
      <c r="C1682" t="str">
        <f>'Claims Data'!C1682</f>
        <v>PRV0046</v>
      </c>
      <c r="D1682" s="1">
        <f>'Claims Data'!D1682</f>
        <v>45594</v>
      </c>
      <c r="E1682">
        <f>'Claims Data'!H1682</f>
        <v>3.6</v>
      </c>
      <c r="F1682">
        <f>'Claims Data'!J1682</f>
        <v>144.19</v>
      </c>
      <c r="G1682" t="str">
        <f>'Claims Data'!M1682</f>
        <v>duplicate_claim</v>
      </c>
      <c r="H1682" t="b">
        <f>'Claims Data'!L1682</f>
        <v>1</v>
      </c>
      <c r="I1682">
        <f t="shared" si="52"/>
        <v>10</v>
      </c>
      <c r="J1682" t="str">
        <f t="shared" si="53"/>
        <v>Low Risk</v>
      </c>
    </row>
    <row r="1683" spans="1:10" x14ac:dyDescent="0.2">
      <c r="A1683" t="str">
        <f>'Claims Data'!A1683</f>
        <v>CLM01682</v>
      </c>
      <c r="B1683" t="str">
        <f>'Claims Data'!B1683</f>
        <v>PAT0218</v>
      </c>
      <c r="C1683" t="str">
        <f>'Claims Data'!C1683</f>
        <v>PRV0025</v>
      </c>
      <c r="D1683" s="1">
        <f>'Claims Data'!D1683</f>
        <v>45326</v>
      </c>
      <c r="E1683">
        <f>'Claims Data'!H1683</f>
        <v>8</v>
      </c>
      <c r="F1683">
        <f>'Claims Data'!J1683</f>
        <v>604.37</v>
      </c>
      <c r="G1683">
        <f>'Claims Data'!M1683</f>
        <v>0</v>
      </c>
      <c r="H1683" t="b">
        <f>'Claims Data'!L1683</f>
        <v>0</v>
      </c>
      <c r="I1683">
        <f t="shared" si="52"/>
        <v>0</v>
      </c>
      <c r="J1683" t="str">
        <f t="shared" si="53"/>
        <v>Low Risk</v>
      </c>
    </row>
    <row r="1684" spans="1:10" x14ac:dyDescent="0.2">
      <c r="A1684" t="str">
        <f>'Claims Data'!A1684</f>
        <v>CLM01683</v>
      </c>
      <c r="B1684" t="str">
        <f>'Claims Data'!B1684</f>
        <v>PAT0252</v>
      </c>
      <c r="C1684" t="str">
        <f>'Claims Data'!C1684</f>
        <v>PRV0053</v>
      </c>
      <c r="D1684" s="1">
        <f>'Claims Data'!D1684</f>
        <v>45155</v>
      </c>
      <c r="E1684">
        <f>'Claims Data'!H1684</f>
        <v>2.2999999999999998</v>
      </c>
      <c r="F1684">
        <f>'Claims Data'!J1684</f>
        <v>159.51</v>
      </c>
      <c r="G1684" t="str">
        <f>'Claims Data'!M1684</f>
        <v>duplicate_claim</v>
      </c>
      <c r="H1684" t="b">
        <f>'Claims Data'!L1684</f>
        <v>1</v>
      </c>
      <c r="I1684">
        <f t="shared" si="52"/>
        <v>10</v>
      </c>
      <c r="J1684" t="str">
        <f t="shared" si="53"/>
        <v>Low Risk</v>
      </c>
    </row>
    <row r="1685" spans="1:10" x14ac:dyDescent="0.2">
      <c r="A1685" t="str">
        <f>'Claims Data'!A1685</f>
        <v>CLM01684</v>
      </c>
      <c r="B1685" t="str">
        <f>'Claims Data'!B1685</f>
        <v>PAT0027</v>
      </c>
      <c r="C1685" t="str">
        <f>'Claims Data'!C1685</f>
        <v>PRV0014</v>
      </c>
      <c r="D1685" s="1">
        <f>'Claims Data'!D1685</f>
        <v>45269</v>
      </c>
      <c r="E1685">
        <f>'Claims Data'!H1685</f>
        <v>3.8</v>
      </c>
      <c r="F1685">
        <f>'Claims Data'!J1685</f>
        <v>185.13</v>
      </c>
      <c r="G1685">
        <f>'Claims Data'!M1685</f>
        <v>0</v>
      </c>
      <c r="H1685" t="b">
        <f>'Claims Data'!L1685</f>
        <v>0</v>
      </c>
      <c r="I1685">
        <f t="shared" si="52"/>
        <v>0</v>
      </c>
      <c r="J1685" t="str">
        <f t="shared" si="53"/>
        <v>Low Risk</v>
      </c>
    </row>
    <row r="1686" spans="1:10" x14ac:dyDescent="0.2">
      <c r="A1686" t="str">
        <f>'Claims Data'!A1686</f>
        <v>CLM01685</v>
      </c>
      <c r="B1686" t="str">
        <f>'Claims Data'!B1686</f>
        <v>PAT0002</v>
      </c>
      <c r="C1686" t="str">
        <f>'Claims Data'!C1686</f>
        <v>PRV0047</v>
      </c>
      <c r="D1686" s="1">
        <f>'Claims Data'!D1686</f>
        <v>45353</v>
      </c>
      <c r="E1686">
        <f>'Claims Data'!H1686</f>
        <v>6.4</v>
      </c>
      <c r="F1686">
        <f>'Claims Data'!J1686</f>
        <v>543.54999999999995</v>
      </c>
      <c r="G1686">
        <f>'Claims Data'!M1686</f>
        <v>0</v>
      </c>
      <c r="H1686" t="b">
        <f>'Claims Data'!L1686</f>
        <v>0</v>
      </c>
      <c r="I1686">
        <f t="shared" si="52"/>
        <v>0</v>
      </c>
      <c r="J1686" t="str">
        <f t="shared" si="53"/>
        <v>Low Risk</v>
      </c>
    </row>
    <row r="1687" spans="1:10" x14ac:dyDescent="0.2">
      <c r="A1687" t="str">
        <f>'Claims Data'!A1687</f>
        <v>CLM01686</v>
      </c>
      <c r="B1687" t="str">
        <f>'Claims Data'!B1687</f>
        <v>PAT0213</v>
      </c>
      <c r="C1687" t="str">
        <f>'Claims Data'!C1687</f>
        <v>PRV0031</v>
      </c>
      <c r="D1687" s="1">
        <f>'Claims Data'!D1687</f>
        <v>45027</v>
      </c>
      <c r="E1687">
        <f>'Claims Data'!H1687</f>
        <v>5.7</v>
      </c>
      <c r="F1687">
        <f>'Claims Data'!J1687</f>
        <v>469.94</v>
      </c>
      <c r="G1687">
        <f>'Claims Data'!M1687</f>
        <v>0</v>
      </c>
      <c r="H1687" t="b">
        <f>'Claims Data'!L1687</f>
        <v>0</v>
      </c>
      <c r="I1687">
        <f t="shared" si="52"/>
        <v>0</v>
      </c>
      <c r="J1687" t="str">
        <f t="shared" si="53"/>
        <v>Low Risk</v>
      </c>
    </row>
    <row r="1688" spans="1:10" x14ac:dyDescent="0.2">
      <c r="A1688" t="str">
        <f>'Claims Data'!A1688</f>
        <v>CLM01687</v>
      </c>
      <c r="B1688" t="str">
        <f>'Claims Data'!B1688</f>
        <v>PAT0207</v>
      </c>
      <c r="C1688" t="str">
        <f>'Claims Data'!C1688</f>
        <v>PRV0055</v>
      </c>
      <c r="D1688" s="1">
        <f>'Claims Data'!D1688</f>
        <v>45502</v>
      </c>
      <c r="E1688">
        <f>'Claims Data'!H1688</f>
        <v>9</v>
      </c>
      <c r="F1688">
        <f>'Claims Data'!J1688</f>
        <v>750</v>
      </c>
      <c r="G1688" t="str">
        <f>'Claims Data'!M1688</f>
        <v>phantom_round_amount</v>
      </c>
      <c r="H1688" t="b">
        <f>'Claims Data'!L1688</f>
        <v>1</v>
      </c>
      <c r="I1688">
        <f t="shared" si="52"/>
        <v>40</v>
      </c>
      <c r="J1688" t="str">
        <f t="shared" si="53"/>
        <v>Medium Risk</v>
      </c>
    </row>
    <row r="1689" spans="1:10" x14ac:dyDescent="0.2">
      <c r="A1689" t="str">
        <f>'Claims Data'!A1689</f>
        <v>CLM01688</v>
      </c>
      <c r="B1689" t="str">
        <f>'Claims Data'!B1689</f>
        <v>PAT0079</v>
      </c>
      <c r="C1689" t="str">
        <f>'Claims Data'!C1689</f>
        <v>PRV0057</v>
      </c>
      <c r="D1689" s="1">
        <f>'Claims Data'!D1689</f>
        <v>45499</v>
      </c>
      <c r="E1689">
        <f>'Claims Data'!H1689</f>
        <v>3.6</v>
      </c>
      <c r="F1689">
        <f>'Claims Data'!J1689</f>
        <v>233.05</v>
      </c>
      <c r="G1689">
        <f>'Claims Data'!M1689</f>
        <v>0</v>
      </c>
      <c r="H1689" t="b">
        <f>'Claims Data'!L1689</f>
        <v>0</v>
      </c>
      <c r="I1689">
        <f t="shared" si="52"/>
        <v>0</v>
      </c>
      <c r="J1689" t="str">
        <f t="shared" si="53"/>
        <v>Low Risk</v>
      </c>
    </row>
    <row r="1690" spans="1:10" x14ac:dyDescent="0.2">
      <c r="A1690" t="str">
        <f>'Claims Data'!A1690</f>
        <v>CLM01689</v>
      </c>
      <c r="B1690" t="str">
        <f>'Claims Data'!B1690</f>
        <v>PAT0171</v>
      </c>
      <c r="C1690" t="str">
        <f>'Claims Data'!C1690</f>
        <v>PRV0003</v>
      </c>
      <c r="D1690" s="1">
        <f>'Claims Data'!D1690</f>
        <v>45049</v>
      </c>
      <c r="E1690">
        <f>'Claims Data'!H1690</f>
        <v>3.3</v>
      </c>
      <c r="F1690">
        <f>'Claims Data'!J1690</f>
        <v>272.38</v>
      </c>
      <c r="G1690">
        <f>'Claims Data'!M1690</f>
        <v>0</v>
      </c>
      <c r="H1690" t="b">
        <f>'Claims Data'!L1690</f>
        <v>0</v>
      </c>
      <c r="I1690">
        <f t="shared" si="52"/>
        <v>0</v>
      </c>
      <c r="J1690" t="str">
        <f t="shared" si="53"/>
        <v>Low Risk</v>
      </c>
    </row>
    <row r="1691" spans="1:10" x14ac:dyDescent="0.2">
      <c r="A1691" t="str">
        <f>'Claims Data'!A1691</f>
        <v>CLM01690</v>
      </c>
      <c r="B1691" t="str">
        <f>'Claims Data'!B1691</f>
        <v>PAT0247</v>
      </c>
      <c r="C1691" t="str">
        <f>'Claims Data'!C1691</f>
        <v>PRV0030</v>
      </c>
      <c r="D1691" s="1">
        <f>'Claims Data'!D1691</f>
        <v>45398</v>
      </c>
      <c r="E1691">
        <f>'Claims Data'!H1691</f>
        <v>7.5</v>
      </c>
      <c r="F1691">
        <f>'Claims Data'!J1691</f>
        <v>247.68</v>
      </c>
      <c r="G1691">
        <f>'Claims Data'!M1691</f>
        <v>0</v>
      </c>
      <c r="H1691" t="b">
        <f>'Claims Data'!L1691</f>
        <v>0</v>
      </c>
      <c r="I1691">
        <f t="shared" si="52"/>
        <v>0</v>
      </c>
      <c r="J1691" t="str">
        <f t="shared" si="53"/>
        <v>Low Risk</v>
      </c>
    </row>
    <row r="1692" spans="1:10" x14ac:dyDescent="0.2">
      <c r="A1692" t="str">
        <f>'Claims Data'!A1692</f>
        <v>CLM01691</v>
      </c>
      <c r="B1692" t="str">
        <f>'Claims Data'!B1692</f>
        <v>PAT0162</v>
      </c>
      <c r="C1692" t="str">
        <f>'Claims Data'!C1692</f>
        <v>PRV0047</v>
      </c>
      <c r="D1692" s="1">
        <f>'Claims Data'!D1692</f>
        <v>45391</v>
      </c>
      <c r="E1692">
        <f>'Claims Data'!H1692</f>
        <v>2</v>
      </c>
      <c r="F1692">
        <f>'Claims Data'!J1692</f>
        <v>51.15</v>
      </c>
      <c r="G1692">
        <f>'Claims Data'!M1692</f>
        <v>0</v>
      </c>
      <c r="H1692" t="b">
        <f>'Claims Data'!L1692</f>
        <v>0</v>
      </c>
      <c r="I1692">
        <f t="shared" si="52"/>
        <v>0</v>
      </c>
      <c r="J1692" t="str">
        <f t="shared" si="53"/>
        <v>Low Risk</v>
      </c>
    </row>
    <row r="1693" spans="1:10" x14ac:dyDescent="0.2">
      <c r="A1693" t="str">
        <f>'Claims Data'!A1693</f>
        <v>CLM01692</v>
      </c>
      <c r="B1693" t="str">
        <f>'Claims Data'!B1693</f>
        <v>PAT0158</v>
      </c>
      <c r="C1693" t="str">
        <f>'Claims Data'!C1693</f>
        <v>PRV0027</v>
      </c>
      <c r="D1693" s="1">
        <f>'Claims Data'!D1693</f>
        <v>45465</v>
      </c>
      <c r="E1693">
        <f>'Claims Data'!H1693</f>
        <v>29.9</v>
      </c>
      <c r="F1693">
        <f>'Claims Data'!J1693</f>
        <v>2000</v>
      </c>
      <c r="G1693" t="str">
        <f>'Claims Data'!M1693</f>
        <v>phantom_round_amount</v>
      </c>
      <c r="H1693" t="b">
        <f>'Claims Data'!L1693</f>
        <v>1</v>
      </c>
      <c r="I1693">
        <f t="shared" si="52"/>
        <v>80</v>
      </c>
      <c r="J1693" t="str">
        <f t="shared" si="53"/>
        <v>High Risk</v>
      </c>
    </row>
    <row r="1694" spans="1:10" x14ac:dyDescent="0.2">
      <c r="A1694" t="str">
        <f>'Claims Data'!A1694</f>
        <v>CLM01693</v>
      </c>
      <c r="B1694" t="str">
        <f>'Claims Data'!B1694</f>
        <v>PAT0280</v>
      </c>
      <c r="C1694" t="str">
        <f>'Claims Data'!C1694</f>
        <v>PRV0051</v>
      </c>
      <c r="D1694" s="1">
        <f>'Claims Data'!D1694</f>
        <v>45135</v>
      </c>
      <c r="E1694">
        <f>'Claims Data'!H1694</f>
        <v>5.2</v>
      </c>
      <c r="F1694">
        <f>'Claims Data'!J1694</f>
        <v>375.64</v>
      </c>
      <c r="G1694">
        <f>'Claims Data'!M1694</f>
        <v>0</v>
      </c>
      <c r="H1694" t="b">
        <f>'Claims Data'!L1694</f>
        <v>0</v>
      </c>
      <c r="I1694">
        <f t="shared" si="52"/>
        <v>0</v>
      </c>
      <c r="J1694" t="str">
        <f t="shared" si="53"/>
        <v>Low Risk</v>
      </c>
    </row>
    <row r="1695" spans="1:10" x14ac:dyDescent="0.2">
      <c r="A1695" t="str">
        <f>'Claims Data'!A1695</f>
        <v>CLM01694</v>
      </c>
      <c r="B1695" t="str">
        <f>'Claims Data'!B1695</f>
        <v>PAT0094</v>
      </c>
      <c r="C1695" t="str">
        <f>'Claims Data'!C1695</f>
        <v>PRV0011</v>
      </c>
      <c r="D1695" s="1">
        <f>'Claims Data'!D1695</f>
        <v>45544</v>
      </c>
      <c r="E1695">
        <f>'Claims Data'!H1695</f>
        <v>5.2</v>
      </c>
      <c r="F1695">
        <f>'Claims Data'!J1695</f>
        <v>408.48</v>
      </c>
      <c r="G1695">
        <f>'Claims Data'!M1695</f>
        <v>0</v>
      </c>
      <c r="H1695" t="b">
        <f>'Claims Data'!L1695</f>
        <v>0</v>
      </c>
      <c r="I1695">
        <f t="shared" si="52"/>
        <v>0</v>
      </c>
      <c r="J1695" t="str">
        <f t="shared" si="53"/>
        <v>Low Risk</v>
      </c>
    </row>
    <row r="1696" spans="1:10" x14ac:dyDescent="0.2">
      <c r="A1696" t="str">
        <f>'Claims Data'!A1696</f>
        <v>CLM01695</v>
      </c>
      <c r="B1696" t="str">
        <f>'Claims Data'!B1696</f>
        <v>PAT0287</v>
      </c>
      <c r="C1696" t="str">
        <f>'Claims Data'!C1696</f>
        <v>PRV0028</v>
      </c>
      <c r="D1696" s="1">
        <f>'Claims Data'!D1696</f>
        <v>45582</v>
      </c>
      <c r="E1696">
        <f>'Claims Data'!H1696</f>
        <v>6</v>
      </c>
      <c r="F1696">
        <f>'Claims Data'!J1696</f>
        <v>277.08</v>
      </c>
      <c r="G1696">
        <f>'Claims Data'!M1696</f>
        <v>0</v>
      </c>
      <c r="H1696" t="b">
        <f>'Claims Data'!L1696</f>
        <v>0</v>
      </c>
      <c r="I1696">
        <f t="shared" si="52"/>
        <v>0</v>
      </c>
      <c r="J1696" t="str">
        <f t="shared" si="53"/>
        <v>Low Risk</v>
      </c>
    </row>
    <row r="1697" spans="1:10" x14ac:dyDescent="0.2">
      <c r="A1697" t="str">
        <f>'Claims Data'!A1697</f>
        <v>CLM01696</v>
      </c>
      <c r="B1697" t="str">
        <f>'Claims Data'!B1697</f>
        <v>PAT0226</v>
      </c>
      <c r="C1697" t="str">
        <f>'Claims Data'!C1697</f>
        <v>PRV0012</v>
      </c>
      <c r="D1697" s="1">
        <f>'Claims Data'!D1697</f>
        <v>45459</v>
      </c>
      <c r="E1697">
        <f>'Claims Data'!H1697</f>
        <v>4.3</v>
      </c>
      <c r="F1697">
        <f>'Claims Data'!J1697</f>
        <v>324</v>
      </c>
      <c r="G1697">
        <f>'Claims Data'!M1697</f>
        <v>0</v>
      </c>
      <c r="H1697" t="b">
        <f>'Claims Data'!L1697</f>
        <v>0</v>
      </c>
      <c r="I1697">
        <f t="shared" si="52"/>
        <v>0</v>
      </c>
      <c r="J1697" t="str">
        <f t="shared" si="53"/>
        <v>Low Risk</v>
      </c>
    </row>
    <row r="1698" spans="1:10" x14ac:dyDescent="0.2">
      <c r="A1698" t="str">
        <f>'Claims Data'!A1698</f>
        <v>CLM01697</v>
      </c>
      <c r="B1698" t="str">
        <f>'Claims Data'!B1698</f>
        <v>PAT0182</v>
      </c>
      <c r="C1698" t="str">
        <f>'Claims Data'!C1698</f>
        <v>PRV0025</v>
      </c>
      <c r="D1698" s="1">
        <f>'Claims Data'!D1698</f>
        <v>45251</v>
      </c>
      <c r="E1698">
        <f>'Claims Data'!H1698</f>
        <v>2.7</v>
      </c>
      <c r="F1698">
        <f>'Claims Data'!J1698</f>
        <v>127.52</v>
      </c>
      <c r="G1698">
        <f>'Claims Data'!M1698</f>
        <v>0</v>
      </c>
      <c r="H1698" t="b">
        <f>'Claims Data'!L1698</f>
        <v>0</v>
      </c>
      <c r="I1698">
        <f t="shared" si="52"/>
        <v>0</v>
      </c>
      <c r="J1698" t="str">
        <f t="shared" si="53"/>
        <v>Low Risk</v>
      </c>
    </row>
    <row r="1699" spans="1:10" x14ac:dyDescent="0.2">
      <c r="A1699" t="str">
        <f>'Claims Data'!A1699</f>
        <v>CLM01698</v>
      </c>
      <c r="B1699" t="str">
        <f>'Claims Data'!B1699</f>
        <v>PAT0202</v>
      </c>
      <c r="C1699" t="str">
        <f>'Claims Data'!C1699</f>
        <v>PRV0038</v>
      </c>
      <c r="D1699" s="1">
        <f>'Claims Data'!D1699</f>
        <v>44936</v>
      </c>
      <c r="E1699">
        <f>'Claims Data'!H1699</f>
        <v>2.1</v>
      </c>
      <c r="F1699">
        <f>'Claims Data'!J1699</f>
        <v>146.13999999999999</v>
      </c>
      <c r="G1699">
        <f>'Claims Data'!M1699</f>
        <v>0</v>
      </c>
      <c r="H1699" t="b">
        <f>'Claims Data'!L1699</f>
        <v>0</v>
      </c>
      <c r="I1699">
        <f t="shared" si="52"/>
        <v>0</v>
      </c>
      <c r="J1699" t="str">
        <f t="shared" si="53"/>
        <v>Low Risk</v>
      </c>
    </row>
    <row r="1700" spans="1:10" x14ac:dyDescent="0.2">
      <c r="A1700" t="str">
        <f>'Claims Data'!A1700</f>
        <v>CLM01699</v>
      </c>
      <c r="B1700" t="str">
        <f>'Claims Data'!B1700</f>
        <v>PAT0258</v>
      </c>
      <c r="C1700" t="str">
        <f>'Claims Data'!C1700</f>
        <v>PRV0040</v>
      </c>
      <c r="D1700" s="1">
        <f>'Claims Data'!D1700</f>
        <v>45096</v>
      </c>
      <c r="E1700">
        <f>'Claims Data'!H1700</f>
        <v>3.1</v>
      </c>
      <c r="F1700">
        <f>'Claims Data'!J1700</f>
        <v>229.33</v>
      </c>
      <c r="G1700">
        <f>'Claims Data'!M1700</f>
        <v>0</v>
      </c>
      <c r="H1700" t="b">
        <f>'Claims Data'!L1700</f>
        <v>0</v>
      </c>
      <c r="I1700">
        <f t="shared" si="52"/>
        <v>0</v>
      </c>
      <c r="J1700" t="str">
        <f t="shared" si="53"/>
        <v>Low Risk</v>
      </c>
    </row>
    <row r="1701" spans="1:10" x14ac:dyDescent="0.2">
      <c r="A1701" t="str">
        <f>'Claims Data'!A1701</f>
        <v>CLM01700</v>
      </c>
      <c r="B1701" t="str">
        <f>'Claims Data'!B1701</f>
        <v>PAT0129</v>
      </c>
      <c r="C1701" t="str">
        <f>'Claims Data'!C1701</f>
        <v>PRV0039</v>
      </c>
      <c r="D1701" s="1">
        <f>'Claims Data'!D1701</f>
        <v>45035</v>
      </c>
      <c r="E1701">
        <f>'Claims Data'!H1701</f>
        <v>6.9</v>
      </c>
      <c r="F1701">
        <f>'Claims Data'!J1701</f>
        <v>264.06</v>
      </c>
      <c r="G1701">
        <f>'Claims Data'!M1701</f>
        <v>0</v>
      </c>
      <c r="H1701" t="b">
        <f>'Claims Data'!L1701</f>
        <v>0</v>
      </c>
      <c r="I1701">
        <f t="shared" si="52"/>
        <v>0</v>
      </c>
      <c r="J1701" t="str">
        <f t="shared" si="53"/>
        <v>Low Risk</v>
      </c>
    </row>
    <row r="1702" spans="1:10" x14ac:dyDescent="0.2">
      <c r="A1702" t="str">
        <f>'Claims Data'!A1702</f>
        <v>CLM01701</v>
      </c>
      <c r="B1702" t="str">
        <f>'Claims Data'!B1702</f>
        <v>PAT0039</v>
      </c>
      <c r="C1702" t="str">
        <f>'Claims Data'!C1702</f>
        <v>PRV0017</v>
      </c>
      <c r="D1702" s="1">
        <f>'Claims Data'!D1702</f>
        <v>45585</v>
      </c>
      <c r="E1702">
        <f>'Claims Data'!H1702</f>
        <v>2.2000000000000002</v>
      </c>
      <c r="F1702">
        <f>'Claims Data'!J1702</f>
        <v>120.05</v>
      </c>
      <c r="G1702">
        <f>'Claims Data'!M1702</f>
        <v>0</v>
      </c>
      <c r="H1702" t="b">
        <f>'Claims Data'!L1702</f>
        <v>0</v>
      </c>
      <c r="I1702">
        <f t="shared" si="52"/>
        <v>0</v>
      </c>
      <c r="J1702" t="str">
        <f t="shared" si="53"/>
        <v>Low Risk</v>
      </c>
    </row>
    <row r="1703" spans="1:10" x14ac:dyDescent="0.2">
      <c r="A1703" t="str">
        <f>'Claims Data'!A1703</f>
        <v>CLM01702</v>
      </c>
      <c r="B1703" t="str">
        <f>'Claims Data'!B1703</f>
        <v>PAT0145</v>
      </c>
      <c r="C1703" t="str">
        <f>'Claims Data'!C1703</f>
        <v>PRV0046</v>
      </c>
      <c r="D1703" s="1">
        <f>'Claims Data'!D1703</f>
        <v>45403</v>
      </c>
      <c r="E1703">
        <f>'Claims Data'!H1703</f>
        <v>2</v>
      </c>
      <c r="F1703">
        <f>'Claims Data'!J1703</f>
        <v>168.11</v>
      </c>
      <c r="G1703">
        <f>'Claims Data'!M1703</f>
        <v>0</v>
      </c>
      <c r="H1703" t="b">
        <f>'Claims Data'!L1703</f>
        <v>0</v>
      </c>
      <c r="I1703">
        <f t="shared" si="52"/>
        <v>0</v>
      </c>
      <c r="J1703" t="str">
        <f t="shared" si="53"/>
        <v>Low Risk</v>
      </c>
    </row>
    <row r="1704" spans="1:10" x14ac:dyDescent="0.2">
      <c r="A1704" t="str">
        <f>'Claims Data'!A1704</f>
        <v>CLM01703</v>
      </c>
      <c r="B1704" t="str">
        <f>'Claims Data'!B1704</f>
        <v>PAT0275</v>
      </c>
      <c r="C1704" t="str">
        <f>'Claims Data'!C1704</f>
        <v>PRV0005</v>
      </c>
      <c r="D1704" s="1">
        <f>'Claims Data'!D1704</f>
        <v>45339</v>
      </c>
      <c r="E1704">
        <f>'Claims Data'!H1704</f>
        <v>22.5</v>
      </c>
      <c r="F1704">
        <f>'Claims Data'!J1704</f>
        <v>936.9</v>
      </c>
      <c r="G1704" t="str">
        <f>'Claims Data'!M1704</f>
        <v>inflated_hours</v>
      </c>
      <c r="H1704" t="b">
        <f>'Claims Data'!L1704</f>
        <v>1</v>
      </c>
      <c r="I1704">
        <f t="shared" si="52"/>
        <v>50</v>
      </c>
      <c r="J1704" t="str">
        <f t="shared" si="53"/>
        <v>Medium Risk</v>
      </c>
    </row>
    <row r="1705" spans="1:10" x14ac:dyDescent="0.2">
      <c r="A1705" t="str">
        <f>'Claims Data'!A1705</f>
        <v>CLM01704</v>
      </c>
      <c r="B1705" t="str">
        <f>'Claims Data'!B1705</f>
        <v>PAT0043</v>
      </c>
      <c r="C1705" t="str">
        <f>'Claims Data'!C1705</f>
        <v>PRV0002</v>
      </c>
      <c r="D1705" s="1">
        <f>'Claims Data'!D1705</f>
        <v>45210</v>
      </c>
      <c r="E1705">
        <f>'Claims Data'!H1705</f>
        <v>20.5</v>
      </c>
      <c r="F1705">
        <f>'Claims Data'!J1705</f>
        <v>750</v>
      </c>
      <c r="G1705" t="str">
        <f>'Claims Data'!M1705</f>
        <v>phantom_round_amount</v>
      </c>
      <c r="H1705" t="b">
        <f>'Claims Data'!L1705</f>
        <v>1</v>
      </c>
      <c r="I1705">
        <f t="shared" si="52"/>
        <v>80</v>
      </c>
      <c r="J1705" t="str">
        <f t="shared" si="53"/>
        <v>High Risk</v>
      </c>
    </row>
    <row r="1706" spans="1:10" x14ac:dyDescent="0.2">
      <c r="A1706" t="str">
        <f>'Claims Data'!A1706</f>
        <v>CLM01705</v>
      </c>
      <c r="B1706" t="str">
        <f>'Claims Data'!B1706</f>
        <v>PAT0145</v>
      </c>
      <c r="C1706" t="str">
        <f>'Claims Data'!C1706</f>
        <v>PRV0053</v>
      </c>
      <c r="D1706" s="1">
        <f>'Claims Data'!D1706</f>
        <v>45136</v>
      </c>
      <c r="E1706">
        <f>'Claims Data'!H1706</f>
        <v>2.4</v>
      </c>
      <c r="F1706">
        <f>'Claims Data'!J1706</f>
        <v>78.47</v>
      </c>
      <c r="G1706">
        <f>'Claims Data'!M1706</f>
        <v>0</v>
      </c>
      <c r="H1706" t="b">
        <f>'Claims Data'!L1706</f>
        <v>0</v>
      </c>
      <c r="I1706">
        <f t="shared" si="52"/>
        <v>0</v>
      </c>
      <c r="J1706" t="str">
        <f t="shared" si="53"/>
        <v>Low Risk</v>
      </c>
    </row>
    <row r="1707" spans="1:10" x14ac:dyDescent="0.2">
      <c r="A1707" t="str">
        <f>'Claims Data'!A1707</f>
        <v>CLM01706</v>
      </c>
      <c r="B1707" t="str">
        <f>'Claims Data'!B1707</f>
        <v>PAT0008</v>
      </c>
      <c r="C1707" t="str">
        <f>'Claims Data'!C1707</f>
        <v>PRV0058</v>
      </c>
      <c r="D1707" s="1">
        <f>'Claims Data'!D1707</f>
        <v>45186</v>
      </c>
      <c r="E1707">
        <f>'Claims Data'!H1707</f>
        <v>3.6</v>
      </c>
      <c r="F1707">
        <f>'Claims Data'!J1707</f>
        <v>213.1</v>
      </c>
      <c r="G1707">
        <f>'Claims Data'!M1707</f>
        <v>0</v>
      </c>
      <c r="H1707" t="b">
        <f>'Claims Data'!L1707</f>
        <v>0</v>
      </c>
      <c r="I1707">
        <f t="shared" si="52"/>
        <v>0</v>
      </c>
      <c r="J1707" t="str">
        <f t="shared" si="53"/>
        <v>Low Risk</v>
      </c>
    </row>
    <row r="1708" spans="1:10" x14ac:dyDescent="0.2">
      <c r="A1708" t="str">
        <f>'Claims Data'!A1708</f>
        <v>CLM01707</v>
      </c>
      <c r="B1708" t="str">
        <f>'Claims Data'!B1708</f>
        <v>PAT0171</v>
      </c>
      <c r="C1708" t="str">
        <f>'Claims Data'!C1708</f>
        <v>PRV0046</v>
      </c>
      <c r="D1708" s="1">
        <f>'Claims Data'!D1708</f>
        <v>45467</v>
      </c>
      <c r="E1708">
        <f>'Claims Data'!H1708</f>
        <v>3.2</v>
      </c>
      <c r="F1708">
        <f>'Claims Data'!J1708</f>
        <v>210.17</v>
      </c>
      <c r="G1708">
        <f>'Claims Data'!M1708</f>
        <v>0</v>
      </c>
      <c r="H1708" t="b">
        <f>'Claims Data'!L1708</f>
        <v>0</v>
      </c>
      <c r="I1708">
        <f t="shared" si="52"/>
        <v>0</v>
      </c>
      <c r="J1708" t="str">
        <f t="shared" si="53"/>
        <v>Low Risk</v>
      </c>
    </row>
    <row r="1709" spans="1:10" x14ac:dyDescent="0.2">
      <c r="A1709" t="str">
        <f>'Claims Data'!A1709</f>
        <v>CLM01708</v>
      </c>
      <c r="B1709" t="str">
        <f>'Claims Data'!B1709</f>
        <v>PAT0170</v>
      </c>
      <c r="C1709" t="str">
        <f>'Claims Data'!C1709</f>
        <v>PRV0016</v>
      </c>
      <c r="D1709" s="1">
        <f>'Claims Data'!D1709</f>
        <v>45268</v>
      </c>
      <c r="E1709">
        <f>'Claims Data'!H1709</f>
        <v>6.1</v>
      </c>
      <c r="F1709">
        <f>'Claims Data'!J1709</f>
        <v>475.72</v>
      </c>
      <c r="G1709">
        <f>'Claims Data'!M1709</f>
        <v>0</v>
      </c>
      <c r="H1709" t="b">
        <f>'Claims Data'!L1709</f>
        <v>0</v>
      </c>
      <c r="I1709">
        <f t="shared" si="52"/>
        <v>0</v>
      </c>
      <c r="J1709" t="str">
        <f t="shared" si="53"/>
        <v>Low Risk</v>
      </c>
    </row>
    <row r="1710" spans="1:10" x14ac:dyDescent="0.2">
      <c r="A1710" t="str">
        <f>'Claims Data'!A1710</f>
        <v>CLM01709</v>
      </c>
      <c r="B1710" t="str">
        <f>'Claims Data'!B1710</f>
        <v>PAT0208</v>
      </c>
      <c r="C1710" t="str">
        <f>'Claims Data'!C1710</f>
        <v>PRV0029</v>
      </c>
      <c r="D1710" s="1">
        <f>'Claims Data'!D1710</f>
        <v>45215</v>
      </c>
      <c r="E1710">
        <f>'Claims Data'!H1710</f>
        <v>5.8</v>
      </c>
      <c r="F1710">
        <f>'Claims Data'!J1710</f>
        <v>473.19</v>
      </c>
      <c r="G1710">
        <f>'Claims Data'!M1710</f>
        <v>0</v>
      </c>
      <c r="H1710" t="b">
        <f>'Claims Data'!L1710</f>
        <v>0</v>
      </c>
      <c r="I1710">
        <f t="shared" si="52"/>
        <v>0</v>
      </c>
      <c r="J1710" t="str">
        <f t="shared" si="53"/>
        <v>Low Risk</v>
      </c>
    </row>
    <row r="1711" spans="1:10" x14ac:dyDescent="0.2">
      <c r="A1711" t="str">
        <f>'Claims Data'!A1711</f>
        <v>CLM01710</v>
      </c>
      <c r="B1711" t="str">
        <f>'Claims Data'!B1711</f>
        <v>PAT0167</v>
      </c>
      <c r="C1711" t="str">
        <f>'Claims Data'!C1711</f>
        <v>PRV0004</v>
      </c>
      <c r="D1711" s="1">
        <f>'Claims Data'!D1711</f>
        <v>45029</v>
      </c>
      <c r="E1711">
        <f>'Claims Data'!H1711</f>
        <v>4.5999999999999996</v>
      </c>
      <c r="F1711">
        <f>'Claims Data'!J1711</f>
        <v>389.65</v>
      </c>
      <c r="G1711">
        <f>'Claims Data'!M1711</f>
        <v>0</v>
      </c>
      <c r="H1711" t="b">
        <f>'Claims Data'!L1711</f>
        <v>0</v>
      </c>
      <c r="I1711">
        <f t="shared" si="52"/>
        <v>0</v>
      </c>
      <c r="J1711" t="str">
        <f t="shared" si="53"/>
        <v>Low Risk</v>
      </c>
    </row>
    <row r="1712" spans="1:10" x14ac:dyDescent="0.2">
      <c r="A1712" t="str">
        <f>'Claims Data'!A1712</f>
        <v>CLM01711</v>
      </c>
      <c r="B1712" t="str">
        <f>'Claims Data'!B1712</f>
        <v>PAT0077</v>
      </c>
      <c r="C1712" t="str">
        <f>'Claims Data'!C1712</f>
        <v>PRV0026</v>
      </c>
      <c r="D1712" s="1">
        <f>'Claims Data'!D1712</f>
        <v>44986</v>
      </c>
      <c r="E1712">
        <f>'Claims Data'!H1712</f>
        <v>6.1</v>
      </c>
      <c r="F1712">
        <f>'Claims Data'!J1712</f>
        <v>323.27</v>
      </c>
      <c r="G1712">
        <f>'Claims Data'!M1712</f>
        <v>0</v>
      </c>
      <c r="H1712" t="b">
        <f>'Claims Data'!L1712</f>
        <v>0</v>
      </c>
      <c r="I1712">
        <f t="shared" si="52"/>
        <v>0</v>
      </c>
      <c r="J1712" t="str">
        <f t="shared" si="53"/>
        <v>Low Risk</v>
      </c>
    </row>
    <row r="1713" spans="1:10" x14ac:dyDescent="0.2">
      <c r="A1713" t="str">
        <f>'Claims Data'!A1713</f>
        <v>CLM01712</v>
      </c>
      <c r="B1713" t="str">
        <f>'Claims Data'!B1713</f>
        <v>PAT0283</v>
      </c>
      <c r="C1713" t="str">
        <f>'Claims Data'!C1713</f>
        <v>PRV0039</v>
      </c>
      <c r="D1713" s="1">
        <f>'Claims Data'!D1713</f>
        <v>45560</v>
      </c>
      <c r="E1713">
        <f>'Claims Data'!H1713</f>
        <v>7.3</v>
      </c>
      <c r="F1713">
        <f>'Claims Data'!J1713</f>
        <v>280.85000000000002</v>
      </c>
      <c r="G1713">
        <f>'Claims Data'!M1713</f>
        <v>0</v>
      </c>
      <c r="H1713" t="b">
        <f>'Claims Data'!L1713</f>
        <v>0</v>
      </c>
      <c r="I1713">
        <f t="shared" si="52"/>
        <v>0</v>
      </c>
      <c r="J1713" t="str">
        <f t="shared" si="53"/>
        <v>Low Risk</v>
      </c>
    </row>
    <row r="1714" spans="1:10" x14ac:dyDescent="0.2">
      <c r="A1714" t="str">
        <f>'Claims Data'!A1714</f>
        <v>CLM01713</v>
      </c>
      <c r="B1714" t="str">
        <f>'Claims Data'!B1714</f>
        <v>PAT0055</v>
      </c>
      <c r="C1714" t="str">
        <f>'Claims Data'!C1714</f>
        <v>PRV0029</v>
      </c>
      <c r="D1714" s="1">
        <f>'Claims Data'!D1714</f>
        <v>45605</v>
      </c>
      <c r="E1714">
        <f>'Claims Data'!H1714</f>
        <v>5.2</v>
      </c>
      <c r="F1714">
        <f>'Claims Data'!J1714</f>
        <v>228.67</v>
      </c>
      <c r="G1714">
        <f>'Claims Data'!M1714</f>
        <v>0</v>
      </c>
      <c r="H1714" t="b">
        <f>'Claims Data'!L1714</f>
        <v>0</v>
      </c>
      <c r="I1714">
        <f t="shared" si="52"/>
        <v>0</v>
      </c>
      <c r="J1714" t="str">
        <f t="shared" si="53"/>
        <v>Low Risk</v>
      </c>
    </row>
    <row r="1715" spans="1:10" x14ac:dyDescent="0.2">
      <c r="A1715" t="str">
        <f>'Claims Data'!A1715</f>
        <v>CLM01714</v>
      </c>
      <c r="B1715" t="str">
        <f>'Claims Data'!B1715</f>
        <v>PAT0112</v>
      </c>
      <c r="C1715" t="str">
        <f>'Claims Data'!C1715</f>
        <v>PRV0029</v>
      </c>
      <c r="D1715" s="1">
        <f>'Claims Data'!D1715</f>
        <v>45137</v>
      </c>
      <c r="E1715">
        <f>'Claims Data'!H1715</f>
        <v>4</v>
      </c>
      <c r="F1715">
        <f>'Claims Data'!J1715</f>
        <v>311.22000000000003</v>
      </c>
      <c r="G1715">
        <f>'Claims Data'!M1715</f>
        <v>0</v>
      </c>
      <c r="H1715" t="b">
        <f>'Claims Data'!L1715</f>
        <v>0</v>
      </c>
      <c r="I1715">
        <f t="shared" si="52"/>
        <v>0</v>
      </c>
      <c r="J1715" t="str">
        <f t="shared" si="53"/>
        <v>Low Risk</v>
      </c>
    </row>
    <row r="1716" spans="1:10" x14ac:dyDescent="0.2">
      <c r="A1716" t="str">
        <f>'Claims Data'!A1716</f>
        <v>CLM01715</v>
      </c>
      <c r="B1716" t="str">
        <f>'Claims Data'!B1716</f>
        <v>PAT0150</v>
      </c>
      <c r="C1716" t="str">
        <f>'Claims Data'!C1716</f>
        <v>PRV0018</v>
      </c>
      <c r="D1716" s="1">
        <f>'Claims Data'!D1716</f>
        <v>45289</v>
      </c>
      <c r="E1716">
        <f>'Claims Data'!H1716</f>
        <v>7.9</v>
      </c>
      <c r="F1716">
        <f>'Claims Data'!J1716</f>
        <v>398.39</v>
      </c>
      <c r="G1716">
        <f>'Claims Data'!M1716</f>
        <v>0</v>
      </c>
      <c r="H1716" t="b">
        <f>'Claims Data'!L1716</f>
        <v>0</v>
      </c>
      <c r="I1716">
        <f t="shared" si="52"/>
        <v>0</v>
      </c>
      <c r="J1716" t="str">
        <f t="shared" si="53"/>
        <v>Low Risk</v>
      </c>
    </row>
    <row r="1717" spans="1:10" x14ac:dyDescent="0.2">
      <c r="A1717" t="str">
        <f>'Claims Data'!A1717</f>
        <v>CLM01716</v>
      </c>
      <c r="B1717" t="str">
        <f>'Claims Data'!B1717</f>
        <v>PAT0076</v>
      </c>
      <c r="C1717" t="str">
        <f>'Claims Data'!C1717</f>
        <v>PRV0049</v>
      </c>
      <c r="D1717" s="1">
        <f>'Claims Data'!D1717</f>
        <v>45566</v>
      </c>
      <c r="E1717">
        <f>'Claims Data'!H1717</f>
        <v>3.2</v>
      </c>
      <c r="F1717">
        <f>'Claims Data'!J1717</f>
        <v>143.21</v>
      </c>
      <c r="G1717">
        <f>'Claims Data'!M1717</f>
        <v>0</v>
      </c>
      <c r="H1717" t="b">
        <f>'Claims Data'!L1717</f>
        <v>0</v>
      </c>
      <c r="I1717">
        <f t="shared" si="52"/>
        <v>0</v>
      </c>
      <c r="J1717" t="str">
        <f t="shared" si="53"/>
        <v>Low Risk</v>
      </c>
    </row>
    <row r="1718" spans="1:10" x14ac:dyDescent="0.2">
      <c r="A1718" t="str">
        <f>'Claims Data'!A1718</f>
        <v>CLM01717</v>
      </c>
      <c r="B1718" t="str">
        <f>'Claims Data'!B1718</f>
        <v>PAT0162</v>
      </c>
      <c r="C1718" t="str">
        <f>'Claims Data'!C1718</f>
        <v>PRV0005</v>
      </c>
      <c r="D1718" s="1">
        <f>'Claims Data'!D1718</f>
        <v>44968</v>
      </c>
      <c r="E1718">
        <f>'Claims Data'!H1718</f>
        <v>2.2000000000000002</v>
      </c>
      <c r="F1718">
        <f>'Claims Data'!J1718</f>
        <v>112.02</v>
      </c>
      <c r="G1718">
        <f>'Claims Data'!M1718</f>
        <v>0</v>
      </c>
      <c r="H1718" t="b">
        <f>'Claims Data'!L1718</f>
        <v>0</v>
      </c>
      <c r="I1718">
        <f t="shared" si="52"/>
        <v>0</v>
      </c>
      <c r="J1718" t="str">
        <f t="shared" si="53"/>
        <v>Low Risk</v>
      </c>
    </row>
    <row r="1719" spans="1:10" x14ac:dyDescent="0.2">
      <c r="A1719" t="str">
        <f>'Claims Data'!A1719</f>
        <v>CLM01718</v>
      </c>
      <c r="B1719" t="str">
        <f>'Claims Data'!B1719</f>
        <v>PAT0246</v>
      </c>
      <c r="C1719" t="str">
        <f>'Claims Data'!C1719</f>
        <v>PRV0017</v>
      </c>
      <c r="D1719" s="1">
        <f>'Claims Data'!D1719</f>
        <v>45139</v>
      </c>
      <c r="E1719">
        <f>'Claims Data'!H1719</f>
        <v>7</v>
      </c>
      <c r="F1719">
        <f>'Claims Data'!J1719</f>
        <v>278.8</v>
      </c>
      <c r="G1719">
        <f>'Claims Data'!M1719</f>
        <v>0</v>
      </c>
      <c r="H1719" t="b">
        <f>'Claims Data'!L1719</f>
        <v>0</v>
      </c>
      <c r="I1719">
        <f t="shared" si="52"/>
        <v>0</v>
      </c>
      <c r="J1719" t="str">
        <f t="shared" si="53"/>
        <v>Low Risk</v>
      </c>
    </row>
    <row r="1720" spans="1:10" x14ac:dyDescent="0.2">
      <c r="A1720" t="str">
        <f>'Claims Data'!A1720</f>
        <v>CLM01719</v>
      </c>
      <c r="B1720" t="str">
        <f>'Claims Data'!B1720</f>
        <v>PAT0153</v>
      </c>
      <c r="C1720" t="str">
        <f>'Claims Data'!C1720</f>
        <v>PRV0057</v>
      </c>
      <c r="D1720" s="1">
        <f>'Claims Data'!D1720</f>
        <v>45560</v>
      </c>
      <c r="E1720">
        <f>'Claims Data'!H1720</f>
        <v>7.8</v>
      </c>
      <c r="F1720">
        <f>'Claims Data'!J1720</f>
        <v>584.62</v>
      </c>
      <c r="G1720">
        <f>'Claims Data'!M1720</f>
        <v>0</v>
      </c>
      <c r="H1720" t="b">
        <f>'Claims Data'!L1720</f>
        <v>0</v>
      </c>
      <c r="I1720">
        <f t="shared" si="52"/>
        <v>0</v>
      </c>
      <c r="J1720" t="str">
        <f t="shared" si="53"/>
        <v>Low Risk</v>
      </c>
    </row>
    <row r="1721" spans="1:10" x14ac:dyDescent="0.2">
      <c r="A1721" t="str">
        <f>'Claims Data'!A1721</f>
        <v>CLM01720</v>
      </c>
      <c r="B1721" t="str">
        <f>'Claims Data'!B1721</f>
        <v>PAT0295</v>
      </c>
      <c r="C1721" t="str">
        <f>'Claims Data'!C1721</f>
        <v>PRV0018</v>
      </c>
      <c r="D1721" s="1">
        <f>'Claims Data'!D1721</f>
        <v>45543</v>
      </c>
      <c r="E1721">
        <f>'Claims Data'!H1721</f>
        <v>21</v>
      </c>
      <c r="F1721">
        <f>'Claims Data'!J1721</f>
        <v>1500</v>
      </c>
      <c r="G1721" t="str">
        <f>'Claims Data'!M1721</f>
        <v>phantom_round_amount</v>
      </c>
      <c r="H1721" t="b">
        <f>'Claims Data'!L1721</f>
        <v>1</v>
      </c>
      <c r="I1721">
        <f t="shared" si="52"/>
        <v>80</v>
      </c>
      <c r="J1721" t="str">
        <f t="shared" si="53"/>
        <v>High Risk</v>
      </c>
    </row>
    <row r="1722" spans="1:10" x14ac:dyDescent="0.2">
      <c r="A1722" t="str">
        <f>'Claims Data'!A1722</f>
        <v>CLM01721</v>
      </c>
      <c r="B1722" t="str">
        <f>'Claims Data'!B1722</f>
        <v>PAT0216</v>
      </c>
      <c r="C1722" t="str">
        <f>'Claims Data'!C1722</f>
        <v>PRV0002</v>
      </c>
      <c r="D1722" s="1">
        <f>'Claims Data'!D1722</f>
        <v>45368</v>
      </c>
      <c r="E1722">
        <f>'Claims Data'!H1722</f>
        <v>6.6</v>
      </c>
      <c r="F1722">
        <f>'Claims Data'!J1722</f>
        <v>412.64</v>
      </c>
      <c r="G1722">
        <f>'Claims Data'!M1722</f>
        <v>0</v>
      </c>
      <c r="H1722" t="b">
        <f>'Claims Data'!L1722</f>
        <v>0</v>
      </c>
      <c r="I1722">
        <f t="shared" si="52"/>
        <v>0</v>
      </c>
      <c r="J1722" t="str">
        <f t="shared" si="53"/>
        <v>Low Risk</v>
      </c>
    </row>
    <row r="1723" spans="1:10" x14ac:dyDescent="0.2">
      <c r="A1723" t="str">
        <f>'Claims Data'!A1723</f>
        <v>CLM01722</v>
      </c>
      <c r="B1723" t="str">
        <f>'Claims Data'!B1723</f>
        <v>PAT0189</v>
      </c>
      <c r="C1723" t="str">
        <f>'Claims Data'!C1723</f>
        <v>PRV0025</v>
      </c>
      <c r="D1723" s="1">
        <f>'Claims Data'!D1723</f>
        <v>44986</v>
      </c>
      <c r="E1723">
        <f>'Claims Data'!H1723</f>
        <v>2.5</v>
      </c>
      <c r="F1723">
        <f>'Claims Data'!J1723</f>
        <v>71.599999999999994</v>
      </c>
      <c r="G1723">
        <f>'Claims Data'!M1723</f>
        <v>0</v>
      </c>
      <c r="H1723" t="b">
        <f>'Claims Data'!L1723</f>
        <v>0</v>
      </c>
      <c r="I1723">
        <f t="shared" si="52"/>
        <v>0</v>
      </c>
      <c r="J1723" t="str">
        <f t="shared" si="53"/>
        <v>Low Risk</v>
      </c>
    </row>
    <row r="1724" spans="1:10" x14ac:dyDescent="0.2">
      <c r="A1724" t="str">
        <f>'Claims Data'!A1724</f>
        <v>CLM01723</v>
      </c>
      <c r="B1724" t="str">
        <f>'Claims Data'!B1724</f>
        <v>PAT0181</v>
      </c>
      <c r="C1724" t="str">
        <f>'Claims Data'!C1724</f>
        <v>PRV0018</v>
      </c>
      <c r="D1724" s="1">
        <f>'Claims Data'!D1724</f>
        <v>45139</v>
      </c>
      <c r="E1724">
        <f>'Claims Data'!H1724</f>
        <v>3.9</v>
      </c>
      <c r="F1724">
        <f>'Claims Data'!J1724</f>
        <v>295.86</v>
      </c>
      <c r="G1724">
        <f>'Claims Data'!M1724</f>
        <v>0</v>
      </c>
      <c r="H1724" t="b">
        <f>'Claims Data'!L1724</f>
        <v>0</v>
      </c>
      <c r="I1724">
        <f t="shared" si="52"/>
        <v>0</v>
      </c>
      <c r="J1724" t="str">
        <f t="shared" si="53"/>
        <v>Low Risk</v>
      </c>
    </row>
    <row r="1725" spans="1:10" x14ac:dyDescent="0.2">
      <c r="A1725" t="str">
        <f>'Claims Data'!A1725</f>
        <v>CLM01724</v>
      </c>
      <c r="B1725" t="str">
        <f>'Claims Data'!B1725</f>
        <v>PAT0298</v>
      </c>
      <c r="C1725" t="str">
        <f>'Claims Data'!C1725</f>
        <v>PRV0028</v>
      </c>
      <c r="D1725" s="1">
        <f>'Claims Data'!D1725</f>
        <v>45451</v>
      </c>
      <c r="E1725">
        <f>'Claims Data'!H1725</f>
        <v>2.4</v>
      </c>
      <c r="F1725">
        <f>'Claims Data'!J1725</f>
        <v>175.54</v>
      </c>
      <c r="G1725">
        <f>'Claims Data'!M1725</f>
        <v>0</v>
      </c>
      <c r="H1725" t="b">
        <f>'Claims Data'!L1725</f>
        <v>0</v>
      </c>
      <c r="I1725">
        <f t="shared" si="52"/>
        <v>0</v>
      </c>
      <c r="J1725" t="str">
        <f t="shared" si="53"/>
        <v>Low Risk</v>
      </c>
    </row>
    <row r="1726" spans="1:10" x14ac:dyDescent="0.2">
      <c r="A1726" t="str">
        <f>'Claims Data'!A1726</f>
        <v>CLM01725</v>
      </c>
      <c r="B1726" t="str">
        <f>'Claims Data'!B1726</f>
        <v>PAT0182</v>
      </c>
      <c r="C1726" t="str">
        <f>'Claims Data'!C1726</f>
        <v>PRV0040</v>
      </c>
      <c r="D1726" s="1">
        <f>'Claims Data'!D1726</f>
        <v>45283</v>
      </c>
      <c r="E1726">
        <f>'Claims Data'!H1726</f>
        <v>5.7</v>
      </c>
      <c r="F1726">
        <f>'Claims Data'!J1726</f>
        <v>290.19</v>
      </c>
      <c r="G1726">
        <f>'Claims Data'!M1726</f>
        <v>0</v>
      </c>
      <c r="H1726" t="b">
        <f>'Claims Data'!L1726</f>
        <v>0</v>
      </c>
      <c r="I1726">
        <f t="shared" si="52"/>
        <v>0</v>
      </c>
      <c r="J1726" t="str">
        <f t="shared" si="53"/>
        <v>Low Risk</v>
      </c>
    </row>
    <row r="1727" spans="1:10" x14ac:dyDescent="0.2">
      <c r="A1727" t="str">
        <f>'Claims Data'!A1727</f>
        <v>CLM01726</v>
      </c>
      <c r="B1727" t="str">
        <f>'Claims Data'!B1727</f>
        <v>PAT0141</v>
      </c>
      <c r="C1727" t="str">
        <f>'Claims Data'!C1727</f>
        <v>PRV0022</v>
      </c>
      <c r="D1727" s="1">
        <f>'Claims Data'!D1727</f>
        <v>45394</v>
      </c>
      <c r="E1727">
        <f>'Claims Data'!H1727</f>
        <v>5.4</v>
      </c>
      <c r="F1727">
        <f>'Claims Data'!J1727</f>
        <v>230.55</v>
      </c>
      <c r="G1727">
        <f>'Claims Data'!M1727</f>
        <v>0</v>
      </c>
      <c r="H1727" t="b">
        <f>'Claims Data'!L1727</f>
        <v>0</v>
      </c>
      <c r="I1727">
        <f t="shared" si="52"/>
        <v>0</v>
      </c>
      <c r="J1727" t="str">
        <f t="shared" si="53"/>
        <v>Low Risk</v>
      </c>
    </row>
    <row r="1728" spans="1:10" x14ac:dyDescent="0.2">
      <c r="A1728" t="str">
        <f>'Claims Data'!A1728</f>
        <v>CLM01727</v>
      </c>
      <c r="B1728" t="str">
        <f>'Claims Data'!B1728</f>
        <v>PAT0050</v>
      </c>
      <c r="C1728" t="str">
        <f>'Claims Data'!C1728</f>
        <v>PRV0056</v>
      </c>
      <c r="D1728" s="1">
        <f>'Claims Data'!D1728</f>
        <v>45320</v>
      </c>
      <c r="E1728">
        <f>'Claims Data'!H1728</f>
        <v>2.6</v>
      </c>
      <c r="F1728">
        <f>'Claims Data'!J1728</f>
        <v>182.31</v>
      </c>
      <c r="G1728">
        <f>'Claims Data'!M1728</f>
        <v>0</v>
      </c>
      <c r="H1728" t="b">
        <f>'Claims Data'!L1728</f>
        <v>0</v>
      </c>
      <c r="I1728">
        <f t="shared" si="52"/>
        <v>0</v>
      </c>
      <c r="J1728" t="str">
        <f t="shared" si="53"/>
        <v>Low Risk</v>
      </c>
    </row>
    <row r="1729" spans="1:10" x14ac:dyDescent="0.2">
      <c r="A1729" t="str">
        <f>'Claims Data'!A1729</f>
        <v>CLM01728</v>
      </c>
      <c r="B1729" t="str">
        <f>'Claims Data'!B1729</f>
        <v>PAT0097</v>
      </c>
      <c r="C1729" t="str">
        <f>'Claims Data'!C1729</f>
        <v>PRV0039</v>
      </c>
      <c r="D1729" s="1">
        <f>'Claims Data'!D1729</f>
        <v>45228</v>
      </c>
      <c r="E1729">
        <f>'Claims Data'!H1729</f>
        <v>4.7</v>
      </c>
      <c r="F1729">
        <f>'Claims Data'!J1729</f>
        <v>248.41</v>
      </c>
      <c r="G1729">
        <f>'Claims Data'!M1729</f>
        <v>0</v>
      </c>
      <c r="H1729" t="b">
        <f>'Claims Data'!L1729</f>
        <v>0</v>
      </c>
      <c r="I1729">
        <f t="shared" si="52"/>
        <v>0</v>
      </c>
      <c r="J1729" t="str">
        <f t="shared" si="53"/>
        <v>Low Risk</v>
      </c>
    </row>
    <row r="1730" spans="1:10" x14ac:dyDescent="0.2">
      <c r="A1730" t="str">
        <f>'Claims Data'!A1730</f>
        <v>CLM01729</v>
      </c>
      <c r="B1730" t="str">
        <f>'Claims Data'!B1730</f>
        <v>PAT0187</v>
      </c>
      <c r="C1730" t="str">
        <f>'Claims Data'!C1730</f>
        <v>PRV0039</v>
      </c>
      <c r="D1730" s="1">
        <f>'Claims Data'!D1730</f>
        <v>45263</v>
      </c>
      <c r="E1730">
        <f>'Claims Data'!H1730</f>
        <v>4</v>
      </c>
      <c r="F1730">
        <f>'Claims Data'!J1730</f>
        <v>325.02</v>
      </c>
      <c r="G1730">
        <f>'Claims Data'!M1730</f>
        <v>0</v>
      </c>
      <c r="H1730" t="b">
        <f>'Claims Data'!L1730</f>
        <v>0</v>
      </c>
      <c r="I1730">
        <f t="shared" si="52"/>
        <v>0</v>
      </c>
      <c r="J1730" t="str">
        <f t="shared" si="53"/>
        <v>Low Risk</v>
      </c>
    </row>
    <row r="1731" spans="1:10" x14ac:dyDescent="0.2">
      <c r="A1731" t="str">
        <f>'Claims Data'!A1731</f>
        <v>CLM01730</v>
      </c>
      <c r="B1731" t="str">
        <f>'Claims Data'!B1731</f>
        <v>PAT0272</v>
      </c>
      <c r="C1731" t="str">
        <f>'Claims Data'!C1731</f>
        <v>PRV0010</v>
      </c>
      <c r="D1731" s="1">
        <f>'Claims Data'!D1731</f>
        <v>44973</v>
      </c>
      <c r="E1731">
        <f>'Claims Data'!H1731</f>
        <v>5.0999999999999996</v>
      </c>
      <c r="F1731">
        <f>'Claims Data'!J1731</f>
        <v>307.37</v>
      </c>
      <c r="G1731">
        <f>'Claims Data'!M1731</f>
        <v>0</v>
      </c>
      <c r="H1731" t="b">
        <f>'Claims Data'!L1731</f>
        <v>0</v>
      </c>
      <c r="I1731">
        <f t="shared" ref="I1731:I1794" si="54">IF(E1731&gt;16,40,0)+IF(MOD(F1731,250)=0,30,0)+IF(H1731=TRUE,10,0)</f>
        <v>0</v>
      </c>
      <c r="J1731" t="str">
        <f t="shared" ref="J1731:J1794" si="55">IF(I1731&gt;=70,"High Risk",IF(I1731&gt;=30,"Medium Risk","Low Risk"))</f>
        <v>Low Risk</v>
      </c>
    </row>
    <row r="1732" spans="1:10" x14ac:dyDescent="0.2">
      <c r="A1732" t="str">
        <f>'Claims Data'!A1732</f>
        <v>CLM01731</v>
      </c>
      <c r="B1732" t="str">
        <f>'Claims Data'!B1732</f>
        <v>PAT0201</v>
      </c>
      <c r="C1732" t="str">
        <f>'Claims Data'!C1732</f>
        <v>PRV0036</v>
      </c>
      <c r="D1732" s="1">
        <f>'Claims Data'!D1732</f>
        <v>45564</v>
      </c>
      <c r="E1732">
        <f>'Claims Data'!H1732</f>
        <v>2.1</v>
      </c>
      <c r="F1732">
        <f>'Claims Data'!J1732</f>
        <v>142.38</v>
      </c>
      <c r="G1732">
        <f>'Claims Data'!M1732</f>
        <v>0</v>
      </c>
      <c r="H1732" t="b">
        <f>'Claims Data'!L1732</f>
        <v>0</v>
      </c>
      <c r="I1732">
        <f t="shared" si="54"/>
        <v>0</v>
      </c>
      <c r="J1732" t="str">
        <f t="shared" si="55"/>
        <v>Low Risk</v>
      </c>
    </row>
    <row r="1733" spans="1:10" x14ac:dyDescent="0.2">
      <c r="A1733" t="str">
        <f>'Claims Data'!A1733</f>
        <v>CLM01732</v>
      </c>
      <c r="B1733" t="str">
        <f>'Claims Data'!B1733</f>
        <v>PAT0214</v>
      </c>
      <c r="C1733" t="str">
        <f>'Claims Data'!C1733</f>
        <v>PRV0044</v>
      </c>
      <c r="D1733" s="1">
        <f>'Claims Data'!D1733</f>
        <v>45301</v>
      </c>
      <c r="E1733">
        <f>'Claims Data'!H1733</f>
        <v>22</v>
      </c>
      <c r="F1733">
        <f>'Claims Data'!J1733</f>
        <v>716.32</v>
      </c>
      <c r="G1733" t="str">
        <f>'Claims Data'!M1733</f>
        <v>inflated_hours</v>
      </c>
      <c r="H1733" t="b">
        <f>'Claims Data'!L1733</f>
        <v>1</v>
      </c>
      <c r="I1733">
        <f t="shared" si="54"/>
        <v>50</v>
      </c>
      <c r="J1733" t="str">
        <f t="shared" si="55"/>
        <v>Medium Risk</v>
      </c>
    </row>
    <row r="1734" spans="1:10" x14ac:dyDescent="0.2">
      <c r="A1734" t="str">
        <f>'Claims Data'!A1734</f>
        <v>CLM01733</v>
      </c>
      <c r="B1734" t="str">
        <f>'Claims Data'!B1734</f>
        <v>PAT0110</v>
      </c>
      <c r="C1734" t="str">
        <f>'Claims Data'!C1734</f>
        <v>PRV0020</v>
      </c>
      <c r="D1734" s="1">
        <f>'Claims Data'!D1734</f>
        <v>45315</v>
      </c>
      <c r="E1734">
        <f>'Claims Data'!H1734</f>
        <v>4.0999999999999996</v>
      </c>
      <c r="F1734">
        <f>'Claims Data'!J1734</f>
        <v>220.92</v>
      </c>
      <c r="G1734">
        <f>'Claims Data'!M1734</f>
        <v>0</v>
      </c>
      <c r="H1734" t="b">
        <f>'Claims Data'!L1734</f>
        <v>0</v>
      </c>
      <c r="I1734">
        <f t="shared" si="54"/>
        <v>0</v>
      </c>
      <c r="J1734" t="str">
        <f t="shared" si="55"/>
        <v>Low Risk</v>
      </c>
    </row>
    <row r="1735" spans="1:10" x14ac:dyDescent="0.2">
      <c r="A1735" t="str">
        <f>'Claims Data'!A1735</f>
        <v>CLM01734</v>
      </c>
      <c r="B1735" t="str">
        <f>'Claims Data'!B1735</f>
        <v>PAT0080</v>
      </c>
      <c r="C1735" t="str">
        <f>'Claims Data'!C1735</f>
        <v>PRV0047</v>
      </c>
      <c r="D1735" s="1">
        <f>'Claims Data'!D1735</f>
        <v>45572</v>
      </c>
      <c r="E1735">
        <f>'Claims Data'!H1735</f>
        <v>3.1</v>
      </c>
      <c r="F1735">
        <f>'Claims Data'!J1735</f>
        <v>103.11</v>
      </c>
      <c r="G1735">
        <f>'Claims Data'!M1735</f>
        <v>0</v>
      </c>
      <c r="H1735" t="b">
        <f>'Claims Data'!L1735</f>
        <v>0</v>
      </c>
      <c r="I1735">
        <f t="shared" si="54"/>
        <v>0</v>
      </c>
      <c r="J1735" t="str">
        <f t="shared" si="55"/>
        <v>Low Risk</v>
      </c>
    </row>
    <row r="1736" spans="1:10" x14ac:dyDescent="0.2">
      <c r="A1736" t="str">
        <f>'Claims Data'!A1736</f>
        <v>CLM01735</v>
      </c>
      <c r="B1736" t="str">
        <f>'Claims Data'!B1736</f>
        <v>PAT0273</v>
      </c>
      <c r="C1736" t="str">
        <f>'Claims Data'!C1736</f>
        <v>PRV0023</v>
      </c>
      <c r="D1736" s="1">
        <f>'Claims Data'!D1736</f>
        <v>45287</v>
      </c>
      <c r="E1736">
        <f>'Claims Data'!H1736</f>
        <v>2.8</v>
      </c>
      <c r="F1736">
        <f>'Claims Data'!J1736</f>
        <v>168.2</v>
      </c>
      <c r="G1736">
        <f>'Claims Data'!M1736</f>
        <v>0</v>
      </c>
      <c r="H1736" t="b">
        <f>'Claims Data'!L1736</f>
        <v>0</v>
      </c>
      <c r="I1736">
        <f t="shared" si="54"/>
        <v>0</v>
      </c>
      <c r="J1736" t="str">
        <f t="shared" si="55"/>
        <v>Low Risk</v>
      </c>
    </row>
    <row r="1737" spans="1:10" x14ac:dyDescent="0.2">
      <c r="A1737" t="str">
        <f>'Claims Data'!A1737</f>
        <v>CLM01736</v>
      </c>
      <c r="B1737" t="str">
        <f>'Claims Data'!B1737</f>
        <v>PAT0163</v>
      </c>
      <c r="C1737" t="str">
        <f>'Claims Data'!C1737</f>
        <v>PRV0019</v>
      </c>
      <c r="D1737" s="1">
        <f>'Claims Data'!D1737</f>
        <v>45335</v>
      </c>
      <c r="E1737">
        <f>'Claims Data'!H1737</f>
        <v>3.9</v>
      </c>
      <c r="F1737">
        <f>'Claims Data'!J1737</f>
        <v>304.64</v>
      </c>
      <c r="G1737">
        <f>'Claims Data'!M1737</f>
        <v>0</v>
      </c>
      <c r="H1737" t="b">
        <f>'Claims Data'!L1737</f>
        <v>0</v>
      </c>
      <c r="I1737">
        <f t="shared" si="54"/>
        <v>0</v>
      </c>
      <c r="J1737" t="str">
        <f t="shared" si="55"/>
        <v>Low Risk</v>
      </c>
    </row>
    <row r="1738" spans="1:10" x14ac:dyDescent="0.2">
      <c r="A1738" t="str">
        <f>'Claims Data'!A1738</f>
        <v>CLM01737</v>
      </c>
      <c r="B1738" t="str">
        <f>'Claims Data'!B1738</f>
        <v>PAT0006</v>
      </c>
      <c r="C1738" t="str">
        <f>'Claims Data'!C1738</f>
        <v>PRV0017</v>
      </c>
      <c r="D1738" s="1">
        <f>'Claims Data'!D1738</f>
        <v>45290</v>
      </c>
      <c r="E1738">
        <f>'Claims Data'!H1738</f>
        <v>4.8</v>
      </c>
      <c r="F1738">
        <f>'Claims Data'!J1738</f>
        <v>293.76</v>
      </c>
      <c r="G1738">
        <f>'Claims Data'!M1738</f>
        <v>0</v>
      </c>
      <c r="H1738" t="b">
        <f>'Claims Data'!L1738</f>
        <v>0</v>
      </c>
      <c r="I1738">
        <f t="shared" si="54"/>
        <v>0</v>
      </c>
      <c r="J1738" t="str">
        <f t="shared" si="55"/>
        <v>Low Risk</v>
      </c>
    </row>
    <row r="1739" spans="1:10" x14ac:dyDescent="0.2">
      <c r="A1739" t="str">
        <f>'Claims Data'!A1739</f>
        <v>CLM01738</v>
      </c>
      <c r="B1739" t="str">
        <f>'Claims Data'!B1739</f>
        <v>PAT0032</v>
      </c>
      <c r="C1739" t="str">
        <f>'Claims Data'!C1739</f>
        <v>PRV0042</v>
      </c>
      <c r="D1739" s="1">
        <f>'Claims Data'!D1739</f>
        <v>45040</v>
      </c>
      <c r="E1739">
        <f>'Claims Data'!H1739</f>
        <v>35.700000000000003</v>
      </c>
      <c r="F1739">
        <f>'Claims Data'!J1739</f>
        <v>2000</v>
      </c>
      <c r="G1739" t="str">
        <f>'Claims Data'!M1739</f>
        <v>phantom_round_amount</v>
      </c>
      <c r="H1739" t="b">
        <f>'Claims Data'!L1739</f>
        <v>1</v>
      </c>
      <c r="I1739">
        <f t="shared" si="54"/>
        <v>80</v>
      </c>
      <c r="J1739" t="str">
        <f t="shared" si="55"/>
        <v>High Risk</v>
      </c>
    </row>
    <row r="1740" spans="1:10" x14ac:dyDescent="0.2">
      <c r="A1740" t="str">
        <f>'Claims Data'!A1740</f>
        <v>CLM01739</v>
      </c>
      <c r="B1740" t="str">
        <f>'Claims Data'!B1740</f>
        <v>PAT0163</v>
      </c>
      <c r="C1740" t="str">
        <f>'Claims Data'!C1740</f>
        <v>PRV0052</v>
      </c>
      <c r="D1740" s="1">
        <f>'Claims Data'!D1740</f>
        <v>45347</v>
      </c>
      <c r="E1740">
        <f>'Claims Data'!H1740</f>
        <v>2.2999999999999998</v>
      </c>
      <c r="F1740">
        <f>'Claims Data'!J1740</f>
        <v>127.48</v>
      </c>
      <c r="G1740">
        <f>'Claims Data'!M1740</f>
        <v>0</v>
      </c>
      <c r="H1740" t="b">
        <f>'Claims Data'!L1740</f>
        <v>0</v>
      </c>
      <c r="I1740">
        <f t="shared" si="54"/>
        <v>0</v>
      </c>
      <c r="J1740" t="str">
        <f t="shared" si="55"/>
        <v>Low Risk</v>
      </c>
    </row>
    <row r="1741" spans="1:10" x14ac:dyDescent="0.2">
      <c r="A1741" t="str">
        <f>'Claims Data'!A1741</f>
        <v>CLM01740</v>
      </c>
      <c r="B1741" t="str">
        <f>'Claims Data'!B1741</f>
        <v>PAT0262</v>
      </c>
      <c r="C1741" t="str">
        <f>'Claims Data'!C1741</f>
        <v>PRV0022</v>
      </c>
      <c r="D1741" s="1">
        <f>'Claims Data'!D1741</f>
        <v>45519</v>
      </c>
      <c r="E1741">
        <f>'Claims Data'!H1741</f>
        <v>4.5</v>
      </c>
      <c r="F1741">
        <f>'Claims Data'!J1741</f>
        <v>165.26</v>
      </c>
      <c r="G1741">
        <f>'Claims Data'!M1741</f>
        <v>0</v>
      </c>
      <c r="H1741" t="b">
        <f>'Claims Data'!L1741</f>
        <v>0</v>
      </c>
      <c r="I1741">
        <f t="shared" si="54"/>
        <v>0</v>
      </c>
      <c r="J1741" t="str">
        <f t="shared" si="55"/>
        <v>Low Risk</v>
      </c>
    </row>
    <row r="1742" spans="1:10" x14ac:dyDescent="0.2">
      <c r="A1742" t="str">
        <f>'Claims Data'!A1742</f>
        <v>CLM01741</v>
      </c>
      <c r="B1742" t="str">
        <f>'Claims Data'!B1742</f>
        <v>PAT0167</v>
      </c>
      <c r="C1742" t="str">
        <f>'Claims Data'!C1742</f>
        <v>PRV0041</v>
      </c>
      <c r="D1742" s="1">
        <f>'Claims Data'!D1742</f>
        <v>48420</v>
      </c>
      <c r="E1742">
        <f>'Claims Data'!H1742</f>
        <v>6.7</v>
      </c>
      <c r="F1742">
        <f>'Claims Data'!J1742</f>
        <v>304.8</v>
      </c>
      <c r="G1742" t="str">
        <f>'Claims Data'!M1742</f>
        <v>deceased_patient_billing</v>
      </c>
      <c r="H1742" t="b">
        <f>'Claims Data'!L1742</f>
        <v>1</v>
      </c>
      <c r="I1742">
        <f t="shared" si="54"/>
        <v>10</v>
      </c>
      <c r="J1742" t="str">
        <f t="shared" si="55"/>
        <v>Low Risk</v>
      </c>
    </row>
    <row r="1743" spans="1:10" x14ac:dyDescent="0.2">
      <c r="A1743" t="str">
        <f>'Claims Data'!A1743</f>
        <v>CLM01742</v>
      </c>
      <c r="B1743" t="str">
        <f>'Claims Data'!B1743</f>
        <v>PAT0205</v>
      </c>
      <c r="C1743" t="str">
        <f>'Claims Data'!C1743</f>
        <v>PRV0002</v>
      </c>
      <c r="D1743" s="1">
        <f>'Claims Data'!D1743</f>
        <v>45650</v>
      </c>
      <c r="E1743">
        <f>'Claims Data'!H1743</f>
        <v>6.2</v>
      </c>
      <c r="F1743">
        <f>'Claims Data'!J1743</f>
        <v>520.28</v>
      </c>
      <c r="G1743">
        <f>'Claims Data'!M1743</f>
        <v>0</v>
      </c>
      <c r="H1743" t="b">
        <f>'Claims Data'!L1743</f>
        <v>0</v>
      </c>
      <c r="I1743">
        <f t="shared" si="54"/>
        <v>0</v>
      </c>
      <c r="J1743" t="str">
        <f t="shared" si="55"/>
        <v>Low Risk</v>
      </c>
    </row>
    <row r="1744" spans="1:10" x14ac:dyDescent="0.2">
      <c r="A1744" t="str">
        <f>'Claims Data'!A1744</f>
        <v>CLM01743</v>
      </c>
      <c r="B1744" t="str">
        <f>'Claims Data'!B1744</f>
        <v>PAT0063</v>
      </c>
      <c r="C1744" t="str">
        <f>'Claims Data'!C1744</f>
        <v>PRV0032</v>
      </c>
      <c r="D1744" s="1">
        <f>'Claims Data'!D1744</f>
        <v>45093</v>
      </c>
      <c r="E1744">
        <f>'Claims Data'!H1744</f>
        <v>25.4</v>
      </c>
      <c r="F1744">
        <f>'Claims Data'!J1744</f>
        <v>1500</v>
      </c>
      <c r="G1744" t="str">
        <f>'Claims Data'!M1744</f>
        <v>phantom_round_amount</v>
      </c>
      <c r="H1744" t="b">
        <f>'Claims Data'!L1744</f>
        <v>1</v>
      </c>
      <c r="I1744">
        <f t="shared" si="54"/>
        <v>80</v>
      </c>
      <c r="J1744" t="str">
        <f t="shared" si="55"/>
        <v>High Risk</v>
      </c>
    </row>
    <row r="1745" spans="1:10" x14ac:dyDescent="0.2">
      <c r="A1745" t="str">
        <f>'Claims Data'!A1745</f>
        <v>CLM01744</v>
      </c>
      <c r="B1745" t="str">
        <f>'Claims Data'!B1745</f>
        <v>PAT0134</v>
      </c>
      <c r="C1745" t="str">
        <f>'Claims Data'!C1745</f>
        <v>PRV0010</v>
      </c>
      <c r="D1745" s="1">
        <f>'Claims Data'!D1745</f>
        <v>45495</v>
      </c>
      <c r="E1745">
        <f>'Claims Data'!H1745</f>
        <v>4.5</v>
      </c>
      <c r="F1745">
        <f>'Claims Data'!J1745</f>
        <v>156.32</v>
      </c>
      <c r="G1745">
        <f>'Claims Data'!M1745</f>
        <v>0</v>
      </c>
      <c r="H1745" t="b">
        <f>'Claims Data'!L1745</f>
        <v>0</v>
      </c>
      <c r="I1745">
        <f t="shared" si="54"/>
        <v>0</v>
      </c>
      <c r="J1745" t="str">
        <f t="shared" si="55"/>
        <v>Low Risk</v>
      </c>
    </row>
    <row r="1746" spans="1:10" x14ac:dyDescent="0.2">
      <c r="A1746" t="str">
        <f>'Claims Data'!A1746</f>
        <v>CLM01745</v>
      </c>
      <c r="B1746" t="str">
        <f>'Claims Data'!B1746</f>
        <v>PAT0086</v>
      </c>
      <c r="C1746" t="str">
        <f>'Claims Data'!C1746</f>
        <v>PRV0005</v>
      </c>
      <c r="D1746" s="1">
        <f>'Claims Data'!D1746</f>
        <v>44962</v>
      </c>
      <c r="E1746">
        <f>'Claims Data'!H1746</f>
        <v>5</v>
      </c>
      <c r="F1746">
        <f>'Claims Data'!J1746</f>
        <v>400.99</v>
      </c>
      <c r="G1746">
        <f>'Claims Data'!M1746</f>
        <v>0</v>
      </c>
      <c r="H1746" t="b">
        <f>'Claims Data'!L1746</f>
        <v>0</v>
      </c>
      <c r="I1746">
        <f t="shared" si="54"/>
        <v>0</v>
      </c>
      <c r="J1746" t="str">
        <f t="shared" si="55"/>
        <v>Low Risk</v>
      </c>
    </row>
    <row r="1747" spans="1:10" x14ac:dyDescent="0.2">
      <c r="A1747" t="str">
        <f>'Claims Data'!A1747</f>
        <v>CLM01746</v>
      </c>
      <c r="B1747" t="str">
        <f>'Claims Data'!B1747</f>
        <v>PAT0074</v>
      </c>
      <c r="C1747" t="str">
        <f>'Claims Data'!C1747</f>
        <v>PRV0017</v>
      </c>
      <c r="D1747" s="1">
        <f>'Claims Data'!D1747</f>
        <v>45471</v>
      </c>
      <c r="E1747">
        <f>'Claims Data'!H1747</f>
        <v>6.2</v>
      </c>
      <c r="F1747">
        <f>'Claims Data'!J1747</f>
        <v>328.55</v>
      </c>
      <c r="G1747">
        <f>'Claims Data'!M1747</f>
        <v>0</v>
      </c>
      <c r="H1747" t="b">
        <f>'Claims Data'!L1747</f>
        <v>0</v>
      </c>
      <c r="I1747">
        <f t="shared" si="54"/>
        <v>0</v>
      </c>
      <c r="J1747" t="str">
        <f t="shared" si="55"/>
        <v>Low Risk</v>
      </c>
    </row>
    <row r="1748" spans="1:10" x14ac:dyDescent="0.2">
      <c r="A1748" t="str">
        <f>'Claims Data'!A1748</f>
        <v>CLM01747</v>
      </c>
      <c r="B1748" t="str">
        <f>'Claims Data'!B1748</f>
        <v>PAT0001</v>
      </c>
      <c r="C1748" t="str">
        <f>'Claims Data'!C1748</f>
        <v>PRV0017</v>
      </c>
      <c r="D1748" s="1">
        <f>'Claims Data'!D1748</f>
        <v>45507</v>
      </c>
      <c r="E1748">
        <f>'Claims Data'!H1748</f>
        <v>4.9000000000000004</v>
      </c>
      <c r="F1748">
        <f>'Claims Data'!J1748</f>
        <v>348.39</v>
      </c>
      <c r="G1748">
        <f>'Claims Data'!M1748</f>
        <v>0</v>
      </c>
      <c r="H1748" t="b">
        <f>'Claims Data'!L1748</f>
        <v>0</v>
      </c>
      <c r="I1748">
        <f t="shared" si="54"/>
        <v>0</v>
      </c>
      <c r="J1748" t="str">
        <f t="shared" si="55"/>
        <v>Low Risk</v>
      </c>
    </row>
    <row r="1749" spans="1:10" x14ac:dyDescent="0.2">
      <c r="A1749" t="str">
        <f>'Claims Data'!A1749</f>
        <v>CLM01748</v>
      </c>
      <c r="B1749" t="str">
        <f>'Claims Data'!B1749</f>
        <v>PAT0292</v>
      </c>
      <c r="C1749" t="str">
        <f>'Claims Data'!C1749</f>
        <v>PRV0054</v>
      </c>
      <c r="D1749" s="1">
        <f>'Claims Data'!D1749</f>
        <v>45433</v>
      </c>
      <c r="E1749">
        <f>'Claims Data'!H1749</f>
        <v>3.2</v>
      </c>
      <c r="F1749">
        <f>'Claims Data'!J1749</f>
        <v>115.37</v>
      </c>
      <c r="G1749">
        <f>'Claims Data'!M1749</f>
        <v>0</v>
      </c>
      <c r="H1749" t="b">
        <f>'Claims Data'!L1749</f>
        <v>0</v>
      </c>
      <c r="I1749">
        <f t="shared" si="54"/>
        <v>0</v>
      </c>
      <c r="J1749" t="str">
        <f t="shared" si="55"/>
        <v>Low Risk</v>
      </c>
    </row>
    <row r="1750" spans="1:10" x14ac:dyDescent="0.2">
      <c r="A1750" t="str">
        <f>'Claims Data'!A1750</f>
        <v>CLM01749</v>
      </c>
      <c r="B1750" t="str">
        <f>'Claims Data'!B1750</f>
        <v>PAT0085</v>
      </c>
      <c r="C1750" t="str">
        <f>'Claims Data'!C1750</f>
        <v>PRV0060</v>
      </c>
      <c r="D1750" s="1">
        <f>'Claims Data'!D1750</f>
        <v>45209</v>
      </c>
      <c r="E1750">
        <f>'Claims Data'!H1750</f>
        <v>2.1</v>
      </c>
      <c r="F1750">
        <f>'Claims Data'!J1750</f>
        <v>97.59</v>
      </c>
      <c r="G1750">
        <f>'Claims Data'!M1750</f>
        <v>0</v>
      </c>
      <c r="H1750" t="b">
        <f>'Claims Data'!L1750</f>
        <v>0</v>
      </c>
      <c r="I1750">
        <f t="shared" si="54"/>
        <v>0</v>
      </c>
      <c r="J1750" t="str">
        <f t="shared" si="55"/>
        <v>Low Risk</v>
      </c>
    </row>
    <row r="1751" spans="1:10" x14ac:dyDescent="0.2">
      <c r="A1751" t="str">
        <f>'Claims Data'!A1751</f>
        <v>CLM01750</v>
      </c>
      <c r="B1751" t="str">
        <f>'Claims Data'!B1751</f>
        <v>PAT0077</v>
      </c>
      <c r="C1751" t="str">
        <f>'Claims Data'!C1751</f>
        <v>PRV0046</v>
      </c>
      <c r="D1751" s="1">
        <f>'Claims Data'!D1751</f>
        <v>45519</v>
      </c>
      <c r="E1751">
        <f>'Claims Data'!H1751</f>
        <v>2.9</v>
      </c>
      <c r="F1751">
        <f>'Claims Data'!J1751</f>
        <v>149.13</v>
      </c>
      <c r="G1751">
        <f>'Claims Data'!M1751</f>
        <v>0</v>
      </c>
      <c r="H1751" t="b">
        <f>'Claims Data'!L1751</f>
        <v>0</v>
      </c>
      <c r="I1751">
        <f t="shared" si="54"/>
        <v>0</v>
      </c>
      <c r="J1751" t="str">
        <f t="shared" si="55"/>
        <v>Low Risk</v>
      </c>
    </row>
    <row r="1752" spans="1:10" x14ac:dyDescent="0.2">
      <c r="A1752" t="str">
        <f>'Claims Data'!A1752</f>
        <v>CLM01751</v>
      </c>
      <c r="B1752" t="str">
        <f>'Claims Data'!B1752</f>
        <v>PAT0113</v>
      </c>
      <c r="C1752" t="str">
        <f>'Claims Data'!C1752</f>
        <v>PRV0056</v>
      </c>
      <c r="D1752" s="1">
        <f>'Claims Data'!D1752</f>
        <v>45284</v>
      </c>
      <c r="E1752">
        <f>'Claims Data'!H1752</f>
        <v>2.2999999999999998</v>
      </c>
      <c r="F1752">
        <f>'Claims Data'!J1752</f>
        <v>61.6</v>
      </c>
      <c r="G1752">
        <f>'Claims Data'!M1752</f>
        <v>0</v>
      </c>
      <c r="H1752" t="b">
        <f>'Claims Data'!L1752</f>
        <v>0</v>
      </c>
      <c r="I1752">
        <f t="shared" si="54"/>
        <v>0</v>
      </c>
      <c r="J1752" t="str">
        <f t="shared" si="55"/>
        <v>Low Risk</v>
      </c>
    </row>
    <row r="1753" spans="1:10" x14ac:dyDescent="0.2">
      <c r="A1753" t="str">
        <f>'Claims Data'!A1753</f>
        <v>CLM01752</v>
      </c>
      <c r="B1753" t="str">
        <f>'Claims Data'!B1753</f>
        <v>PAT0109</v>
      </c>
      <c r="C1753" t="str">
        <f>'Claims Data'!C1753</f>
        <v>PRV0029</v>
      </c>
      <c r="D1753" s="1">
        <f>'Claims Data'!D1753</f>
        <v>45325</v>
      </c>
      <c r="E1753">
        <f>'Claims Data'!H1753</f>
        <v>3</v>
      </c>
      <c r="F1753">
        <f>'Claims Data'!J1753</f>
        <v>234.37</v>
      </c>
      <c r="G1753">
        <f>'Claims Data'!M1753</f>
        <v>0</v>
      </c>
      <c r="H1753" t="b">
        <f>'Claims Data'!L1753</f>
        <v>0</v>
      </c>
      <c r="I1753">
        <f t="shared" si="54"/>
        <v>0</v>
      </c>
      <c r="J1753" t="str">
        <f t="shared" si="55"/>
        <v>Low Risk</v>
      </c>
    </row>
    <row r="1754" spans="1:10" x14ac:dyDescent="0.2">
      <c r="A1754" t="str">
        <f>'Claims Data'!A1754</f>
        <v>CLM01753</v>
      </c>
      <c r="B1754" t="str">
        <f>'Claims Data'!B1754</f>
        <v>PAT0293</v>
      </c>
      <c r="C1754" t="str">
        <f>'Claims Data'!C1754</f>
        <v>PRV0022</v>
      </c>
      <c r="D1754" s="1">
        <f>'Claims Data'!D1754</f>
        <v>45621</v>
      </c>
      <c r="E1754">
        <f>'Claims Data'!H1754</f>
        <v>4</v>
      </c>
      <c r="F1754">
        <f>'Claims Data'!J1754</f>
        <v>233.08</v>
      </c>
      <c r="G1754">
        <f>'Claims Data'!M1754</f>
        <v>0</v>
      </c>
      <c r="H1754" t="b">
        <f>'Claims Data'!L1754</f>
        <v>0</v>
      </c>
      <c r="I1754">
        <f t="shared" si="54"/>
        <v>0</v>
      </c>
      <c r="J1754" t="str">
        <f t="shared" si="55"/>
        <v>Low Risk</v>
      </c>
    </row>
    <row r="1755" spans="1:10" x14ac:dyDescent="0.2">
      <c r="A1755" t="str">
        <f>'Claims Data'!A1755</f>
        <v>CLM01754</v>
      </c>
      <c r="B1755" t="str">
        <f>'Claims Data'!B1755</f>
        <v>PAT0200</v>
      </c>
      <c r="C1755" t="str">
        <f>'Claims Data'!C1755</f>
        <v>PRV0015</v>
      </c>
      <c r="D1755" s="1">
        <f>'Claims Data'!D1755</f>
        <v>45176</v>
      </c>
      <c r="E1755">
        <f>'Claims Data'!H1755</f>
        <v>2.1</v>
      </c>
      <c r="F1755">
        <f>'Claims Data'!J1755</f>
        <v>158.69999999999999</v>
      </c>
      <c r="G1755">
        <f>'Claims Data'!M1755</f>
        <v>0</v>
      </c>
      <c r="H1755" t="b">
        <f>'Claims Data'!L1755</f>
        <v>0</v>
      </c>
      <c r="I1755">
        <f t="shared" si="54"/>
        <v>0</v>
      </c>
      <c r="J1755" t="str">
        <f t="shared" si="55"/>
        <v>Low Risk</v>
      </c>
    </row>
    <row r="1756" spans="1:10" x14ac:dyDescent="0.2">
      <c r="A1756" t="str">
        <f>'Claims Data'!A1756</f>
        <v>CLM01755</v>
      </c>
      <c r="B1756" t="str">
        <f>'Claims Data'!B1756</f>
        <v>PAT0286</v>
      </c>
      <c r="C1756" t="str">
        <f>'Claims Data'!C1756</f>
        <v>PRV0027</v>
      </c>
      <c r="D1756" s="1">
        <f>'Claims Data'!D1756</f>
        <v>45202</v>
      </c>
      <c r="E1756">
        <f>'Claims Data'!H1756</f>
        <v>7</v>
      </c>
      <c r="F1756">
        <f>'Claims Data'!J1756</f>
        <v>232.64</v>
      </c>
      <c r="G1756">
        <f>'Claims Data'!M1756</f>
        <v>0</v>
      </c>
      <c r="H1756" t="b">
        <f>'Claims Data'!L1756</f>
        <v>0</v>
      </c>
      <c r="I1756">
        <f t="shared" si="54"/>
        <v>0</v>
      </c>
      <c r="J1756" t="str">
        <f t="shared" si="55"/>
        <v>Low Risk</v>
      </c>
    </row>
    <row r="1757" spans="1:10" x14ac:dyDescent="0.2">
      <c r="A1757" t="str">
        <f>'Claims Data'!A1757</f>
        <v>CLM01756</v>
      </c>
      <c r="B1757" t="str">
        <f>'Claims Data'!B1757</f>
        <v>PAT0008</v>
      </c>
      <c r="C1757" t="str">
        <f>'Claims Data'!C1757</f>
        <v>PRV0003</v>
      </c>
      <c r="D1757" s="1">
        <f>'Claims Data'!D1757</f>
        <v>45155</v>
      </c>
      <c r="E1757">
        <f>'Claims Data'!H1757</f>
        <v>4</v>
      </c>
      <c r="F1757">
        <f>'Claims Data'!J1757</f>
        <v>150.46</v>
      </c>
      <c r="G1757">
        <f>'Claims Data'!M1757</f>
        <v>0</v>
      </c>
      <c r="H1757" t="b">
        <f>'Claims Data'!L1757</f>
        <v>0</v>
      </c>
      <c r="I1757">
        <f t="shared" si="54"/>
        <v>0</v>
      </c>
      <c r="J1757" t="str">
        <f t="shared" si="55"/>
        <v>Low Risk</v>
      </c>
    </row>
    <row r="1758" spans="1:10" x14ac:dyDescent="0.2">
      <c r="A1758" t="str">
        <f>'Claims Data'!A1758</f>
        <v>CLM01757</v>
      </c>
      <c r="B1758" t="str">
        <f>'Claims Data'!B1758</f>
        <v>PAT0058</v>
      </c>
      <c r="C1758" t="str">
        <f>'Claims Data'!C1758</f>
        <v>PRV0050</v>
      </c>
      <c r="D1758" s="1">
        <f>'Claims Data'!D1758</f>
        <v>45589</v>
      </c>
      <c r="E1758">
        <f>'Claims Data'!H1758</f>
        <v>21.1</v>
      </c>
      <c r="F1758">
        <f>'Claims Data'!J1758</f>
        <v>1000</v>
      </c>
      <c r="G1758" t="str">
        <f>'Claims Data'!M1758</f>
        <v>phantom_round_amount</v>
      </c>
      <c r="H1758" t="b">
        <f>'Claims Data'!L1758</f>
        <v>1</v>
      </c>
      <c r="I1758">
        <f t="shared" si="54"/>
        <v>80</v>
      </c>
      <c r="J1758" t="str">
        <f t="shared" si="55"/>
        <v>High Risk</v>
      </c>
    </row>
    <row r="1759" spans="1:10" x14ac:dyDescent="0.2">
      <c r="A1759" t="str">
        <f>'Claims Data'!A1759</f>
        <v>CLM01758</v>
      </c>
      <c r="B1759" t="str">
        <f>'Claims Data'!B1759</f>
        <v>PAT0060</v>
      </c>
      <c r="C1759" t="str">
        <f>'Claims Data'!C1759</f>
        <v>PRV0047</v>
      </c>
      <c r="D1759" s="1">
        <f>'Claims Data'!D1759</f>
        <v>45254</v>
      </c>
      <c r="E1759">
        <f>'Claims Data'!H1759</f>
        <v>17.5</v>
      </c>
      <c r="F1759">
        <f>'Claims Data'!J1759</f>
        <v>506.1</v>
      </c>
      <c r="G1759" t="str">
        <f>'Claims Data'!M1759</f>
        <v>inflated_hours</v>
      </c>
      <c r="H1759" t="b">
        <f>'Claims Data'!L1759</f>
        <v>1</v>
      </c>
      <c r="I1759">
        <f t="shared" si="54"/>
        <v>50</v>
      </c>
      <c r="J1759" t="str">
        <f t="shared" si="55"/>
        <v>Medium Risk</v>
      </c>
    </row>
    <row r="1760" spans="1:10" x14ac:dyDescent="0.2">
      <c r="A1760" t="str">
        <f>'Claims Data'!A1760</f>
        <v>CLM01759</v>
      </c>
      <c r="B1760" t="str">
        <f>'Claims Data'!B1760</f>
        <v>PAT0039</v>
      </c>
      <c r="C1760" t="str">
        <f>'Claims Data'!C1760</f>
        <v>PRV0031</v>
      </c>
      <c r="D1760" s="1">
        <f>'Claims Data'!D1760</f>
        <v>45578</v>
      </c>
      <c r="E1760">
        <f>'Claims Data'!H1760</f>
        <v>6.8</v>
      </c>
      <c r="F1760">
        <f>'Claims Data'!J1760</f>
        <v>248.21</v>
      </c>
      <c r="G1760">
        <f>'Claims Data'!M1760</f>
        <v>0</v>
      </c>
      <c r="H1760" t="b">
        <f>'Claims Data'!L1760</f>
        <v>0</v>
      </c>
      <c r="I1760">
        <f t="shared" si="54"/>
        <v>0</v>
      </c>
      <c r="J1760" t="str">
        <f t="shared" si="55"/>
        <v>Low Risk</v>
      </c>
    </row>
    <row r="1761" spans="1:10" x14ac:dyDescent="0.2">
      <c r="A1761" t="str">
        <f>'Claims Data'!A1761</f>
        <v>CLM01760</v>
      </c>
      <c r="B1761" t="str">
        <f>'Claims Data'!B1761</f>
        <v>PAT0128</v>
      </c>
      <c r="C1761" t="str">
        <f>'Claims Data'!C1761</f>
        <v>PRV0003</v>
      </c>
      <c r="D1761" s="1">
        <f>'Claims Data'!D1761</f>
        <v>45240</v>
      </c>
      <c r="E1761">
        <f>'Claims Data'!H1761</f>
        <v>3.9</v>
      </c>
      <c r="F1761">
        <f>'Claims Data'!J1761</f>
        <v>198.01</v>
      </c>
      <c r="G1761">
        <f>'Claims Data'!M1761</f>
        <v>0</v>
      </c>
      <c r="H1761" t="b">
        <f>'Claims Data'!L1761</f>
        <v>0</v>
      </c>
      <c r="I1761">
        <f t="shared" si="54"/>
        <v>0</v>
      </c>
      <c r="J1761" t="str">
        <f t="shared" si="55"/>
        <v>Low Risk</v>
      </c>
    </row>
    <row r="1762" spans="1:10" x14ac:dyDescent="0.2">
      <c r="A1762" t="str">
        <f>'Claims Data'!A1762</f>
        <v>CLM01761</v>
      </c>
      <c r="B1762" t="str">
        <f>'Claims Data'!B1762</f>
        <v>PAT0113</v>
      </c>
      <c r="C1762" t="str">
        <f>'Claims Data'!C1762</f>
        <v>PRV0010</v>
      </c>
      <c r="D1762" s="1">
        <f>'Claims Data'!D1762</f>
        <v>45348</v>
      </c>
      <c r="E1762">
        <f>'Claims Data'!H1762</f>
        <v>7.5</v>
      </c>
      <c r="F1762">
        <f>'Claims Data'!J1762</f>
        <v>530.89</v>
      </c>
      <c r="G1762">
        <f>'Claims Data'!M1762</f>
        <v>0</v>
      </c>
      <c r="H1762" t="b">
        <f>'Claims Data'!L1762</f>
        <v>0</v>
      </c>
      <c r="I1762">
        <f t="shared" si="54"/>
        <v>0</v>
      </c>
      <c r="J1762" t="str">
        <f t="shared" si="55"/>
        <v>Low Risk</v>
      </c>
    </row>
    <row r="1763" spans="1:10" x14ac:dyDescent="0.2">
      <c r="A1763" t="str">
        <f>'Claims Data'!A1763</f>
        <v>CLM01762</v>
      </c>
      <c r="B1763" t="str">
        <f>'Claims Data'!B1763</f>
        <v>PAT0008</v>
      </c>
      <c r="C1763" t="str">
        <f>'Claims Data'!C1763</f>
        <v>PRV0040</v>
      </c>
      <c r="D1763" s="1">
        <f>'Claims Data'!D1763</f>
        <v>45473</v>
      </c>
      <c r="E1763">
        <f>'Claims Data'!H1763</f>
        <v>7.1</v>
      </c>
      <c r="F1763">
        <f>'Claims Data'!J1763</f>
        <v>302.82</v>
      </c>
      <c r="G1763">
        <f>'Claims Data'!M1763</f>
        <v>0</v>
      </c>
      <c r="H1763" t="b">
        <f>'Claims Data'!L1763</f>
        <v>0</v>
      </c>
      <c r="I1763">
        <f t="shared" si="54"/>
        <v>0</v>
      </c>
      <c r="J1763" t="str">
        <f t="shared" si="55"/>
        <v>Low Risk</v>
      </c>
    </row>
    <row r="1764" spans="1:10" x14ac:dyDescent="0.2">
      <c r="A1764" t="str">
        <f>'Claims Data'!A1764</f>
        <v>CLM01763</v>
      </c>
      <c r="B1764" t="str">
        <f>'Claims Data'!B1764</f>
        <v>PAT0238</v>
      </c>
      <c r="C1764" t="str">
        <f>'Claims Data'!C1764</f>
        <v>PRV0028</v>
      </c>
      <c r="D1764" s="1">
        <f>'Claims Data'!D1764</f>
        <v>45038</v>
      </c>
      <c r="E1764">
        <f>'Claims Data'!H1764</f>
        <v>3.5</v>
      </c>
      <c r="F1764">
        <f>'Claims Data'!J1764</f>
        <v>219.69</v>
      </c>
      <c r="G1764">
        <f>'Claims Data'!M1764</f>
        <v>0</v>
      </c>
      <c r="H1764" t="b">
        <f>'Claims Data'!L1764</f>
        <v>0</v>
      </c>
      <c r="I1764">
        <f t="shared" si="54"/>
        <v>0</v>
      </c>
      <c r="J1764" t="str">
        <f t="shared" si="55"/>
        <v>Low Risk</v>
      </c>
    </row>
    <row r="1765" spans="1:10" x14ac:dyDescent="0.2">
      <c r="A1765" t="str">
        <f>'Claims Data'!A1765</f>
        <v>CLM01764</v>
      </c>
      <c r="B1765" t="str">
        <f>'Claims Data'!B1765</f>
        <v>PAT0035</v>
      </c>
      <c r="C1765" t="str">
        <f>'Claims Data'!C1765</f>
        <v>PRV0044</v>
      </c>
      <c r="D1765" s="1">
        <f>'Claims Data'!D1765</f>
        <v>45033</v>
      </c>
      <c r="E1765">
        <f>'Claims Data'!H1765</f>
        <v>7.1</v>
      </c>
      <c r="F1765">
        <f>'Claims Data'!J1765</f>
        <v>590.03</v>
      </c>
      <c r="G1765">
        <f>'Claims Data'!M1765</f>
        <v>0</v>
      </c>
      <c r="H1765" t="b">
        <f>'Claims Data'!L1765</f>
        <v>0</v>
      </c>
      <c r="I1765">
        <f t="shared" si="54"/>
        <v>0</v>
      </c>
      <c r="J1765" t="str">
        <f t="shared" si="55"/>
        <v>Low Risk</v>
      </c>
    </row>
    <row r="1766" spans="1:10" x14ac:dyDescent="0.2">
      <c r="A1766" t="str">
        <f>'Claims Data'!A1766</f>
        <v>CLM01765</v>
      </c>
      <c r="B1766" t="str">
        <f>'Claims Data'!B1766</f>
        <v>PAT0261</v>
      </c>
      <c r="C1766" t="str">
        <f>'Claims Data'!C1766</f>
        <v>PRV0019</v>
      </c>
      <c r="D1766" s="1">
        <f>'Claims Data'!D1766</f>
        <v>45359</v>
      </c>
      <c r="E1766">
        <f>'Claims Data'!H1766</f>
        <v>6.4</v>
      </c>
      <c r="F1766">
        <f>'Claims Data'!J1766</f>
        <v>461.31</v>
      </c>
      <c r="G1766">
        <f>'Claims Data'!M1766</f>
        <v>0</v>
      </c>
      <c r="H1766" t="b">
        <f>'Claims Data'!L1766</f>
        <v>0</v>
      </c>
      <c r="I1766">
        <f t="shared" si="54"/>
        <v>0</v>
      </c>
      <c r="J1766" t="str">
        <f t="shared" si="55"/>
        <v>Low Risk</v>
      </c>
    </row>
    <row r="1767" spans="1:10" x14ac:dyDescent="0.2">
      <c r="A1767" t="str">
        <f>'Claims Data'!A1767</f>
        <v>CLM01766</v>
      </c>
      <c r="B1767" t="str">
        <f>'Claims Data'!B1767</f>
        <v>PAT0010</v>
      </c>
      <c r="C1767" t="str">
        <f>'Claims Data'!C1767</f>
        <v>PRV0054</v>
      </c>
      <c r="D1767" s="1">
        <f>'Claims Data'!D1767</f>
        <v>45445</v>
      </c>
      <c r="E1767">
        <f>'Claims Data'!H1767</f>
        <v>3</v>
      </c>
      <c r="F1767">
        <f>'Claims Data'!J1767</f>
        <v>144.86000000000001</v>
      </c>
      <c r="G1767">
        <f>'Claims Data'!M1767</f>
        <v>0</v>
      </c>
      <c r="H1767" t="b">
        <f>'Claims Data'!L1767</f>
        <v>0</v>
      </c>
      <c r="I1767">
        <f t="shared" si="54"/>
        <v>0</v>
      </c>
      <c r="J1767" t="str">
        <f t="shared" si="55"/>
        <v>Low Risk</v>
      </c>
    </row>
    <row r="1768" spans="1:10" x14ac:dyDescent="0.2">
      <c r="A1768" t="str">
        <f>'Claims Data'!A1768</f>
        <v>CLM01767</v>
      </c>
      <c r="B1768" t="str">
        <f>'Claims Data'!B1768</f>
        <v>PAT0031</v>
      </c>
      <c r="C1768" t="str">
        <f>'Claims Data'!C1768</f>
        <v>PRV0030</v>
      </c>
      <c r="D1768" s="1">
        <f>'Claims Data'!D1768</f>
        <v>45498</v>
      </c>
      <c r="E1768">
        <f>'Claims Data'!H1768</f>
        <v>5</v>
      </c>
      <c r="F1768">
        <f>'Claims Data'!J1768</f>
        <v>264.27999999999997</v>
      </c>
      <c r="G1768">
        <f>'Claims Data'!M1768</f>
        <v>0</v>
      </c>
      <c r="H1768" t="b">
        <f>'Claims Data'!L1768</f>
        <v>0</v>
      </c>
      <c r="I1768">
        <f t="shared" si="54"/>
        <v>0</v>
      </c>
      <c r="J1768" t="str">
        <f t="shared" si="55"/>
        <v>Low Risk</v>
      </c>
    </row>
    <row r="1769" spans="1:10" x14ac:dyDescent="0.2">
      <c r="A1769" t="str">
        <f>'Claims Data'!A1769</f>
        <v>CLM01768</v>
      </c>
      <c r="B1769" t="str">
        <f>'Claims Data'!B1769</f>
        <v>PAT0208</v>
      </c>
      <c r="C1769" t="str">
        <f>'Claims Data'!C1769</f>
        <v>PRV0057</v>
      </c>
      <c r="D1769" s="1">
        <f>'Claims Data'!D1769</f>
        <v>45427</v>
      </c>
      <c r="E1769">
        <f>'Claims Data'!H1769</f>
        <v>5.2</v>
      </c>
      <c r="F1769">
        <f>'Claims Data'!J1769</f>
        <v>280.79000000000002</v>
      </c>
      <c r="G1769">
        <f>'Claims Data'!M1769</f>
        <v>0</v>
      </c>
      <c r="H1769" t="b">
        <f>'Claims Data'!L1769</f>
        <v>0</v>
      </c>
      <c r="I1769">
        <f t="shared" si="54"/>
        <v>0</v>
      </c>
      <c r="J1769" t="str">
        <f t="shared" si="55"/>
        <v>Low Risk</v>
      </c>
    </row>
    <row r="1770" spans="1:10" x14ac:dyDescent="0.2">
      <c r="A1770" t="str">
        <f>'Claims Data'!A1770</f>
        <v>CLM01769</v>
      </c>
      <c r="B1770" t="str">
        <f>'Claims Data'!B1770</f>
        <v>PAT0109</v>
      </c>
      <c r="C1770" t="str">
        <f>'Claims Data'!C1770</f>
        <v>PRV0026</v>
      </c>
      <c r="D1770" s="1">
        <f>'Claims Data'!D1770</f>
        <v>45124</v>
      </c>
      <c r="E1770">
        <f>'Claims Data'!H1770</f>
        <v>3.6</v>
      </c>
      <c r="F1770">
        <f>'Claims Data'!J1770</f>
        <v>176.6</v>
      </c>
      <c r="G1770">
        <f>'Claims Data'!M1770</f>
        <v>0</v>
      </c>
      <c r="H1770" t="b">
        <f>'Claims Data'!L1770</f>
        <v>0</v>
      </c>
      <c r="I1770">
        <f t="shared" si="54"/>
        <v>0</v>
      </c>
      <c r="J1770" t="str">
        <f t="shared" si="55"/>
        <v>Low Risk</v>
      </c>
    </row>
    <row r="1771" spans="1:10" x14ac:dyDescent="0.2">
      <c r="A1771" t="str">
        <f>'Claims Data'!A1771</f>
        <v>CLM01770</v>
      </c>
      <c r="B1771" t="str">
        <f>'Claims Data'!B1771</f>
        <v>PAT0184</v>
      </c>
      <c r="C1771" t="str">
        <f>'Claims Data'!C1771</f>
        <v>PRV0005</v>
      </c>
      <c r="D1771" s="1">
        <f>'Claims Data'!D1771</f>
        <v>45314</v>
      </c>
      <c r="E1771">
        <f>'Claims Data'!H1771</f>
        <v>3.2</v>
      </c>
      <c r="F1771">
        <f>'Claims Data'!J1771</f>
        <v>251.82</v>
      </c>
      <c r="G1771">
        <f>'Claims Data'!M1771</f>
        <v>0</v>
      </c>
      <c r="H1771" t="b">
        <f>'Claims Data'!L1771</f>
        <v>0</v>
      </c>
      <c r="I1771">
        <f t="shared" si="54"/>
        <v>0</v>
      </c>
      <c r="J1771" t="str">
        <f t="shared" si="55"/>
        <v>Low Risk</v>
      </c>
    </row>
    <row r="1772" spans="1:10" x14ac:dyDescent="0.2">
      <c r="A1772" t="str">
        <f>'Claims Data'!A1772</f>
        <v>CLM01771</v>
      </c>
      <c r="B1772" t="str">
        <f>'Claims Data'!B1772</f>
        <v>PAT0086</v>
      </c>
      <c r="C1772" t="str">
        <f>'Claims Data'!C1772</f>
        <v>PRV0016</v>
      </c>
      <c r="D1772" s="1">
        <f>'Claims Data'!D1772</f>
        <v>45618</v>
      </c>
      <c r="E1772">
        <f>'Claims Data'!H1772</f>
        <v>4.4000000000000004</v>
      </c>
      <c r="F1772">
        <f>'Claims Data'!J1772</f>
        <v>190.78</v>
      </c>
      <c r="G1772">
        <f>'Claims Data'!M1772</f>
        <v>0</v>
      </c>
      <c r="H1772" t="b">
        <f>'Claims Data'!L1772</f>
        <v>0</v>
      </c>
      <c r="I1772">
        <f t="shared" si="54"/>
        <v>0</v>
      </c>
      <c r="J1772" t="str">
        <f t="shared" si="55"/>
        <v>Low Risk</v>
      </c>
    </row>
    <row r="1773" spans="1:10" x14ac:dyDescent="0.2">
      <c r="A1773" t="str">
        <f>'Claims Data'!A1773</f>
        <v>CLM01772</v>
      </c>
      <c r="B1773" t="str">
        <f>'Claims Data'!B1773</f>
        <v>PAT0161</v>
      </c>
      <c r="C1773" t="str">
        <f>'Claims Data'!C1773</f>
        <v>PRV0056</v>
      </c>
      <c r="D1773" s="1">
        <f>'Claims Data'!D1773</f>
        <v>45516</v>
      </c>
      <c r="E1773">
        <f>'Claims Data'!H1773</f>
        <v>7.6</v>
      </c>
      <c r="F1773">
        <f>'Claims Data'!J1773</f>
        <v>360.59</v>
      </c>
      <c r="G1773">
        <f>'Claims Data'!M1773</f>
        <v>0</v>
      </c>
      <c r="H1773" t="b">
        <f>'Claims Data'!L1773</f>
        <v>0</v>
      </c>
      <c r="I1773">
        <f t="shared" si="54"/>
        <v>0</v>
      </c>
      <c r="J1773" t="str">
        <f t="shared" si="55"/>
        <v>Low Risk</v>
      </c>
    </row>
    <row r="1774" spans="1:10" x14ac:dyDescent="0.2">
      <c r="A1774" t="str">
        <f>'Claims Data'!A1774</f>
        <v>CLM01773</v>
      </c>
      <c r="B1774" t="str">
        <f>'Claims Data'!B1774</f>
        <v>PAT0171</v>
      </c>
      <c r="C1774" t="str">
        <f>'Claims Data'!C1774</f>
        <v>PRV0048</v>
      </c>
      <c r="D1774" s="1">
        <f>'Claims Data'!D1774</f>
        <v>45632</v>
      </c>
      <c r="E1774">
        <f>'Claims Data'!H1774</f>
        <v>2.8</v>
      </c>
      <c r="F1774">
        <f>'Claims Data'!J1774</f>
        <v>84.12</v>
      </c>
      <c r="G1774" t="str">
        <f>'Claims Data'!M1774</f>
        <v>duplicate_claim</v>
      </c>
      <c r="H1774" t="b">
        <f>'Claims Data'!L1774</f>
        <v>1</v>
      </c>
      <c r="I1774">
        <f t="shared" si="54"/>
        <v>10</v>
      </c>
      <c r="J1774" t="str">
        <f t="shared" si="55"/>
        <v>Low Risk</v>
      </c>
    </row>
    <row r="1775" spans="1:10" x14ac:dyDescent="0.2">
      <c r="A1775" t="str">
        <f>'Claims Data'!A1775</f>
        <v>CLM01774</v>
      </c>
      <c r="B1775" t="str">
        <f>'Claims Data'!B1775</f>
        <v>PAT0192</v>
      </c>
      <c r="C1775" t="str">
        <f>'Claims Data'!C1775</f>
        <v>PRV0057</v>
      </c>
      <c r="D1775" s="1">
        <f>'Claims Data'!D1775</f>
        <v>44937</v>
      </c>
      <c r="E1775">
        <f>'Claims Data'!H1775</f>
        <v>3.4</v>
      </c>
      <c r="F1775">
        <f>'Claims Data'!J1775</f>
        <v>93.39</v>
      </c>
      <c r="G1775">
        <f>'Claims Data'!M1775</f>
        <v>0</v>
      </c>
      <c r="H1775" t="b">
        <f>'Claims Data'!L1775</f>
        <v>0</v>
      </c>
      <c r="I1775">
        <f t="shared" si="54"/>
        <v>0</v>
      </c>
      <c r="J1775" t="str">
        <f t="shared" si="55"/>
        <v>Low Risk</v>
      </c>
    </row>
    <row r="1776" spans="1:10" x14ac:dyDescent="0.2">
      <c r="A1776" t="str">
        <f>'Claims Data'!A1776</f>
        <v>CLM01775</v>
      </c>
      <c r="B1776" t="str">
        <f>'Claims Data'!B1776</f>
        <v>PAT0036</v>
      </c>
      <c r="C1776" t="str">
        <f>'Claims Data'!C1776</f>
        <v>PRV0059</v>
      </c>
      <c r="D1776" s="1">
        <f>'Claims Data'!D1776</f>
        <v>45033</v>
      </c>
      <c r="E1776">
        <f>'Claims Data'!H1776</f>
        <v>4.5999999999999996</v>
      </c>
      <c r="F1776">
        <f>'Claims Data'!J1776</f>
        <v>244.04</v>
      </c>
      <c r="G1776">
        <f>'Claims Data'!M1776</f>
        <v>0</v>
      </c>
      <c r="H1776" t="b">
        <f>'Claims Data'!L1776</f>
        <v>0</v>
      </c>
      <c r="I1776">
        <f t="shared" si="54"/>
        <v>0</v>
      </c>
      <c r="J1776" t="str">
        <f t="shared" si="55"/>
        <v>Low Risk</v>
      </c>
    </row>
    <row r="1777" spans="1:10" x14ac:dyDescent="0.2">
      <c r="A1777" t="str">
        <f>'Claims Data'!A1777</f>
        <v>CLM01776</v>
      </c>
      <c r="B1777" t="str">
        <f>'Claims Data'!B1777</f>
        <v>PAT0249</v>
      </c>
      <c r="C1777" t="str">
        <f>'Claims Data'!C1777</f>
        <v>PRV0006</v>
      </c>
      <c r="D1777" s="1">
        <f>'Claims Data'!D1777</f>
        <v>45618</v>
      </c>
      <c r="E1777">
        <f>'Claims Data'!H1777</f>
        <v>6.8</v>
      </c>
      <c r="F1777">
        <f>'Claims Data'!J1777</f>
        <v>299.33999999999997</v>
      </c>
      <c r="G1777">
        <f>'Claims Data'!M1777</f>
        <v>0</v>
      </c>
      <c r="H1777" t="b">
        <f>'Claims Data'!L1777</f>
        <v>0</v>
      </c>
      <c r="I1777">
        <f t="shared" si="54"/>
        <v>0</v>
      </c>
      <c r="J1777" t="str">
        <f t="shared" si="55"/>
        <v>Low Risk</v>
      </c>
    </row>
    <row r="1778" spans="1:10" x14ac:dyDescent="0.2">
      <c r="A1778" t="str">
        <f>'Claims Data'!A1778</f>
        <v>CLM01777</v>
      </c>
      <c r="B1778" t="str">
        <f>'Claims Data'!B1778</f>
        <v>PAT0255</v>
      </c>
      <c r="C1778" t="str">
        <f>'Claims Data'!C1778</f>
        <v>PRV0006</v>
      </c>
      <c r="D1778" s="1">
        <f>'Claims Data'!D1778</f>
        <v>45201</v>
      </c>
      <c r="E1778">
        <f>'Claims Data'!H1778</f>
        <v>3.1</v>
      </c>
      <c r="F1778">
        <f>'Claims Data'!J1778</f>
        <v>120.99</v>
      </c>
      <c r="G1778">
        <f>'Claims Data'!M1778</f>
        <v>0</v>
      </c>
      <c r="H1778" t="b">
        <f>'Claims Data'!L1778</f>
        <v>0</v>
      </c>
      <c r="I1778">
        <f t="shared" si="54"/>
        <v>0</v>
      </c>
      <c r="J1778" t="str">
        <f t="shared" si="55"/>
        <v>Low Risk</v>
      </c>
    </row>
    <row r="1779" spans="1:10" x14ac:dyDescent="0.2">
      <c r="A1779" t="str">
        <f>'Claims Data'!A1779</f>
        <v>CLM01778</v>
      </c>
      <c r="B1779" t="str">
        <f>'Claims Data'!B1779</f>
        <v>PAT0235</v>
      </c>
      <c r="C1779" t="str">
        <f>'Claims Data'!C1779</f>
        <v>PRV0033</v>
      </c>
      <c r="D1779" s="1">
        <f>'Claims Data'!D1779</f>
        <v>45436</v>
      </c>
      <c r="E1779">
        <f>'Claims Data'!H1779</f>
        <v>4.2</v>
      </c>
      <c r="F1779">
        <f>'Claims Data'!J1779</f>
        <v>125.77</v>
      </c>
      <c r="G1779">
        <f>'Claims Data'!M1779</f>
        <v>0</v>
      </c>
      <c r="H1779" t="b">
        <f>'Claims Data'!L1779</f>
        <v>0</v>
      </c>
      <c r="I1779">
        <f t="shared" si="54"/>
        <v>0</v>
      </c>
      <c r="J1779" t="str">
        <f t="shared" si="55"/>
        <v>Low Risk</v>
      </c>
    </row>
    <row r="1780" spans="1:10" x14ac:dyDescent="0.2">
      <c r="A1780" t="str">
        <f>'Claims Data'!A1780</f>
        <v>CLM01779</v>
      </c>
      <c r="B1780" t="str">
        <f>'Claims Data'!B1780</f>
        <v>PAT0119</v>
      </c>
      <c r="C1780" t="str">
        <f>'Claims Data'!C1780</f>
        <v>PRV0059</v>
      </c>
      <c r="D1780" s="1">
        <f>'Claims Data'!D1780</f>
        <v>45517</v>
      </c>
      <c r="E1780">
        <f>'Claims Data'!H1780</f>
        <v>6.7</v>
      </c>
      <c r="F1780">
        <f>'Claims Data'!J1780</f>
        <v>540</v>
      </c>
      <c r="G1780">
        <f>'Claims Data'!M1780</f>
        <v>0</v>
      </c>
      <c r="H1780" t="b">
        <f>'Claims Data'!L1780</f>
        <v>0</v>
      </c>
      <c r="I1780">
        <f t="shared" si="54"/>
        <v>0</v>
      </c>
      <c r="J1780" t="str">
        <f t="shared" si="55"/>
        <v>Low Risk</v>
      </c>
    </row>
    <row r="1781" spans="1:10" x14ac:dyDescent="0.2">
      <c r="A1781" t="str">
        <f>'Claims Data'!A1781</f>
        <v>CLM01780</v>
      </c>
      <c r="B1781" t="str">
        <f>'Claims Data'!B1781</f>
        <v>PAT0116</v>
      </c>
      <c r="C1781" t="str">
        <f>'Claims Data'!C1781</f>
        <v>PRV0001</v>
      </c>
      <c r="D1781" s="1">
        <f>'Claims Data'!D1781</f>
        <v>45414</v>
      </c>
      <c r="E1781">
        <f>'Claims Data'!H1781</f>
        <v>2.4</v>
      </c>
      <c r="F1781">
        <f>'Claims Data'!J1781</f>
        <v>65.510000000000005</v>
      </c>
      <c r="G1781" t="str">
        <f>'Claims Data'!M1781</f>
        <v>duplicate_claim</v>
      </c>
      <c r="H1781" t="b">
        <f>'Claims Data'!L1781</f>
        <v>1</v>
      </c>
      <c r="I1781">
        <f t="shared" si="54"/>
        <v>10</v>
      </c>
      <c r="J1781" t="str">
        <f t="shared" si="55"/>
        <v>Low Risk</v>
      </c>
    </row>
    <row r="1782" spans="1:10" x14ac:dyDescent="0.2">
      <c r="A1782" t="str">
        <f>'Claims Data'!A1782</f>
        <v>CLM01781</v>
      </c>
      <c r="B1782" t="str">
        <f>'Claims Data'!B1782</f>
        <v>PAT0241</v>
      </c>
      <c r="C1782" t="str">
        <f>'Claims Data'!C1782</f>
        <v>PRV0017</v>
      </c>
      <c r="D1782" s="1">
        <f>'Claims Data'!D1782</f>
        <v>45076</v>
      </c>
      <c r="E1782">
        <f>'Claims Data'!H1782</f>
        <v>3.2</v>
      </c>
      <c r="F1782">
        <f>'Claims Data'!J1782</f>
        <v>143.21</v>
      </c>
      <c r="G1782">
        <f>'Claims Data'!M1782</f>
        <v>0</v>
      </c>
      <c r="H1782" t="b">
        <f>'Claims Data'!L1782</f>
        <v>0</v>
      </c>
      <c r="I1782">
        <f t="shared" si="54"/>
        <v>0</v>
      </c>
      <c r="J1782" t="str">
        <f t="shared" si="55"/>
        <v>Low Risk</v>
      </c>
    </row>
    <row r="1783" spans="1:10" x14ac:dyDescent="0.2">
      <c r="A1783" t="str">
        <f>'Claims Data'!A1783</f>
        <v>CLM01782</v>
      </c>
      <c r="B1783" t="str">
        <f>'Claims Data'!B1783</f>
        <v>PAT0222</v>
      </c>
      <c r="C1783" t="str">
        <f>'Claims Data'!C1783</f>
        <v>PRV0054</v>
      </c>
      <c r="D1783" s="1">
        <f>'Claims Data'!D1783</f>
        <v>45426</v>
      </c>
      <c r="E1783">
        <f>'Claims Data'!H1783</f>
        <v>3.1</v>
      </c>
      <c r="F1783">
        <f>'Claims Data'!J1783</f>
        <v>189.85</v>
      </c>
      <c r="G1783">
        <f>'Claims Data'!M1783</f>
        <v>0</v>
      </c>
      <c r="H1783" t="b">
        <f>'Claims Data'!L1783</f>
        <v>0</v>
      </c>
      <c r="I1783">
        <f t="shared" si="54"/>
        <v>0</v>
      </c>
      <c r="J1783" t="str">
        <f t="shared" si="55"/>
        <v>Low Risk</v>
      </c>
    </row>
    <row r="1784" spans="1:10" x14ac:dyDescent="0.2">
      <c r="A1784" t="str">
        <f>'Claims Data'!A1784</f>
        <v>CLM01783</v>
      </c>
      <c r="B1784" t="str">
        <f>'Claims Data'!B1784</f>
        <v>PAT0280</v>
      </c>
      <c r="C1784" t="str">
        <f>'Claims Data'!C1784</f>
        <v>PRV0026</v>
      </c>
      <c r="D1784" s="1">
        <f>'Claims Data'!D1784</f>
        <v>45029</v>
      </c>
      <c r="E1784">
        <f>'Claims Data'!H1784</f>
        <v>2.1</v>
      </c>
      <c r="F1784">
        <f>'Claims Data'!J1784</f>
        <v>90.23</v>
      </c>
      <c r="G1784">
        <f>'Claims Data'!M1784</f>
        <v>0</v>
      </c>
      <c r="H1784" t="b">
        <f>'Claims Data'!L1784</f>
        <v>0</v>
      </c>
      <c r="I1784">
        <f t="shared" si="54"/>
        <v>0</v>
      </c>
      <c r="J1784" t="str">
        <f t="shared" si="55"/>
        <v>Low Risk</v>
      </c>
    </row>
    <row r="1785" spans="1:10" x14ac:dyDescent="0.2">
      <c r="A1785" t="str">
        <f>'Claims Data'!A1785</f>
        <v>CLM01784</v>
      </c>
      <c r="B1785" t="str">
        <f>'Claims Data'!B1785</f>
        <v>PAT0221</v>
      </c>
      <c r="C1785" t="str">
        <f>'Claims Data'!C1785</f>
        <v>PRV0050</v>
      </c>
      <c r="D1785" s="1">
        <f>'Claims Data'!D1785</f>
        <v>45522</v>
      </c>
      <c r="E1785">
        <f>'Claims Data'!H1785</f>
        <v>7.7</v>
      </c>
      <c r="F1785">
        <f>'Claims Data'!J1785</f>
        <v>572.20000000000005</v>
      </c>
      <c r="G1785">
        <f>'Claims Data'!M1785</f>
        <v>0</v>
      </c>
      <c r="H1785" t="b">
        <f>'Claims Data'!L1785</f>
        <v>0</v>
      </c>
      <c r="I1785">
        <f t="shared" si="54"/>
        <v>0</v>
      </c>
      <c r="J1785" t="str">
        <f t="shared" si="55"/>
        <v>Low Risk</v>
      </c>
    </row>
    <row r="1786" spans="1:10" x14ac:dyDescent="0.2">
      <c r="A1786" t="str">
        <f>'Claims Data'!A1786</f>
        <v>CLM01785</v>
      </c>
      <c r="B1786" t="str">
        <f>'Claims Data'!B1786</f>
        <v>PAT0120</v>
      </c>
      <c r="C1786" t="str">
        <f>'Claims Data'!C1786</f>
        <v>PRV0011</v>
      </c>
      <c r="D1786" s="1">
        <f>'Claims Data'!D1786</f>
        <v>45365</v>
      </c>
      <c r="E1786">
        <f>'Claims Data'!H1786</f>
        <v>4.8</v>
      </c>
      <c r="F1786">
        <f>'Claims Data'!J1786</f>
        <v>267.64</v>
      </c>
      <c r="G1786">
        <f>'Claims Data'!M1786</f>
        <v>0</v>
      </c>
      <c r="H1786" t="b">
        <f>'Claims Data'!L1786</f>
        <v>0</v>
      </c>
      <c r="I1786">
        <f t="shared" si="54"/>
        <v>0</v>
      </c>
      <c r="J1786" t="str">
        <f t="shared" si="55"/>
        <v>Low Risk</v>
      </c>
    </row>
    <row r="1787" spans="1:10" x14ac:dyDescent="0.2">
      <c r="A1787" t="str">
        <f>'Claims Data'!A1787</f>
        <v>CLM01786</v>
      </c>
      <c r="B1787" t="str">
        <f>'Claims Data'!B1787</f>
        <v>PAT0012</v>
      </c>
      <c r="C1787" t="str">
        <f>'Claims Data'!C1787</f>
        <v>PRV0025</v>
      </c>
      <c r="D1787" s="1">
        <f>'Claims Data'!D1787</f>
        <v>45235</v>
      </c>
      <c r="E1787">
        <f>'Claims Data'!H1787</f>
        <v>3.4</v>
      </c>
      <c r="F1787">
        <f>'Claims Data'!J1787</f>
        <v>232.56</v>
      </c>
      <c r="G1787">
        <f>'Claims Data'!M1787</f>
        <v>0</v>
      </c>
      <c r="H1787" t="b">
        <f>'Claims Data'!L1787</f>
        <v>0</v>
      </c>
      <c r="I1787">
        <f t="shared" si="54"/>
        <v>0</v>
      </c>
      <c r="J1787" t="str">
        <f t="shared" si="55"/>
        <v>Low Risk</v>
      </c>
    </row>
    <row r="1788" spans="1:10" x14ac:dyDescent="0.2">
      <c r="A1788" t="str">
        <f>'Claims Data'!A1788</f>
        <v>CLM01787</v>
      </c>
      <c r="B1788" t="str">
        <f>'Claims Data'!B1788</f>
        <v>PAT0265</v>
      </c>
      <c r="C1788" t="str">
        <f>'Claims Data'!C1788</f>
        <v>PRV0057</v>
      </c>
      <c r="D1788" s="1">
        <f>'Claims Data'!D1788</f>
        <v>44965</v>
      </c>
      <c r="E1788">
        <f>'Claims Data'!H1788</f>
        <v>3.4</v>
      </c>
      <c r="F1788">
        <f>'Claims Data'!J1788</f>
        <v>204.75</v>
      </c>
      <c r="G1788">
        <f>'Claims Data'!M1788</f>
        <v>0</v>
      </c>
      <c r="H1788" t="b">
        <f>'Claims Data'!L1788</f>
        <v>0</v>
      </c>
      <c r="I1788">
        <f t="shared" si="54"/>
        <v>0</v>
      </c>
      <c r="J1788" t="str">
        <f t="shared" si="55"/>
        <v>Low Risk</v>
      </c>
    </row>
    <row r="1789" spans="1:10" x14ac:dyDescent="0.2">
      <c r="A1789" t="str">
        <f>'Claims Data'!A1789</f>
        <v>CLM01788</v>
      </c>
      <c r="B1789" t="str">
        <f>'Claims Data'!B1789</f>
        <v>PAT0092</v>
      </c>
      <c r="C1789" t="str">
        <f>'Claims Data'!C1789</f>
        <v>PRV0060</v>
      </c>
      <c r="D1789" s="1">
        <f>'Claims Data'!D1789</f>
        <v>45270</v>
      </c>
      <c r="E1789">
        <f>'Claims Data'!H1789</f>
        <v>6.3</v>
      </c>
      <c r="F1789">
        <f>'Claims Data'!J1789</f>
        <v>331.91</v>
      </c>
      <c r="G1789">
        <f>'Claims Data'!M1789</f>
        <v>0</v>
      </c>
      <c r="H1789" t="b">
        <f>'Claims Data'!L1789</f>
        <v>0</v>
      </c>
      <c r="I1789">
        <f t="shared" si="54"/>
        <v>0</v>
      </c>
      <c r="J1789" t="str">
        <f t="shared" si="55"/>
        <v>Low Risk</v>
      </c>
    </row>
    <row r="1790" spans="1:10" x14ac:dyDescent="0.2">
      <c r="A1790" t="str">
        <f>'Claims Data'!A1790</f>
        <v>CLM01789</v>
      </c>
      <c r="B1790" t="str">
        <f>'Claims Data'!B1790</f>
        <v>PAT0272</v>
      </c>
      <c r="C1790" t="str">
        <f>'Claims Data'!C1790</f>
        <v>PRV0039</v>
      </c>
      <c r="D1790" s="1">
        <f>'Claims Data'!D1790</f>
        <v>45250</v>
      </c>
      <c r="E1790">
        <f>'Claims Data'!H1790</f>
        <v>7.1</v>
      </c>
      <c r="F1790">
        <f>'Claims Data'!J1790</f>
        <v>360.17</v>
      </c>
      <c r="G1790">
        <f>'Claims Data'!M1790</f>
        <v>0</v>
      </c>
      <c r="H1790" t="b">
        <f>'Claims Data'!L1790</f>
        <v>0</v>
      </c>
      <c r="I1790">
        <f t="shared" si="54"/>
        <v>0</v>
      </c>
      <c r="J1790" t="str">
        <f t="shared" si="55"/>
        <v>Low Risk</v>
      </c>
    </row>
    <row r="1791" spans="1:10" x14ac:dyDescent="0.2">
      <c r="A1791" t="str">
        <f>'Claims Data'!A1791</f>
        <v>CLM01790</v>
      </c>
      <c r="B1791" t="str">
        <f>'Claims Data'!B1791</f>
        <v>PAT0008</v>
      </c>
      <c r="C1791" t="str">
        <f>'Claims Data'!C1791</f>
        <v>PRV0011</v>
      </c>
      <c r="D1791" s="1">
        <f>'Claims Data'!D1791</f>
        <v>45135</v>
      </c>
      <c r="E1791">
        <f>'Claims Data'!H1791</f>
        <v>3.3</v>
      </c>
      <c r="F1791">
        <f>'Claims Data'!J1791</f>
        <v>171.59</v>
      </c>
      <c r="G1791">
        <f>'Claims Data'!M1791</f>
        <v>0</v>
      </c>
      <c r="H1791" t="b">
        <f>'Claims Data'!L1791</f>
        <v>0</v>
      </c>
      <c r="I1791">
        <f t="shared" si="54"/>
        <v>0</v>
      </c>
      <c r="J1791" t="str">
        <f t="shared" si="55"/>
        <v>Low Risk</v>
      </c>
    </row>
    <row r="1792" spans="1:10" x14ac:dyDescent="0.2">
      <c r="A1792" t="str">
        <f>'Claims Data'!A1792</f>
        <v>CLM01791</v>
      </c>
      <c r="B1792" t="str">
        <f>'Claims Data'!B1792</f>
        <v>PAT0159</v>
      </c>
      <c r="C1792" t="str">
        <f>'Claims Data'!C1792</f>
        <v>PRV0055</v>
      </c>
      <c r="D1792" s="1">
        <f>'Claims Data'!D1792</f>
        <v>45368</v>
      </c>
      <c r="E1792">
        <f>'Claims Data'!H1792</f>
        <v>21.9</v>
      </c>
      <c r="F1792">
        <f>'Claims Data'!J1792</f>
        <v>1306.33</v>
      </c>
      <c r="G1792" t="str">
        <f>'Claims Data'!M1792</f>
        <v>inflated_hours</v>
      </c>
      <c r="H1792" t="b">
        <f>'Claims Data'!L1792</f>
        <v>1</v>
      </c>
      <c r="I1792">
        <f t="shared" si="54"/>
        <v>50</v>
      </c>
      <c r="J1792" t="str">
        <f t="shared" si="55"/>
        <v>Medium Risk</v>
      </c>
    </row>
    <row r="1793" spans="1:10" x14ac:dyDescent="0.2">
      <c r="A1793" t="str">
        <f>'Claims Data'!A1793</f>
        <v>CLM01792</v>
      </c>
      <c r="B1793" t="str">
        <f>'Claims Data'!B1793</f>
        <v>PAT0017</v>
      </c>
      <c r="C1793" t="str">
        <f>'Claims Data'!C1793</f>
        <v>PRV0038</v>
      </c>
      <c r="D1793" s="1">
        <f>'Claims Data'!D1793</f>
        <v>45420</v>
      </c>
      <c r="E1793">
        <f>'Claims Data'!H1793</f>
        <v>7.7</v>
      </c>
      <c r="F1793">
        <f>'Claims Data'!J1793</f>
        <v>196.97</v>
      </c>
      <c r="G1793">
        <f>'Claims Data'!M1793</f>
        <v>0</v>
      </c>
      <c r="H1793" t="b">
        <f>'Claims Data'!L1793</f>
        <v>0</v>
      </c>
      <c r="I1793">
        <f t="shared" si="54"/>
        <v>0</v>
      </c>
      <c r="J1793" t="str">
        <f t="shared" si="55"/>
        <v>Low Risk</v>
      </c>
    </row>
    <row r="1794" spans="1:10" x14ac:dyDescent="0.2">
      <c r="A1794" t="str">
        <f>'Claims Data'!A1794</f>
        <v>CLM01793</v>
      </c>
      <c r="B1794" t="str">
        <f>'Claims Data'!B1794</f>
        <v>PAT0037</v>
      </c>
      <c r="C1794" t="str">
        <f>'Claims Data'!C1794</f>
        <v>PRV0005</v>
      </c>
      <c r="D1794" s="1">
        <f>'Claims Data'!D1794</f>
        <v>45406</v>
      </c>
      <c r="E1794">
        <f>'Claims Data'!H1794</f>
        <v>4</v>
      </c>
      <c r="F1794">
        <f>'Claims Data'!J1794</f>
        <v>200.6</v>
      </c>
      <c r="G1794">
        <f>'Claims Data'!M1794</f>
        <v>0</v>
      </c>
      <c r="H1794" t="b">
        <f>'Claims Data'!L1794</f>
        <v>0</v>
      </c>
      <c r="I1794">
        <f t="shared" si="54"/>
        <v>0</v>
      </c>
      <c r="J1794" t="str">
        <f t="shared" si="55"/>
        <v>Low Risk</v>
      </c>
    </row>
    <row r="1795" spans="1:10" x14ac:dyDescent="0.2">
      <c r="A1795" t="str">
        <f>'Claims Data'!A1795</f>
        <v>CLM01794</v>
      </c>
      <c r="B1795" t="str">
        <f>'Claims Data'!B1795</f>
        <v>PAT0135</v>
      </c>
      <c r="C1795" t="str">
        <f>'Claims Data'!C1795</f>
        <v>PRV0051</v>
      </c>
      <c r="D1795" s="1">
        <f>'Claims Data'!D1795</f>
        <v>45423</v>
      </c>
      <c r="E1795">
        <f>'Claims Data'!H1795</f>
        <v>6.6</v>
      </c>
      <c r="F1795">
        <f>'Claims Data'!J1795</f>
        <v>438.45</v>
      </c>
      <c r="G1795" t="str">
        <f>'Claims Data'!M1795</f>
        <v>duplicate_claim</v>
      </c>
      <c r="H1795" t="b">
        <f>'Claims Data'!L1795</f>
        <v>1</v>
      </c>
      <c r="I1795">
        <f t="shared" ref="I1795:I1858" si="56">IF(E1795&gt;16,40,0)+IF(MOD(F1795,250)=0,30,0)+IF(H1795=TRUE,10,0)</f>
        <v>10</v>
      </c>
      <c r="J1795" t="str">
        <f t="shared" ref="J1795:J1858" si="57">IF(I1795&gt;=70,"High Risk",IF(I1795&gt;=30,"Medium Risk","Low Risk"))</f>
        <v>Low Risk</v>
      </c>
    </row>
    <row r="1796" spans="1:10" x14ac:dyDescent="0.2">
      <c r="A1796" t="str">
        <f>'Claims Data'!A1796</f>
        <v>CLM01795</v>
      </c>
      <c r="B1796" t="str">
        <f>'Claims Data'!B1796</f>
        <v>PAT0216</v>
      </c>
      <c r="C1796" t="str">
        <f>'Claims Data'!C1796</f>
        <v>PRV0015</v>
      </c>
      <c r="D1796" s="1">
        <f>'Claims Data'!D1796</f>
        <v>45247</v>
      </c>
      <c r="E1796">
        <f>'Claims Data'!H1796</f>
        <v>5.5</v>
      </c>
      <c r="F1796">
        <f>'Claims Data'!J1796</f>
        <v>324.8</v>
      </c>
      <c r="G1796">
        <f>'Claims Data'!M1796</f>
        <v>0</v>
      </c>
      <c r="H1796" t="b">
        <f>'Claims Data'!L1796</f>
        <v>0</v>
      </c>
      <c r="I1796">
        <f t="shared" si="56"/>
        <v>0</v>
      </c>
      <c r="J1796" t="str">
        <f t="shared" si="57"/>
        <v>Low Risk</v>
      </c>
    </row>
    <row r="1797" spans="1:10" x14ac:dyDescent="0.2">
      <c r="A1797" t="str">
        <f>'Claims Data'!A1797</f>
        <v>CLM01796</v>
      </c>
      <c r="B1797" t="str">
        <f>'Claims Data'!B1797</f>
        <v>PAT0145</v>
      </c>
      <c r="C1797" t="str">
        <f>'Claims Data'!C1797</f>
        <v>PRV0055</v>
      </c>
      <c r="D1797" s="1">
        <f>'Claims Data'!D1797</f>
        <v>45159</v>
      </c>
      <c r="E1797">
        <f>'Claims Data'!H1797</f>
        <v>2.9</v>
      </c>
      <c r="F1797">
        <f>'Claims Data'!J1797</f>
        <v>238.26</v>
      </c>
      <c r="G1797">
        <f>'Claims Data'!M1797</f>
        <v>0</v>
      </c>
      <c r="H1797" t="b">
        <f>'Claims Data'!L1797</f>
        <v>0</v>
      </c>
      <c r="I1797">
        <f t="shared" si="56"/>
        <v>0</v>
      </c>
      <c r="J1797" t="str">
        <f t="shared" si="57"/>
        <v>Low Risk</v>
      </c>
    </row>
    <row r="1798" spans="1:10" x14ac:dyDescent="0.2">
      <c r="A1798" t="str">
        <f>'Claims Data'!A1798</f>
        <v>CLM01797</v>
      </c>
      <c r="B1798" t="str">
        <f>'Claims Data'!B1798</f>
        <v>PAT0244</v>
      </c>
      <c r="C1798" t="str">
        <f>'Claims Data'!C1798</f>
        <v>PRV0052</v>
      </c>
      <c r="D1798" s="1">
        <f>'Claims Data'!D1798</f>
        <v>45258</v>
      </c>
      <c r="E1798">
        <f>'Claims Data'!H1798</f>
        <v>7.9</v>
      </c>
      <c r="F1798">
        <f>'Claims Data'!J1798</f>
        <v>294.29000000000002</v>
      </c>
      <c r="G1798">
        <f>'Claims Data'!M1798</f>
        <v>0</v>
      </c>
      <c r="H1798" t="b">
        <f>'Claims Data'!L1798</f>
        <v>0</v>
      </c>
      <c r="I1798">
        <f t="shared" si="56"/>
        <v>0</v>
      </c>
      <c r="J1798" t="str">
        <f t="shared" si="57"/>
        <v>Low Risk</v>
      </c>
    </row>
    <row r="1799" spans="1:10" x14ac:dyDescent="0.2">
      <c r="A1799" t="str">
        <f>'Claims Data'!A1799</f>
        <v>CLM01798</v>
      </c>
      <c r="B1799" t="str">
        <f>'Claims Data'!B1799</f>
        <v>PAT0025</v>
      </c>
      <c r="C1799" t="str">
        <f>'Claims Data'!C1799</f>
        <v>PRV0051</v>
      </c>
      <c r="D1799" s="1">
        <f>'Claims Data'!D1799</f>
        <v>45491</v>
      </c>
      <c r="E1799">
        <f>'Claims Data'!H1799</f>
        <v>5.2</v>
      </c>
      <c r="F1799">
        <f>'Claims Data'!J1799</f>
        <v>188.76</v>
      </c>
      <c r="G1799">
        <f>'Claims Data'!M1799</f>
        <v>0</v>
      </c>
      <c r="H1799" t="b">
        <f>'Claims Data'!L1799</f>
        <v>0</v>
      </c>
      <c r="I1799">
        <f t="shared" si="56"/>
        <v>0</v>
      </c>
      <c r="J1799" t="str">
        <f t="shared" si="57"/>
        <v>Low Risk</v>
      </c>
    </row>
    <row r="1800" spans="1:10" x14ac:dyDescent="0.2">
      <c r="A1800" t="str">
        <f>'Claims Data'!A1800</f>
        <v>CLM01799</v>
      </c>
      <c r="B1800" t="str">
        <f>'Claims Data'!B1800</f>
        <v>PAT0061</v>
      </c>
      <c r="C1800" t="str">
        <f>'Claims Data'!C1800</f>
        <v>PRV0016</v>
      </c>
      <c r="D1800" s="1">
        <f>'Claims Data'!D1800</f>
        <v>45073</v>
      </c>
      <c r="E1800">
        <f>'Claims Data'!H1800</f>
        <v>5.4</v>
      </c>
      <c r="F1800">
        <f>'Claims Data'!J1800</f>
        <v>281.3</v>
      </c>
      <c r="G1800">
        <f>'Claims Data'!M1800</f>
        <v>0</v>
      </c>
      <c r="H1800" t="b">
        <f>'Claims Data'!L1800</f>
        <v>0</v>
      </c>
      <c r="I1800">
        <f t="shared" si="56"/>
        <v>0</v>
      </c>
      <c r="J1800" t="str">
        <f t="shared" si="57"/>
        <v>Low Risk</v>
      </c>
    </row>
    <row r="1801" spans="1:10" x14ac:dyDescent="0.2">
      <c r="A1801" t="str">
        <f>'Claims Data'!A1801</f>
        <v>CLM01800</v>
      </c>
      <c r="B1801" t="str">
        <f>'Claims Data'!B1801</f>
        <v>PAT0042</v>
      </c>
      <c r="C1801" t="str">
        <f>'Claims Data'!C1801</f>
        <v>PRV0012</v>
      </c>
      <c r="D1801" s="1">
        <f>'Claims Data'!D1801</f>
        <v>45121</v>
      </c>
      <c r="E1801">
        <f>'Claims Data'!H1801</f>
        <v>3</v>
      </c>
      <c r="F1801">
        <f>'Claims Data'!J1801</f>
        <v>196.48</v>
      </c>
      <c r="G1801">
        <f>'Claims Data'!M1801</f>
        <v>0</v>
      </c>
      <c r="H1801" t="b">
        <f>'Claims Data'!L1801</f>
        <v>0</v>
      </c>
      <c r="I1801">
        <f t="shared" si="56"/>
        <v>0</v>
      </c>
      <c r="J1801" t="str">
        <f t="shared" si="57"/>
        <v>Low Risk</v>
      </c>
    </row>
    <row r="1802" spans="1:10" x14ac:dyDescent="0.2">
      <c r="A1802" t="str">
        <f>'Claims Data'!A1802</f>
        <v>CLM01801</v>
      </c>
      <c r="B1802" t="str">
        <f>'Claims Data'!B1802</f>
        <v>PAT0124</v>
      </c>
      <c r="C1802" t="str">
        <f>'Claims Data'!C1802</f>
        <v>PRV0021</v>
      </c>
      <c r="D1802" s="1">
        <f>'Claims Data'!D1802</f>
        <v>44938</v>
      </c>
      <c r="E1802">
        <f>'Claims Data'!H1802</f>
        <v>7</v>
      </c>
      <c r="F1802">
        <f>'Claims Data'!J1802</f>
        <v>428.41</v>
      </c>
      <c r="G1802">
        <f>'Claims Data'!M1802</f>
        <v>0</v>
      </c>
      <c r="H1802" t="b">
        <f>'Claims Data'!L1802</f>
        <v>0</v>
      </c>
      <c r="I1802">
        <f t="shared" si="56"/>
        <v>0</v>
      </c>
      <c r="J1802" t="str">
        <f t="shared" si="57"/>
        <v>Low Risk</v>
      </c>
    </row>
    <row r="1803" spans="1:10" x14ac:dyDescent="0.2">
      <c r="A1803" t="str">
        <f>'Claims Data'!A1803</f>
        <v>CLM01802</v>
      </c>
      <c r="B1803" t="str">
        <f>'Claims Data'!B1803</f>
        <v>PAT0037</v>
      </c>
      <c r="C1803" t="str">
        <f>'Claims Data'!C1803</f>
        <v>PRV0023</v>
      </c>
      <c r="D1803" s="1">
        <f>'Claims Data'!D1803</f>
        <v>45494</v>
      </c>
      <c r="E1803">
        <f>'Claims Data'!H1803</f>
        <v>3.2</v>
      </c>
      <c r="F1803">
        <f>'Claims Data'!J1803</f>
        <v>254.98</v>
      </c>
      <c r="G1803">
        <f>'Claims Data'!M1803</f>
        <v>0</v>
      </c>
      <c r="H1803" t="b">
        <f>'Claims Data'!L1803</f>
        <v>0</v>
      </c>
      <c r="I1803">
        <f t="shared" si="56"/>
        <v>0</v>
      </c>
      <c r="J1803" t="str">
        <f t="shared" si="57"/>
        <v>Low Risk</v>
      </c>
    </row>
    <row r="1804" spans="1:10" x14ac:dyDescent="0.2">
      <c r="A1804" t="str">
        <f>'Claims Data'!A1804</f>
        <v>CLM01803</v>
      </c>
      <c r="B1804" t="str">
        <f>'Claims Data'!B1804</f>
        <v>PAT0145</v>
      </c>
      <c r="C1804" t="str">
        <f>'Claims Data'!C1804</f>
        <v>PRV0040</v>
      </c>
      <c r="D1804" s="1">
        <f>'Claims Data'!D1804</f>
        <v>44999</v>
      </c>
      <c r="E1804">
        <f>'Claims Data'!H1804</f>
        <v>11.8</v>
      </c>
      <c r="F1804">
        <f>'Claims Data'!J1804</f>
        <v>500</v>
      </c>
      <c r="G1804" t="str">
        <f>'Claims Data'!M1804</f>
        <v>phantom_round_amount</v>
      </c>
      <c r="H1804" t="b">
        <f>'Claims Data'!L1804</f>
        <v>1</v>
      </c>
      <c r="I1804">
        <f t="shared" si="56"/>
        <v>40</v>
      </c>
      <c r="J1804" t="str">
        <f t="shared" si="57"/>
        <v>Medium Risk</v>
      </c>
    </row>
    <row r="1805" spans="1:10" x14ac:dyDescent="0.2">
      <c r="A1805" t="str">
        <f>'Claims Data'!A1805</f>
        <v>CLM01804</v>
      </c>
      <c r="B1805" t="str">
        <f>'Claims Data'!B1805</f>
        <v>PAT0051</v>
      </c>
      <c r="C1805" t="str">
        <f>'Claims Data'!C1805</f>
        <v>PRV0014</v>
      </c>
      <c r="D1805" s="1">
        <f>'Claims Data'!D1805</f>
        <v>45273</v>
      </c>
      <c r="E1805">
        <f>'Claims Data'!H1805</f>
        <v>4.7</v>
      </c>
      <c r="F1805">
        <f>'Claims Data'!J1805</f>
        <v>221.46</v>
      </c>
      <c r="G1805">
        <f>'Claims Data'!M1805</f>
        <v>0</v>
      </c>
      <c r="H1805" t="b">
        <f>'Claims Data'!L1805</f>
        <v>0</v>
      </c>
      <c r="I1805">
        <f t="shared" si="56"/>
        <v>0</v>
      </c>
      <c r="J1805" t="str">
        <f t="shared" si="57"/>
        <v>Low Risk</v>
      </c>
    </row>
    <row r="1806" spans="1:10" x14ac:dyDescent="0.2">
      <c r="A1806" t="str">
        <f>'Claims Data'!A1806</f>
        <v>CLM01805</v>
      </c>
      <c r="B1806" t="str">
        <f>'Claims Data'!B1806</f>
        <v>PAT0052</v>
      </c>
      <c r="C1806" t="str">
        <f>'Claims Data'!C1806</f>
        <v>PRV0043</v>
      </c>
      <c r="D1806" s="1">
        <f>'Claims Data'!D1806</f>
        <v>45412</v>
      </c>
      <c r="E1806">
        <f>'Claims Data'!H1806</f>
        <v>4</v>
      </c>
      <c r="F1806">
        <f>'Claims Data'!J1806</f>
        <v>318.35000000000002</v>
      </c>
      <c r="G1806">
        <f>'Claims Data'!M1806</f>
        <v>0</v>
      </c>
      <c r="H1806" t="b">
        <f>'Claims Data'!L1806</f>
        <v>0</v>
      </c>
      <c r="I1806">
        <f t="shared" si="56"/>
        <v>0</v>
      </c>
      <c r="J1806" t="str">
        <f t="shared" si="57"/>
        <v>Low Risk</v>
      </c>
    </row>
    <row r="1807" spans="1:10" x14ac:dyDescent="0.2">
      <c r="A1807" t="str">
        <f>'Claims Data'!A1807</f>
        <v>CLM01806</v>
      </c>
      <c r="B1807" t="str">
        <f>'Claims Data'!B1807</f>
        <v>PAT0287</v>
      </c>
      <c r="C1807" t="str">
        <f>'Claims Data'!C1807</f>
        <v>PRV0021</v>
      </c>
      <c r="D1807" s="1">
        <f>'Claims Data'!D1807</f>
        <v>45207</v>
      </c>
      <c r="E1807">
        <f>'Claims Data'!H1807</f>
        <v>21.1</v>
      </c>
      <c r="F1807">
        <f>'Claims Data'!J1807</f>
        <v>691.03</v>
      </c>
      <c r="G1807" t="str">
        <f>'Claims Data'!M1807</f>
        <v>inflated_hours</v>
      </c>
      <c r="H1807" t="b">
        <f>'Claims Data'!L1807</f>
        <v>1</v>
      </c>
      <c r="I1807">
        <f t="shared" si="56"/>
        <v>50</v>
      </c>
      <c r="J1807" t="str">
        <f t="shared" si="57"/>
        <v>Medium Risk</v>
      </c>
    </row>
    <row r="1808" spans="1:10" x14ac:dyDescent="0.2">
      <c r="A1808" t="str">
        <f>'Claims Data'!A1808</f>
        <v>CLM01807</v>
      </c>
      <c r="B1808" t="str">
        <f>'Claims Data'!B1808</f>
        <v>PAT0065</v>
      </c>
      <c r="C1808" t="str">
        <f>'Claims Data'!C1808</f>
        <v>PRV0020</v>
      </c>
      <c r="D1808" s="1">
        <f>'Claims Data'!D1808</f>
        <v>49749</v>
      </c>
      <c r="E1808">
        <f>'Claims Data'!H1808</f>
        <v>6.5</v>
      </c>
      <c r="F1808">
        <f>'Claims Data'!J1808</f>
        <v>314.20999999999998</v>
      </c>
      <c r="G1808" t="str">
        <f>'Claims Data'!M1808</f>
        <v>deceased_patient_billing</v>
      </c>
      <c r="H1808" t="b">
        <f>'Claims Data'!L1808</f>
        <v>1</v>
      </c>
      <c r="I1808">
        <f t="shared" si="56"/>
        <v>10</v>
      </c>
      <c r="J1808" t="str">
        <f t="shared" si="57"/>
        <v>Low Risk</v>
      </c>
    </row>
    <row r="1809" spans="1:10" x14ac:dyDescent="0.2">
      <c r="A1809" t="str">
        <f>'Claims Data'!A1809</f>
        <v>CLM01808</v>
      </c>
      <c r="B1809" t="str">
        <f>'Claims Data'!B1809</f>
        <v>PAT0227</v>
      </c>
      <c r="C1809" t="str">
        <f>'Claims Data'!C1809</f>
        <v>PRV0026</v>
      </c>
      <c r="D1809" s="1">
        <f>'Claims Data'!D1809</f>
        <v>44934</v>
      </c>
      <c r="E1809">
        <f>'Claims Data'!H1809</f>
        <v>7.2</v>
      </c>
      <c r="F1809">
        <f>'Claims Data'!J1809</f>
        <v>313.82</v>
      </c>
      <c r="G1809">
        <f>'Claims Data'!M1809</f>
        <v>0</v>
      </c>
      <c r="H1809" t="b">
        <f>'Claims Data'!L1809</f>
        <v>0</v>
      </c>
      <c r="I1809">
        <f t="shared" si="56"/>
        <v>0</v>
      </c>
      <c r="J1809" t="str">
        <f t="shared" si="57"/>
        <v>Low Risk</v>
      </c>
    </row>
    <row r="1810" spans="1:10" x14ac:dyDescent="0.2">
      <c r="A1810" t="str">
        <f>'Claims Data'!A1810</f>
        <v>CLM01809</v>
      </c>
      <c r="B1810" t="str">
        <f>'Claims Data'!B1810</f>
        <v>PAT0071</v>
      </c>
      <c r="C1810" t="str">
        <f>'Claims Data'!C1810</f>
        <v>PRV0054</v>
      </c>
      <c r="D1810" s="1">
        <f>'Claims Data'!D1810</f>
        <v>45641</v>
      </c>
      <c r="E1810">
        <f>'Claims Data'!H1810</f>
        <v>3</v>
      </c>
      <c r="F1810">
        <f>'Claims Data'!J1810</f>
        <v>178.52</v>
      </c>
      <c r="G1810">
        <f>'Claims Data'!M1810</f>
        <v>0</v>
      </c>
      <c r="H1810" t="b">
        <f>'Claims Data'!L1810</f>
        <v>0</v>
      </c>
      <c r="I1810">
        <f t="shared" si="56"/>
        <v>0</v>
      </c>
      <c r="J1810" t="str">
        <f t="shared" si="57"/>
        <v>Low Risk</v>
      </c>
    </row>
    <row r="1811" spans="1:10" x14ac:dyDescent="0.2">
      <c r="A1811" t="str">
        <f>'Claims Data'!A1811</f>
        <v>CLM01810</v>
      </c>
      <c r="B1811" t="str">
        <f>'Claims Data'!B1811</f>
        <v>PAT0008</v>
      </c>
      <c r="C1811" t="str">
        <f>'Claims Data'!C1811</f>
        <v>PRV0031</v>
      </c>
      <c r="D1811" s="1">
        <f>'Claims Data'!D1811</f>
        <v>45440</v>
      </c>
      <c r="E1811">
        <f>'Claims Data'!H1811</f>
        <v>5</v>
      </c>
      <c r="F1811">
        <f>'Claims Data'!J1811</f>
        <v>330.45</v>
      </c>
      <c r="G1811">
        <f>'Claims Data'!M1811</f>
        <v>0</v>
      </c>
      <c r="H1811" t="b">
        <f>'Claims Data'!L1811</f>
        <v>0</v>
      </c>
      <c r="I1811">
        <f t="shared" si="56"/>
        <v>0</v>
      </c>
      <c r="J1811" t="str">
        <f t="shared" si="57"/>
        <v>Low Risk</v>
      </c>
    </row>
    <row r="1812" spans="1:10" x14ac:dyDescent="0.2">
      <c r="A1812" t="str">
        <f>'Claims Data'!A1812</f>
        <v>CLM01811</v>
      </c>
      <c r="B1812" t="str">
        <f>'Claims Data'!B1812</f>
        <v>PAT0072</v>
      </c>
      <c r="C1812" t="str">
        <f>'Claims Data'!C1812</f>
        <v>PRV0053</v>
      </c>
      <c r="D1812" s="1">
        <f>'Claims Data'!D1812</f>
        <v>45481</v>
      </c>
      <c r="E1812">
        <f>'Claims Data'!H1812</f>
        <v>2</v>
      </c>
      <c r="F1812">
        <f>'Claims Data'!J1812</f>
        <v>67.12</v>
      </c>
      <c r="G1812">
        <f>'Claims Data'!M1812</f>
        <v>0</v>
      </c>
      <c r="H1812" t="b">
        <f>'Claims Data'!L1812</f>
        <v>0</v>
      </c>
      <c r="I1812">
        <f t="shared" si="56"/>
        <v>0</v>
      </c>
      <c r="J1812" t="str">
        <f t="shared" si="57"/>
        <v>Low Risk</v>
      </c>
    </row>
    <row r="1813" spans="1:10" x14ac:dyDescent="0.2">
      <c r="A1813" t="str">
        <f>'Claims Data'!A1813</f>
        <v>CLM01812</v>
      </c>
      <c r="B1813" t="str">
        <f>'Claims Data'!B1813</f>
        <v>PAT0171</v>
      </c>
      <c r="C1813" t="str">
        <f>'Claims Data'!C1813</f>
        <v>PRV0036</v>
      </c>
      <c r="D1813" s="1">
        <f>'Claims Data'!D1813</f>
        <v>45468</v>
      </c>
      <c r="E1813">
        <f>'Claims Data'!H1813</f>
        <v>5.6</v>
      </c>
      <c r="F1813">
        <f>'Claims Data'!J1813</f>
        <v>222.94</v>
      </c>
      <c r="G1813">
        <f>'Claims Data'!M1813</f>
        <v>0</v>
      </c>
      <c r="H1813" t="b">
        <f>'Claims Data'!L1813</f>
        <v>0</v>
      </c>
      <c r="I1813">
        <f t="shared" si="56"/>
        <v>0</v>
      </c>
      <c r="J1813" t="str">
        <f t="shared" si="57"/>
        <v>Low Risk</v>
      </c>
    </row>
    <row r="1814" spans="1:10" x14ac:dyDescent="0.2">
      <c r="A1814" t="str">
        <f>'Claims Data'!A1814</f>
        <v>CLM01813</v>
      </c>
      <c r="B1814" t="str">
        <f>'Claims Data'!B1814</f>
        <v>PAT0149</v>
      </c>
      <c r="C1814" t="str">
        <f>'Claims Data'!C1814</f>
        <v>PRV0019</v>
      </c>
      <c r="D1814" s="1">
        <f>'Claims Data'!D1814</f>
        <v>44983</v>
      </c>
      <c r="E1814">
        <f>'Claims Data'!H1814</f>
        <v>4.8</v>
      </c>
      <c r="F1814">
        <f>'Claims Data'!J1814</f>
        <v>285.93</v>
      </c>
      <c r="G1814">
        <f>'Claims Data'!M1814</f>
        <v>0</v>
      </c>
      <c r="H1814" t="b">
        <f>'Claims Data'!L1814</f>
        <v>0</v>
      </c>
      <c r="I1814">
        <f t="shared" si="56"/>
        <v>0</v>
      </c>
      <c r="J1814" t="str">
        <f t="shared" si="57"/>
        <v>Low Risk</v>
      </c>
    </row>
    <row r="1815" spans="1:10" x14ac:dyDescent="0.2">
      <c r="A1815" t="str">
        <f>'Claims Data'!A1815</f>
        <v>CLM01814</v>
      </c>
      <c r="B1815" t="str">
        <f>'Claims Data'!B1815</f>
        <v>PAT0269</v>
      </c>
      <c r="C1815" t="str">
        <f>'Claims Data'!C1815</f>
        <v>PRV0035</v>
      </c>
      <c r="D1815" s="1">
        <f>'Claims Data'!D1815</f>
        <v>45053</v>
      </c>
      <c r="E1815">
        <f>'Claims Data'!H1815</f>
        <v>3.7</v>
      </c>
      <c r="F1815">
        <f>'Claims Data'!J1815</f>
        <v>288.08</v>
      </c>
      <c r="G1815">
        <f>'Claims Data'!M1815</f>
        <v>0</v>
      </c>
      <c r="H1815" t="b">
        <f>'Claims Data'!L1815</f>
        <v>0</v>
      </c>
      <c r="I1815">
        <f t="shared" si="56"/>
        <v>0</v>
      </c>
      <c r="J1815" t="str">
        <f t="shared" si="57"/>
        <v>Low Risk</v>
      </c>
    </row>
    <row r="1816" spans="1:10" x14ac:dyDescent="0.2">
      <c r="A1816" t="str">
        <f>'Claims Data'!A1816</f>
        <v>CLM01815</v>
      </c>
      <c r="B1816" t="str">
        <f>'Claims Data'!B1816</f>
        <v>PAT0189</v>
      </c>
      <c r="C1816" t="str">
        <f>'Claims Data'!C1816</f>
        <v>PRV0054</v>
      </c>
      <c r="D1816" s="1">
        <f>'Claims Data'!D1816</f>
        <v>44958</v>
      </c>
      <c r="E1816">
        <f>'Claims Data'!H1816</f>
        <v>6.2</v>
      </c>
      <c r="F1816">
        <f>'Claims Data'!J1816</f>
        <v>419.73</v>
      </c>
      <c r="G1816">
        <f>'Claims Data'!M1816</f>
        <v>0</v>
      </c>
      <c r="H1816" t="b">
        <f>'Claims Data'!L1816</f>
        <v>0</v>
      </c>
      <c r="I1816">
        <f t="shared" si="56"/>
        <v>0</v>
      </c>
      <c r="J1816" t="str">
        <f t="shared" si="57"/>
        <v>Low Risk</v>
      </c>
    </row>
    <row r="1817" spans="1:10" x14ac:dyDescent="0.2">
      <c r="A1817" t="str">
        <f>'Claims Data'!A1817</f>
        <v>CLM01816</v>
      </c>
      <c r="B1817" t="str">
        <f>'Claims Data'!B1817</f>
        <v>PAT0056</v>
      </c>
      <c r="C1817" t="str">
        <f>'Claims Data'!C1817</f>
        <v>PRV0051</v>
      </c>
      <c r="D1817" s="1">
        <f>'Claims Data'!D1817</f>
        <v>45017</v>
      </c>
      <c r="E1817">
        <f>'Claims Data'!H1817</f>
        <v>5.7</v>
      </c>
      <c r="F1817">
        <f>'Claims Data'!J1817</f>
        <v>419.51</v>
      </c>
      <c r="G1817">
        <f>'Claims Data'!M1817</f>
        <v>0</v>
      </c>
      <c r="H1817" t="b">
        <f>'Claims Data'!L1817</f>
        <v>0</v>
      </c>
      <c r="I1817">
        <f t="shared" si="56"/>
        <v>0</v>
      </c>
      <c r="J1817" t="str">
        <f t="shared" si="57"/>
        <v>Low Risk</v>
      </c>
    </row>
    <row r="1818" spans="1:10" x14ac:dyDescent="0.2">
      <c r="A1818" t="str">
        <f>'Claims Data'!A1818</f>
        <v>CLM01817</v>
      </c>
      <c r="B1818" t="str">
        <f>'Claims Data'!B1818</f>
        <v>PAT0252</v>
      </c>
      <c r="C1818" t="str">
        <f>'Claims Data'!C1818</f>
        <v>PRV0001</v>
      </c>
      <c r="D1818" s="1">
        <f>'Claims Data'!D1818</f>
        <v>45124</v>
      </c>
      <c r="E1818">
        <f>'Claims Data'!H1818</f>
        <v>3.5</v>
      </c>
      <c r="F1818">
        <f>'Claims Data'!J1818</f>
        <v>276.49</v>
      </c>
      <c r="G1818">
        <f>'Claims Data'!M1818</f>
        <v>0</v>
      </c>
      <c r="H1818" t="b">
        <f>'Claims Data'!L1818</f>
        <v>0</v>
      </c>
      <c r="I1818">
        <f t="shared" si="56"/>
        <v>0</v>
      </c>
      <c r="J1818" t="str">
        <f t="shared" si="57"/>
        <v>Low Risk</v>
      </c>
    </row>
    <row r="1819" spans="1:10" x14ac:dyDescent="0.2">
      <c r="A1819" t="str">
        <f>'Claims Data'!A1819</f>
        <v>CLM01818</v>
      </c>
      <c r="B1819" t="str">
        <f>'Claims Data'!B1819</f>
        <v>PAT0029</v>
      </c>
      <c r="C1819" t="str">
        <f>'Claims Data'!C1819</f>
        <v>PRV0056</v>
      </c>
      <c r="D1819" s="1">
        <f>'Claims Data'!D1819</f>
        <v>45385</v>
      </c>
      <c r="E1819">
        <f>'Claims Data'!H1819</f>
        <v>4.7</v>
      </c>
      <c r="F1819">
        <f>'Claims Data'!J1819</f>
        <v>374.35</v>
      </c>
      <c r="G1819">
        <f>'Claims Data'!M1819</f>
        <v>0</v>
      </c>
      <c r="H1819" t="b">
        <f>'Claims Data'!L1819</f>
        <v>0</v>
      </c>
      <c r="I1819">
        <f t="shared" si="56"/>
        <v>0</v>
      </c>
      <c r="J1819" t="str">
        <f t="shared" si="57"/>
        <v>Low Risk</v>
      </c>
    </row>
    <row r="1820" spans="1:10" x14ac:dyDescent="0.2">
      <c r="A1820" t="str">
        <f>'Claims Data'!A1820</f>
        <v>CLM01819</v>
      </c>
      <c r="B1820" t="str">
        <f>'Claims Data'!B1820</f>
        <v>PAT0193</v>
      </c>
      <c r="C1820" t="str">
        <f>'Claims Data'!C1820</f>
        <v>PRV0002</v>
      </c>
      <c r="D1820" s="1">
        <f>'Claims Data'!D1820</f>
        <v>45344</v>
      </c>
      <c r="E1820">
        <f>'Claims Data'!H1820</f>
        <v>22.5</v>
      </c>
      <c r="F1820">
        <f>'Claims Data'!J1820</f>
        <v>1839.15</v>
      </c>
      <c r="G1820" t="str">
        <f>'Claims Data'!M1820</f>
        <v>inflated_hours</v>
      </c>
      <c r="H1820" t="b">
        <f>'Claims Data'!L1820</f>
        <v>1</v>
      </c>
      <c r="I1820">
        <f t="shared" si="56"/>
        <v>50</v>
      </c>
      <c r="J1820" t="str">
        <f t="shared" si="57"/>
        <v>Medium Risk</v>
      </c>
    </row>
    <row r="1821" spans="1:10" x14ac:dyDescent="0.2">
      <c r="A1821" t="str">
        <f>'Claims Data'!A1821</f>
        <v>CLM01820</v>
      </c>
      <c r="B1821" t="str">
        <f>'Claims Data'!B1821</f>
        <v>PAT0034</v>
      </c>
      <c r="C1821" t="str">
        <f>'Claims Data'!C1821</f>
        <v>PRV0054</v>
      </c>
      <c r="D1821" s="1">
        <f>'Claims Data'!D1821</f>
        <v>45127</v>
      </c>
      <c r="E1821">
        <f>'Claims Data'!H1821</f>
        <v>3.6</v>
      </c>
      <c r="F1821">
        <f>'Claims Data'!J1821</f>
        <v>225.67</v>
      </c>
      <c r="G1821">
        <f>'Claims Data'!M1821</f>
        <v>0</v>
      </c>
      <c r="H1821" t="b">
        <f>'Claims Data'!L1821</f>
        <v>0</v>
      </c>
      <c r="I1821">
        <f t="shared" si="56"/>
        <v>0</v>
      </c>
      <c r="J1821" t="str">
        <f t="shared" si="57"/>
        <v>Low Risk</v>
      </c>
    </row>
    <row r="1822" spans="1:10" x14ac:dyDescent="0.2">
      <c r="A1822" t="str">
        <f>'Claims Data'!A1822</f>
        <v>CLM01821</v>
      </c>
      <c r="B1822" t="str">
        <f>'Claims Data'!B1822</f>
        <v>PAT0035</v>
      </c>
      <c r="C1822" t="str">
        <f>'Claims Data'!C1822</f>
        <v>PRV0015</v>
      </c>
      <c r="D1822" s="1">
        <f>'Claims Data'!D1822</f>
        <v>45414</v>
      </c>
      <c r="E1822">
        <f>'Claims Data'!H1822</f>
        <v>6.2</v>
      </c>
      <c r="F1822">
        <f>'Claims Data'!J1822</f>
        <v>423.74</v>
      </c>
      <c r="G1822">
        <f>'Claims Data'!M1822</f>
        <v>0</v>
      </c>
      <c r="H1822" t="b">
        <f>'Claims Data'!L1822</f>
        <v>0</v>
      </c>
      <c r="I1822">
        <f t="shared" si="56"/>
        <v>0</v>
      </c>
      <c r="J1822" t="str">
        <f t="shared" si="57"/>
        <v>Low Risk</v>
      </c>
    </row>
    <row r="1823" spans="1:10" x14ac:dyDescent="0.2">
      <c r="A1823" t="str">
        <f>'Claims Data'!A1823</f>
        <v>CLM01822</v>
      </c>
      <c r="B1823" t="str">
        <f>'Claims Data'!B1823</f>
        <v>PAT0284</v>
      </c>
      <c r="C1823" t="str">
        <f>'Claims Data'!C1823</f>
        <v>PRV0033</v>
      </c>
      <c r="D1823" s="1">
        <f>'Claims Data'!D1823</f>
        <v>45247</v>
      </c>
      <c r="E1823">
        <f>'Claims Data'!H1823</f>
        <v>4.5</v>
      </c>
      <c r="F1823">
        <f>'Claims Data'!J1823</f>
        <v>318.2</v>
      </c>
      <c r="G1823">
        <f>'Claims Data'!M1823</f>
        <v>0</v>
      </c>
      <c r="H1823" t="b">
        <f>'Claims Data'!L1823</f>
        <v>0</v>
      </c>
      <c r="I1823">
        <f t="shared" si="56"/>
        <v>0</v>
      </c>
      <c r="J1823" t="str">
        <f t="shared" si="57"/>
        <v>Low Risk</v>
      </c>
    </row>
    <row r="1824" spans="1:10" x14ac:dyDescent="0.2">
      <c r="A1824" t="str">
        <f>'Claims Data'!A1824</f>
        <v>CLM01823</v>
      </c>
      <c r="B1824" t="str">
        <f>'Claims Data'!B1824</f>
        <v>PAT0147</v>
      </c>
      <c r="C1824" t="str">
        <f>'Claims Data'!C1824</f>
        <v>PRV0043</v>
      </c>
      <c r="D1824" s="1">
        <f>'Claims Data'!D1824</f>
        <v>45468</v>
      </c>
      <c r="E1824">
        <f>'Claims Data'!H1824</f>
        <v>2.5</v>
      </c>
      <c r="F1824">
        <f>'Claims Data'!J1824</f>
        <v>78.28</v>
      </c>
      <c r="G1824">
        <f>'Claims Data'!M1824</f>
        <v>0</v>
      </c>
      <c r="H1824" t="b">
        <f>'Claims Data'!L1824</f>
        <v>0</v>
      </c>
      <c r="I1824">
        <f t="shared" si="56"/>
        <v>0</v>
      </c>
      <c r="J1824" t="str">
        <f t="shared" si="57"/>
        <v>Low Risk</v>
      </c>
    </row>
    <row r="1825" spans="1:10" x14ac:dyDescent="0.2">
      <c r="A1825" t="str">
        <f>'Claims Data'!A1825</f>
        <v>CLM01824</v>
      </c>
      <c r="B1825" t="str">
        <f>'Claims Data'!B1825</f>
        <v>PAT0030</v>
      </c>
      <c r="C1825" t="str">
        <f>'Claims Data'!C1825</f>
        <v>PRV0053</v>
      </c>
      <c r="D1825" s="1">
        <f>'Claims Data'!D1825</f>
        <v>45365</v>
      </c>
      <c r="E1825">
        <f>'Claims Data'!H1825</f>
        <v>49.8</v>
      </c>
      <c r="F1825">
        <f>'Claims Data'!J1825</f>
        <v>2000</v>
      </c>
      <c r="G1825" t="str">
        <f>'Claims Data'!M1825</f>
        <v>phantom_round_amount</v>
      </c>
      <c r="H1825" t="b">
        <f>'Claims Data'!L1825</f>
        <v>1</v>
      </c>
      <c r="I1825">
        <f t="shared" si="56"/>
        <v>80</v>
      </c>
      <c r="J1825" t="str">
        <f t="shared" si="57"/>
        <v>High Risk</v>
      </c>
    </row>
    <row r="1826" spans="1:10" x14ac:dyDescent="0.2">
      <c r="A1826" t="str">
        <f>'Claims Data'!A1826</f>
        <v>CLM01825</v>
      </c>
      <c r="B1826" t="str">
        <f>'Claims Data'!B1826</f>
        <v>PAT0229</v>
      </c>
      <c r="C1826" t="str">
        <f>'Claims Data'!C1826</f>
        <v>PRV0019</v>
      </c>
      <c r="D1826" s="1">
        <f>'Claims Data'!D1826</f>
        <v>45249</v>
      </c>
      <c r="E1826">
        <f>'Claims Data'!H1826</f>
        <v>4.8</v>
      </c>
      <c r="F1826">
        <f>'Claims Data'!J1826</f>
        <v>141.08000000000001</v>
      </c>
      <c r="G1826">
        <f>'Claims Data'!M1826</f>
        <v>0</v>
      </c>
      <c r="H1826" t="b">
        <f>'Claims Data'!L1826</f>
        <v>0</v>
      </c>
      <c r="I1826">
        <f t="shared" si="56"/>
        <v>0</v>
      </c>
      <c r="J1826" t="str">
        <f t="shared" si="57"/>
        <v>Low Risk</v>
      </c>
    </row>
    <row r="1827" spans="1:10" x14ac:dyDescent="0.2">
      <c r="A1827" t="str">
        <f>'Claims Data'!A1827</f>
        <v>CLM01826</v>
      </c>
      <c r="B1827" t="str">
        <f>'Claims Data'!B1827</f>
        <v>PAT0052</v>
      </c>
      <c r="C1827" t="str">
        <f>'Claims Data'!C1827</f>
        <v>PRV0060</v>
      </c>
      <c r="D1827" s="1">
        <f>'Claims Data'!D1827</f>
        <v>45497</v>
      </c>
      <c r="E1827">
        <f>'Claims Data'!H1827</f>
        <v>4.3</v>
      </c>
      <c r="F1827">
        <f>'Claims Data'!J1827</f>
        <v>299.95999999999998</v>
      </c>
      <c r="G1827">
        <f>'Claims Data'!M1827</f>
        <v>0</v>
      </c>
      <c r="H1827" t="b">
        <f>'Claims Data'!L1827</f>
        <v>0</v>
      </c>
      <c r="I1827">
        <f t="shared" si="56"/>
        <v>0</v>
      </c>
      <c r="J1827" t="str">
        <f t="shared" si="57"/>
        <v>Low Risk</v>
      </c>
    </row>
    <row r="1828" spans="1:10" x14ac:dyDescent="0.2">
      <c r="A1828" t="str">
        <f>'Claims Data'!A1828</f>
        <v>CLM01827</v>
      </c>
      <c r="B1828" t="str">
        <f>'Claims Data'!B1828</f>
        <v>PAT0222</v>
      </c>
      <c r="C1828" t="str">
        <f>'Claims Data'!C1828</f>
        <v>PRV0052</v>
      </c>
      <c r="D1828" s="1">
        <f>'Claims Data'!D1828</f>
        <v>44940</v>
      </c>
      <c r="E1828">
        <f>'Claims Data'!H1828</f>
        <v>2.2000000000000002</v>
      </c>
      <c r="F1828">
        <f>'Claims Data'!J1828</f>
        <v>88.08</v>
      </c>
      <c r="G1828">
        <f>'Claims Data'!M1828</f>
        <v>0</v>
      </c>
      <c r="H1828" t="b">
        <f>'Claims Data'!L1828</f>
        <v>0</v>
      </c>
      <c r="I1828">
        <f t="shared" si="56"/>
        <v>0</v>
      </c>
      <c r="J1828" t="str">
        <f t="shared" si="57"/>
        <v>Low Risk</v>
      </c>
    </row>
    <row r="1829" spans="1:10" x14ac:dyDescent="0.2">
      <c r="A1829" t="str">
        <f>'Claims Data'!A1829</f>
        <v>CLM01828</v>
      </c>
      <c r="B1829" t="str">
        <f>'Claims Data'!B1829</f>
        <v>PAT0001</v>
      </c>
      <c r="C1829" t="str">
        <f>'Claims Data'!C1829</f>
        <v>PRV0027</v>
      </c>
      <c r="D1829" s="1">
        <f>'Claims Data'!D1829</f>
        <v>45572</v>
      </c>
      <c r="E1829">
        <f>'Claims Data'!H1829</f>
        <v>35.799999999999997</v>
      </c>
      <c r="F1829">
        <f>'Claims Data'!J1829</f>
        <v>2500</v>
      </c>
      <c r="G1829" t="str">
        <f>'Claims Data'!M1829</f>
        <v>phantom_round_amount</v>
      </c>
      <c r="H1829" t="b">
        <f>'Claims Data'!L1829</f>
        <v>1</v>
      </c>
      <c r="I1829">
        <f t="shared" si="56"/>
        <v>80</v>
      </c>
      <c r="J1829" t="str">
        <f t="shared" si="57"/>
        <v>High Risk</v>
      </c>
    </row>
    <row r="1830" spans="1:10" x14ac:dyDescent="0.2">
      <c r="A1830" t="str">
        <f>'Claims Data'!A1830</f>
        <v>CLM01829</v>
      </c>
      <c r="B1830" t="str">
        <f>'Claims Data'!B1830</f>
        <v>PAT0226</v>
      </c>
      <c r="C1830" t="str">
        <f>'Claims Data'!C1830</f>
        <v>PRV0058</v>
      </c>
      <c r="D1830" s="1">
        <f>'Claims Data'!D1830</f>
        <v>45213</v>
      </c>
      <c r="E1830">
        <f>'Claims Data'!H1830</f>
        <v>2.4</v>
      </c>
      <c r="F1830">
        <f>'Claims Data'!J1830</f>
        <v>138.97</v>
      </c>
      <c r="G1830">
        <f>'Claims Data'!M1830</f>
        <v>0</v>
      </c>
      <c r="H1830" t="b">
        <f>'Claims Data'!L1830</f>
        <v>0</v>
      </c>
      <c r="I1830">
        <f t="shared" si="56"/>
        <v>0</v>
      </c>
      <c r="J1830" t="str">
        <f t="shared" si="57"/>
        <v>Low Risk</v>
      </c>
    </row>
    <row r="1831" spans="1:10" x14ac:dyDescent="0.2">
      <c r="A1831" t="str">
        <f>'Claims Data'!A1831</f>
        <v>CLM01830</v>
      </c>
      <c r="B1831" t="str">
        <f>'Claims Data'!B1831</f>
        <v>PAT0025</v>
      </c>
      <c r="C1831" t="str">
        <f>'Claims Data'!C1831</f>
        <v>PRV0013</v>
      </c>
      <c r="D1831" s="1">
        <f>'Claims Data'!D1831</f>
        <v>45375</v>
      </c>
      <c r="E1831">
        <f>'Claims Data'!H1831</f>
        <v>26.9</v>
      </c>
      <c r="F1831">
        <f>'Claims Data'!J1831</f>
        <v>2000</v>
      </c>
      <c r="G1831" t="str">
        <f>'Claims Data'!M1831</f>
        <v>phantom_round_amount</v>
      </c>
      <c r="H1831" t="b">
        <f>'Claims Data'!L1831</f>
        <v>1</v>
      </c>
      <c r="I1831">
        <f t="shared" si="56"/>
        <v>80</v>
      </c>
      <c r="J1831" t="str">
        <f t="shared" si="57"/>
        <v>High Risk</v>
      </c>
    </row>
    <row r="1832" spans="1:10" x14ac:dyDescent="0.2">
      <c r="A1832" t="str">
        <f>'Claims Data'!A1832</f>
        <v>CLM01831</v>
      </c>
      <c r="B1832" t="str">
        <f>'Claims Data'!B1832</f>
        <v>PAT0125</v>
      </c>
      <c r="C1832" t="str">
        <f>'Claims Data'!C1832</f>
        <v>PRV0033</v>
      </c>
      <c r="D1832" s="1">
        <f>'Claims Data'!D1832</f>
        <v>45637</v>
      </c>
      <c r="E1832">
        <f>'Claims Data'!H1832</f>
        <v>7</v>
      </c>
      <c r="F1832">
        <f>'Claims Data'!J1832</f>
        <v>429.94</v>
      </c>
      <c r="G1832">
        <f>'Claims Data'!M1832</f>
        <v>0</v>
      </c>
      <c r="H1832" t="b">
        <f>'Claims Data'!L1832</f>
        <v>0</v>
      </c>
      <c r="I1832">
        <f t="shared" si="56"/>
        <v>0</v>
      </c>
      <c r="J1832" t="str">
        <f t="shared" si="57"/>
        <v>Low Risk</v>
      </c>
    </row>
    <row r="1833" spans="1:10" x14ac:dyDescent="0.2">
      <c r="A1833" t="str">
        <f>'Claims Data'!A1833</f>
        <v>CLM01832</v>
      </c>
      <c r="B1833" t="str">
        <f>'Claims Data'!B1833</f>
        <v>PAT0077</v>
      </c>
      <c r="C1833" t="str">
        <f>'Claims Data'!C1833</f>
        <v>PRV0029</v>
      </c>
      <c r="D1833" s="1">
        <f>'Claims Data'!D1833</f>
        <v>45031</v>
      </c>
      <c r="E1833">
        <f>'Claims Data'!H1833</f>
        <v>2.7</v>
      </c>
      <c r="F1833">
        <f>'Claims Data'!J1833</f>
        <v>187.61</v>
      </c>
      <c r="G1833">
        <f>'Claims Data'!M1833</f>
        <v>0</v>
      </c>
      <c r="H1833" t="b">
        <f>'Claims Data'!L1833</f>
        <v>0</v>
      </c>
      <c r="I1833">
        <f t="shared" si="56"/>
        <v>0</v>
      </c>
      <c r="J1833" t="str">
        <f t="shared" si="57"/>
        <v>Low Risk</v>
      </c>
    </row>
    <row r="1834" spans="1:10" x14ac:dyDescent="0.2">
      <c r="A1834" t="str">
        <f>'Claims Data'!A1834</f>
        <v>CLM01833</v>
      </c>
      <c r="B1834" t="str">
        <f>'Claims Data'!B1834</f>
        <v>PAT0251</v>
      </c>
      <c r="C1834" t="str">
        <f>'Claims Data'!C1834</f>
        <v>PRV0027</v>
      </c>
      <c r="D1834" s="1">
        <f>'Claims Data'!D1834</f>
        <v>45612</v>
      </c>
      <c r="E1834">
        <f>'Claims Data'!H1834</f>
        <v>6</v>
      </c>
      <c r="F1834">
        <f>'Claims Data'!J1834</f>
        <v>154.04</v>
      </c>
      <c r="G1834">
        <f>'Claims Data'!M1834</f>
        <v>0</v>
      </c>
      <c r="H1834" t="b">
        <f>'Claims Data'!L1834</f>
        <v>0</v>
      </c>
      <c r="I1834">
        <f t="shared" si="56"/>
        <v>0</v>
      </c>
      <c r="J1834" t="str">
        <f t="shared" si="57"/>
        <v>Low Risk</v>
      </c>
    </row>
    <row r="1835" spans="1:10" x14ac:dyDescent="0.2">
      <c r="A1835" t="str">
        <f>'Claims Data'!A1835</f>
        <v>CLM01834</v>
      </c>
      <c r="B1835" t="str">
        <f>'Claims Data'!B1835</f>
        <v>PAT0129</v>
      </c>
      <c r="C1835" t="str">
        <f>'Claims Data'!C1835</f>
        <v>PRV0039</v>
      </c>
      <c r="D1835" s="1">
        <f>'Claims Data'!D1835</f>
        <v>44936</v>
      </c>
      <c r="E1835">
        <f>'Claims Data'!H1835</f>
        <v>4.5999999999999996</v>
      </c>
      <c r="F1835">
        <f>'Claims Data'!J1835</f>
        <v>164.11</v>
      </c>
      <c r="G1835">
        <f>'Claims Data'!M1835</f>
        <v>0</v>
      </c>
      <c r="H1835" t="b">
        <f>'Claims Data'!L1835</f>
        <v>0</v>
      </c>
      <c r="I1835">
        <f t="shared" si="56"/>
        <v>0</v>
      </c>
      <c r="J1835" t="str">
        <f t="shared" si="57"/>
        <v>Low Risk</v>
      </c>
    </row>
    <row r="1836" spans="1:10" x14ac:dyDescent="0.2">
      <c r="A1836" t="str">
        <f>'Claims Data'!A1836</f>
        <v>CLM01835</v>
      </c>
      <c r="B1836" t="str">
        <f>'Claims Data'!B1836</f>
        <v>PAT0031</v>
      </c>
      <c r="C1836" t="str">
        <f>'Claims Data'!C1836</f>
        <v>PRV0002</v>
      </c>
      <c r="D1836" s="1">
        <f>'Claims Data'!D1836</f>
        <v>45323</v>
      </c>
      <c r="E1836">
        <f>'Claims Data'!H1836</f>
        <v>7.4</v>
      </c>
      <c r="F1836">
        <f>'Claims Data'!J1836</f>
        <v>421.34</v>
      </c>
      <c r="G1836">
        <f>'Claims Data'!M1836</f>
        <v>0</v>
      </c>
      <c r="H1836" t="b">
        <f>'Claims Data'!L1836</f>
        <v>0</v>
      </c>
      <c r="I1836">
        <f t="shared" si="56"/>
        <v>0</v>
      </c>
      <c r="J1836" t="str">
        <f t="shared" si="57"/>
        <v>Low Risk</v>
      </c>
    </row>
    <row r="1837" spans="1:10" x14ac:dyDescent="0.2">
      <c r="A1837" t="str">
        <f>'Claims Data'!A1837</f>
        <v>CLM01836</v>
      </c>
      <c r="B1837" t="str">
        <f>'Claims Data'!B1837</f>
        <v>PAT0167</v>
      </c>
      <c r="C1837" t="str">
        <f>'Claims Data'!C1837</f>
        <v>PRV0048</v>
      </c>
      <c r="D1837" s="1">
        <f>'Claims Data'!D1837</f>
        <v>45392</v>
      </c>
      <c r="E1837">
        <f>'Claims Data'!H1837</f>
        <v>7</v>
      </c>
      <c r="F1837">
        <f>'Claims Data'!J1837</f>
        <v>515.83000000000004</v>
      </c>
      <c r="G1837">
        <f>'Claims Data'!M1837</f>
        <v>0</v>
      </c>
      <c r="H1837" t="b">
        <f>'Claims Data'!L1837</f>
        <v>0</v>
      </c>
      <c r="I1837">
        <f t="shared" si="56"/>
        <v>0</v>
      </c>
      <c r="J1837" t="str">
        <f t="shared" si="57"/>
        <v>Low Risk</v>
      </c>
    </row>
    <row r="1838" spans="1:10" x14ac:dyDescent="0.2">
      <c r="A1838" t="str">
        <f>'Claims Data'!A1838</f>
        <v>CLM01837</v>
      </c>
      <c r="B1838" t="str">
        <f>'Claims Data'!B1838</f>
        <v>PAT0131</v>
      </c>
      <c r="C1838" t="str">
        <f>'Claims Data'!C1838</f>
        <v>PRV0036</v>
      </c>
      <c r="D1838" s="1">
        <f>'Claims Data'!D1838</f>
        <v>38353</v>
      </c>
      <c r="E1838">
        <f>'Claims Data'!H1838</f>
        <v>4.3</v>
      </c>
      <c r="F1838">
        <f>'Claims Data'!J1838</f>
        <v>187.05</v>
      </c>
      <c r="G1838" t="str">
        <f>'Claims Data'!M1838</f>
        <v>deceased_patient_billing</v>
      </c>
      <c r="H1838" t="b">
        <f>'Claims Data'!L1838</f>
        <v>1</v>
      </c>
      <c r="I1838">
        <f t="shared" si="56"/>
        <v>10</v>
      </c>
      <c r="J1838" t="str">
        <f t="shared" si="57"/>
        <v>Low Risk</v>
      </c>
    </row>
    <row r="1839" spans="1:10" x14ac:dyDescent="0.2">
      <c r="A1839" t="str">
        <f>'Claims Data'!A1839</f>
        <v>CLM01838</v>
      </c>
      <c r="B1839" t="str">
        <f>'Claims Data'!B1839</f>
        <v>PAT0230</v>
      </c>
      <c r="C1839" t="str">
        <f>'Claims Data'!C1839</f>
        <v>PRV0030</v>
      </c>
      <c r="D1839" s="1">
        <f>'Claims Data'!D1839</f>
        <v>45005</v>
      </c>
      <c r="E1839">
        <f>'Claims Data'!H1839</f>
        <v>2.2999999999999998</v>
      </c>
      <c r="F1839">
        <f>'Claims Data'!J1839</f>
        <v>109.58</v>
      </c>
      <c r="G1839">
        <f>'Claims Data'!M1839</f>
        <v>0</v>
      </c>
      <c r="H1839" t="b">
        <f>'Claims Data'!L1839</f>
        <v>0</v>
      </c>
      <c r="I1839">
        <f t="shared" si="56"/>
        <v>0</v>
      </c>
      <c r="J1839" t="str">
        <f t="shared" si="57"/>
        <v>Low Risk</v>
      </c>
    </row>
    <row r="1840" spans="1:10" x14ac:dyDescent="0.2">
      <c r="A1840" t="str">
        <f>'Claims Data'!A1840</f>
        <v>CLM01839</v>
      </c>
      <c r="B1840" t="str">
        <f>'Claims Data'!B1840</f>
        <v>PAT0100</v>
      </c>
      <c r="C1840" t="str">
        <f>'Claims Data'!C1840</f>
        <v>PRV0055</v>
      </c>
      <c r="D1840" s="1">
        <f>'Claims Data'!D1840</f>
        <v>44929</v>
      </c>
      <c r="E1840">
        <f>'Claims Data'!H1840</f>
        <v>4.2</v>
      </c>
      <c r="F1840">
        <f>'Claims Data'!J1840</f>
        <v>165.11</v>
      </c>
      <c r="G1840">
        <f>'Claims Data'!M1840</f>
        <v>0</v>
      </c>
      <c r="H1840" t="b">
        <f>'Claims Data'!L1840</f>
        <v>0</v>
      </c>
      <c r="I1840">
        <f t="shared" si="56"/>
        <v>0</v>
      </c>
      <c r="J1840" t="str">
        <f t="shared" si="57"/>
        <v>Low Risk</v>
      </c>
    </row>
    <row r="1841" spans="1:10" x14ac:dyDescent="0.2">
      <c r="A1841" t="str">
        <f>'Claims Data'!A1841</f>
        <v>CLM01840</v>
      </c>
      <c r="B1841" t="str">
        <f>'Claims Data'!B1841</f>
        <v>PAT0015</v>
      </c>
      <c r="C1841" t="str">
        <f>'Claims Data'!C1841</f>
        <v>PRV0030</v>
      </c>
      <c r="D1841" s="1">
        <f>'Claims Data'!D1841</f>
        <v>45360</v>
      </c>
      <c r="E1841">
        <f>'Claims Data'!H1841</f>
        <v>4.5</v>
      </c>
      <c r="F1841">
        <f>'Claims Data'!J1841</f>
        <v>379.61</v>
      </c>
      <c r="G1841">
        <f>'Claims Data'!M1841</f>
        <v>0</v>
      </c>
      <c r="H1841" t="b">
        <f>'Claims Data'!L1841</f>
        <v>0</v>
      </c>
      <c r="I1841">
        <f t="shared" si="56"/>
        <v>0</v>
      </c>
      <c r="J1841" t="str">
        <f t="shared" si="57"/>
        <v>Low Risk</v>
      </c>
    </row>
    <row r="1842" spans="1:10" x14ac:dyDescent="0.2">
      <c r="A1842" t="str">
        <f>'Claims Data'!A1842</f>
        <v>CLM01841</v>
      </c>
      <c r="B1842" t="str">
        <f>'Claims Data'!B1842</f>
        <v>PAT0016</v>
      </c>
      <c r="C1842" t="str">
        <f>'Claims Data'!C1842</f>
        <v>PRV0026</v>
      </c>
      <c r="D1842" s="1">
        <f>'Claims Data'!D1842</f>
        <v>45033</v>
      </c>
      <c r="E1842">
        <f>'Claims Data'!H1842</f>
        <v>34.700000000000003</v>
      </c>
      <c r="F1842">
        <f>'Claims Data'!J1842</f>
        <v>1000</v>
      </c>
      <c r="G1842" t="str">
        <f>'Claims Data'!M1842</f>
        <v>phantom_round_amount</v>
      </c>
      <c r="H1842" t="b">
        <f>'Claims Data'!L1842</f>
        <v>1</v>
      </c>
      <c r="I1842">
        <f t="shared" si="56"/>
        <v>80</v>
      </c>
      <c r="J1842" t="str">
        <f t="shared" si="57"/>
        <v>High Risk</v>
      </c>
    </row>
    <row r="1843" spans="1:10" x14ac:dyDescent="0.2">
      <c r="A1843" t="str">
        <f>'Claims Data'!A1843</f>
        <v>CLM01842</v>
      </c>
      <c r="B1843" t="str">
        <f>'Claims Data'!B1843</f>
        <v>PAT0177</v>
      </c>
      <c r="C1843" t="str">
        <f>'Claims Data'!C1843</f>
        <v>PRV0049</v>
      </c>
      <c r="D1843" s="1">
        <f>'Claims Data'!D1843</f>
        <v>45122</v>
      </c>
      <c r="E1843">
        <f>'Claims Data'!H1843</f>
        <v>6.3</v>
      </c>
      <c r="F1843">
        <f>'Claims Data'!J1843</f>
        <v>174.14</v>
      </c>
      <c r="G1843">
        <f>'Claims Data'!M1843</f>
        <v>0</v>
      </c>
      <c r="H1843" t="b">
        <f>'Claims Data'!L1843</f>
        <v>0</v>
      </c>
      <c r="I1843">
        <f t="shared" si="56"/>
        <v>0</v>
      </c>
      <c r="J1843" t="str">
        <f t="shared" si="57"/>
        <v>Low Risk</v>
      </c>
    </row>
    <row r="1844" spans="1:10" x14ac:dyDescent="0.2">
      <c r="A1844" t="str">
        <f>'Claims Data'!A1844</f>
        <v>CLM01843</v>
      </c>
      <c r="B1844" t="str">
        <f>'Claims Data'!B1844</f>
        <v>PAT0148</v>
      </c>
      <c r="C1844" t="str">
        <f>'Claims Data'!C1844</f>
        <v>PRV0050</v>
      </c>
      <c r="D1844" s="1">
        <f>'Claims Data'!D1844</f>
        <v>45613</v>
      </c>
      <c r="E1844">
        <f>'Claims Data'!H1844</f>
        <v>6.9</v>
      </c>
      <c r="F1844">
        <f>'Claims Data'!J1844</f>
        <v>306.08999999999997</v>
      </c>
      <c r="G1844">
        <f>'Claims Data'!M1844</f>
        <v>0</v>
      </c>
      <c r="H1844" t="b">
        <f>'Claims Data'!L1844</f>
        <v>0</v>
      </c>
      <c r="I1844">
        <f t="shared" si="56"/>
        <v>0</v>
      </c>
      <c r="J1844" t="str">
        <f t="shared" si="57"/>
        <v>Low Risk</v>
      </c>
    </row>
    <row r="1845" spans="1:10" x14ac:dyDescent="0.2">
      <c r="A1845" t="str">
        <f>'Claims Data'!A1845</f>
        <v>CLM01844</v>
      </c>
      <c r="B1845" t="str">
        <f>'Claims Data'!B1845</f>
        <v>PAT0230</v>
      </c>
      <c r="C1845" t="str">
        <f>'Claims Data'!C1845</f>
        <v>PRV0060</v>
      </c>
      <c r="D1845" s="1">
        <f>'Claims Data'!D1845</f>
        <v>45517</v>
      </c>
      <c r="E1845">
        <f>'Claims Data'!H1845</f>
        <v>5.7</v>
      </c>
      <c r="F1845">
        <f>'Claims Data'!J1845</f>
        <v>462.04</v>
      </c>
      <c r="G1845">
        <f>'Claims Data'!M1845</f>
        <v>0</v>
      </c>
      <c r="H1845" t="b">
        <f>'Claims Data'!L1845</f>
        <v>0</v>
      </c>
      <c r="I1845">
        <f t="shared" si="56"/>
        <v>0</v>
      </c>
      <c r="J1845" t="str">
        <f t="shared" si="57"/>
        <v>Low Risk</v>
      </c>
    </row>
    <row r="1846" spans="1:10" x14ac:dyDescent="0.2">
      <c r="A1846" t="str">
        <f>'Claims Data'!A1846</f>
        <v>CLM01845</v>
      </c>
      <c r="B1846" t="str">
        <f>'Claims Data'!B1846</f>
        <v>PAT0159</v>
      </c>
      <c r="C1846" t="str">
        <f>'Claims Data'!C1846</f>
        <v>PRV0003</v>
      </c>
      <c r="D1846" s="1">
        <f>'Claims Data'!D1846</f>
        <v>45508</v>
      </c>
      <c r="E1846">
        <f>'Claims Data'!H1846</f>
        <v>2.7</v>
      </c>
      <c r="F1846">
        <f>'Claims Data'!J1846</f>
        <v>102.13</v>
      </c>
      <c r="G1846">
        <f>'Claims Data'!M1846</f>
        <v>0</v>
      </c>
      <c r="H1846" t="b">
        <f>'Claims Data'!L1846</f>
        <v>0</v>
      </c>
      <c r="I1846">
        <f t="shared" si="56"/>
        <v>0</v>
      </c>
      <c r="J1846" t="str">
        <f t="shared" si="57"/>
        <v>Low Risk</v>
      </c>
    </row>
    <row r="1847" spans="1:10" x14ac:dyDescent="0.2">
      <c r="A1847" t="str">
        <f>'Claims Data'!A1847</f>
        <v>CLM01846</v>
      </c>
      <c r="B1847" t="str">
        <f>'Claims Data'!B1847</f>
        <v>PAT0200</v>
      </c>
      <c r="C1847" t="str">
        <f>'Claims Data'!C1847</f>
        <v>PRV0012</v>
      </c>
      <c r="D1847" s="1">
        <f>'Claims Data'!D1847</f>
        <v>45590</v>
      </c>
      <c r="E1847">
        <f>'Claims Data'!H1847</f>
        <v>3</v>
      </c>
      <c r="F1847">
        <f>'Claims Data'!J1847</f>
        <v>147.38999999999999</v>
      </c>
      <c r="G1847">
        <f>'Claims Data'!M1847</f>
        <v>0</v>
      </c>
      <c r="H1847" t="b">
        <f>'Claims Data'!L1847</f>
        <v>0</v>
      </c>
      <c r="I1847">
        <f t="shared" si="56"/>
        <v>0</v>
      </c>
      <c r="J1847" t="str">
        <f t="shared" si="57"/>
        <v>Low Risk</v>
      </c>
    </row>
    <row r="1848" spans="1:10" x14ac:dyDescent="0.2">
      <c r="A1848" t="str">
        <f>'Claims Data'!A1848</f>
        <v>CLM01847</v>
      </c>
      <c r="B1848" t="str">
        <f>'Claims Data'!B1848</f>
        <v>PAT0277</v>
      </c>
      <c r="C1848" t="str">
        <f>'Claims Data'!C1848</f>
        <v>PRV0045</v>
      </c>
      <c r="D1848" s="1">
        <f>'Claims Data'!D1848</f>
        <v>45385</v>
      </c>
      <c r="E1848">
        <f>'Claims Data'!H1848</f>
        <v>4.3</v>
      </c>
      <c r="F1848">
        <f>'Claims Data'!J1848</f>
        <v>225.86</v>
      </c>
      <c r="G1848">
        <f>'Claims Data'!M1848</f>
        <v>0</v>
      </c>
      <c r="H1848" t="b">
        <f>'Claims Data'!L1848</f>
        <v>0</v>
      </c>
      <c r="I1848">
        <f t="shared" si="56"/>
        <v>0</v>
      </c>
      <c r="J1848" t="str">
        <f t="shared" si="57"/>
        <v>Low Risk</v>
      </c>
    </row>
    <row r="1849" spans="1:10" x14ac:dyDescent="0.2">
      <c r="A1849" t="str">
        <f>'Claims Data'!A1849</f>
        <v>CLM01848</v>
      </c>
      <c r="B1849" t="str">
        <f>'Claims Data'!B1849</f>
        <v>PAT0233</v>
      </c>
      <c r="C1849" t="str">
        <f>'Claims Data'!C1849</f>
        <v>PRV0021</v>
      </c>
      <c r="D1849" s="1">
        <f>'Claims Data'!D1849</f>
        <v>45538</v>
      </c>
      <c r="E1849">
        <f>'Claims Data'!H1849</f>
        <v>5.9</v>
      </c>
      <c r="F1849">
        <f>'Claims Data'!J1849</f>
        <v>278.12</v>
      </c>
      <c r="G1849">
        <f>'Claims Data'!M1849</f>
        <v>0</v>
      </c>
      <c r="H1849" t="b">
        <f>'Claims Data'!L1849</f>
        <v>0</v>
      </c>
      <c r="I1849">
        <f t="shared" si="56"/>
        <v>0</v>
      </c>
      <c r="J1849" t="str">
        <f t="shared" si="57"/>
        <v>Low Risk</v>
      </c>
    </row>
    <row r="1850" spans="1:10" x14ac:dyDescent="0.2">
      <c r="A1850" t="str">
        <f>'Claims Data'!A1850</f>
        <v>CLM01849</v>
      </c>
      <c r="B1850" t="str">
        <f>'Claims Data'!B1850</f>
        <v>PAT0204</v>
      </c>
      <c r="C1850" t="str">
        <f>'Claims Data'!C1850</f>
        <v>PRV0018</v>
      </c>
      <c r="D1850" s="1">
        <f>'Claims Data'!D1850</f>
        <v>45171</v>
      </c>
      <c r="E1850">
        <f>'Claims Data'!H1850</f>
        <v>4.5</v>
      </c>
      <c r="F1850">
        <f>'Claims Data'!J1850</f>
        <v>319.74</v>
      </c>
      <c r="G1850">
        <f>'Claims Data'!M1850</f>
        <v>0</v>
      </c>
      <c r="H1850" t="b">
        <f>'Claims Data'!L1850</f>
        <v>0</v>
      </c>
      <c r="I1850">
        <f t="shared" si="56"/>
        <v>0</v>
      </c>
      <c r="J1850" t="str">
        <f t="shared" si="57"/>
        <v>Low Risk</v>
      </c>
    </row>
    <row r="1851" spans="1:10" x14ac:dyDescent="0.2">
      <c r="A1851" t="str">
        <f>'Claims Data'!A1851</f>
        <v>CLM01850</v>
      </c>
      <c r="B1851" t="str">
        <f>'Claims Data'!B1851</f>
        <v>PAT0089</v>
      </c>
      <c r="C1851" t="str">
        <f>'Claims Data'!C1851</f>
        <v>PRV0014</v>
      </c>
      <c r="D1851" s="1">
        <f>'Claims Data'!D1851</f>
        <v>45411</v>
      </c>
      <c r="E1851">
        <f>'Claims Data'!H1851</f>
        <v>6.3</v>
      </c>
      <c r="F1851">
        <f>'Claims Data'!J1851</f>
        <v>456.6</v>
      </c>
      <c r="G1851">
        <f>'Claims Data'!M1851</f>
        <v>0</v>
      </c>
      <c r="H1851" t="b">
        <f>'Claims Data'!L1851</f>
        <v>0</v>
      </c>
      <c r="I1851">
        <f t="shared" si="56"/>
        <v>0</v>
      </c>
      <c r="J1851" t="str">
        <f t="shared" si="57"/>
        <v>Low Risk</v>
      </c>
    </row>
    <row r="1852" spans="1:10" x14ac:dyDescent="0.2">
      <c r="A1852" t="str">
        <f>'Claims Data'!A1852</f>
        <v>CLM01851</v>
      </c>
      <c r="B1852" t="str">
        <f>'Claims Data'!B1852</f>
        <v>PAT0144</v>
      </c>
      <c r="C1852" t="str">
        <f>'Claims Data'!C1852</f>
        <v>PRV0005</v>
      </c>
      <c r="D1852" s="1">
        <f>'Claims Data'!D1852</f>
        <v>45041</v>
      </c>
      <c r="E1852">
        <f>'Claims Data'!H1852</f>
        <v>16.3</v>
      </c>
      <c r="F1852">
        <f>'Claims Data'!J1852</f>
        <v>500</v>
      </c>
      <c r="G1852" t="str">
        <f>'Claims Data'!M1852</f>
        <v>phantom_round_amount</v>
      </c>
      <c r="H1852" t="b">
        <f>'Claims Data'!L1852</f>
        <v>1</v>
      </c>
      <c r="I1852">
        <f t="shared" si="56"/>
        <v>80</v>
      </c>
      <c r="J1852" t="str">
        <f t="shared" si="57"/>
        <v>High Risk</v>
      </c>
    </row>
    <row r="1853" spans="1:10" x14ac:dyDescent="0.2">
      <c r="A1853" t="str">
        <f>'Claims Data'!A1853</f>
        <v>CLM01852</v>
      </c>
      <c r="B1853" t="str">
        <f>'Claims Data'!B1853</f>
        <v>PAT0139</v>
      </c>
      <c r="C1853" t="str">
        <f>'Claims Data'!C1853</f>
        <v>PRV0058</v>
      </c>
      <c r="D1853" s="1">
        <f>'Claims Data'!D1853</f>
        <v>44997</v>
      </c>
      <c r="E1853">
        <f>'Claims Data'!H1853</f>
        <v>6.1</v>
      </c>
      <c r="F1853">
        <f>'Claims Data'!J1853</f>
        <v>508.39</v>
      </c>
      <c r="G1853">
        <f>'Claims Data'!M1853</f>
        <v>0</v>
      </c>
      <c r="H1853" t="b">
        <f>'Claims Data'!L1853</f>
        <v>0</v>
      </c>
      <c r="I1853">
        <f t="shared" si="56"/>
        <v>0</v>
      </c>
      <c r="J1853" t="str">
        <f t="shared" si="57"/>
        <v>Low Risk</v>
      </c>
    </row>
    <row r="1854" spans="1:10" x14ac:dyDescent="0.2">
      <c r="A1854" t="str">
        <f>'Claims Data'!A1854</f>
        <v>CLM01853</v>
      </c>
      <c r="B1854" t="str">
        <f>'Claims Data'!B1854</f>
        <v>PAT0128</v>
      </c>
      <c r="C1854" t="str">
        <f>'Claims Data'!C1854</f>
        <v>PRV0001</v>
      </c>
      <c r="D1854" s="1">
        <f>'Claims Data'!D1854</f>
        <v>45333</v>
      </c>
      <c r="E1854">
        <f>'Claims Data'!H1854</f>
        <v>4</v>
      </c>
      <c r="F1854">
        <f>'Claims Data'!J1854</f>
        <v>252.48</v>
      </c>
      <c r="G1854">
        <f>'Claims Data'!M1854</f>
        <v>0</v>
      </c>
      <c r="H1854" t="b">
        <f>'Claims Data'!L1854</f>
        <v>0</v>
      </c>
      <c r="I1854">
        <f t="shared" si="56"/>
        <v>0</v>
      </c>
      <c r="J1854" t="str">
        <f t="shared" si="57"/>
        <v>Low Risk</v>
      </c>
    </row>
    <row r="1855" spans="1:10" x14ac:dyDescent="0.2">
      <c r="A1855" t="str">
        <f>'Claims Data'!A1855</f>
        <v>CLM01854</v>
      </c>
      <c r="B1855" t="str">
        <f>'Claims Data'!B1855</f>
        <v>PAT0211</v>
      </c>
      <c r="C1855" t="str">
        <f>'Claims Data'!C1855</f>
        <v>PRV0002</v>
      </c>
      <c r="D1855" s="1">
        <f>'Claims Data'!D1855</f>
        <v>45612</v>
      </c>
      <c r="E1855">
        <f>'Claims Data'!H1855</f>
        <v>7.9</v>
      </c>
      <c r="F1855">
        <f>'Claims Data'!J1855</f>
        <v>513.36</v>
      </c>
      <c r="G1855">
        <f>'Claims Data'!M1855</f>
        <v>0</v>
      </c>
      <c r="H1855" t="b">
        <f>'Claims Data'!L1855</f>
        <v>0</v>
      </c>
      <c r="I1855">
        <f t="shared" si="56"/>
        <v>0</v>
      </c>
      <c r="J1855" t="str">
        <f t="shared" si="57"/>
        <v>Low Risk</v>
      </c>
    </row>
    <row r="1856" spans="1:10" x14ac:dyDescent="0.2">
      <c r="A1856" t="str">
        <f>'Claims Data'!A1856</f>
        <v>CLM01855</v>
      </c>
      <c r="B1856" t="str">
        <f>'Claims Data'!B1856</f>
        <v>PAT0024</v>
      </c>
      <c r="C1856" t="str">
        <f>'Claims Data'!C1856</f>
        <v>PRV0021</v>
      </c>
      <c r="D1856" s="1">
        <f>'Claims Data'!D1856</f>
        <v>45132</v>
      </c>
      <c r="E1856">
        <f>'Claims Data'!H1856</f>
        <v>2.1</v>
      </c>
      <c r="F1856">
        <f>'Claims Data'!J1856</f>
        <v>167.43</v>
      </c>
      <c r="G1856">
        <f>'Claims Data'!M1856</f>
        <v>0</v>
      </c>
      <c r="H1856" t="b">
        <f>'Claims Data'!L1856</f>
        <v>0</v>
      </c>
      <c r="I1856">
        <f t="shared" si="56"/>
        <v>0</v>
      </c>
      <c r="J1856" t="str">
        <f t="shared" si="57"/>
        <v>Low Risk</v>
      </c>
    </row>
    <row r="1857" spans="1:10" x14ac:dyDescent="0.2">
      <c r="A1857" t="str">
        <f>'Claims Data'!A1857</f>
        <v>CLM01856</v>
      </c>
      <c r="B1857" t="str">
        <f>'Claims Data'!B1857</f>
        <v>PAT0289</v>
      </c>
      <c r="C1857" t="str">
        <f>'Claims Data'!C1857</f>
        <v>PRV0002</v>
      </c>
      <c r="D1857" s="1">
        <f>'Claims Data'!D1857</f>
        <v>45313</v>
      </c>
      <c r="E1857">
        <f>'Claims Data'!H1857</f>
        <v>5.0999999999999996</v>
      </c>
      <c r="F1857">
        <f>'Claims Data'!J1857</f>
        <v>354.5</v>
      </c>
      <c r="G1857">
        <f>'Claims Data'!M1857</f>
        <v>0</v>
      </c>
      <c r="H1857" t="b">
        <f>'Claims Data'!L1857</f>
        <v>0</v>
      </c>
      <c r="I1857">
        <f t="shared" si="56"/>
        <v>0</v>
      </c>
      <c r="J1857" t="str">
        <f t="shared" si="57"/>
        <v>Low Risk</v>
      </c>
    </row>
    <row r="1858" spans="1:10" x14ac:dyDescent="0.2">
      <c r="A1858" t="str">
        <f>'Claims Data'!A1858</f>
        <v>CLM01857</v>
      </c>
      <c r="B1858" t="str">
        <f>'Claims Data'!B1858</f>
        <v>PAT0194</v>
      </c>
      <c r="C1858" t="str">
        <f>'Claims Data'!C1858</f>
        <v>PRV0014</v>
      </c>
      <c r="D1858" s="1">
        <f>'Claims Data'!D1858</f>
        <v>45228</v>
      </c>
      <c r="E1858">
        <f>'Claims Data'!H1858</f>
        <v>3.4</v>
      </c>
      <c r="F1858">
        <f>'Claims Data'!J1858</f>
        <v>210.74</v>
      </c>
      <c r="G1858">
        <f>'Claims Data'!M1858</f>
        <v>0</v>
      </c>
      <c r="H1858" t="b">
        <f>'Claims Data'!L1858</f>
        <v>0</v>
      </c>
      <c r="I1858">
        <f t="shared" si="56"/>
        <v>0</v>
      </c>
      <c r="J1858" t="str">
        <f t="shared" si="57"/>
        <v>Low Risk</v>
      </c>
    </row>
    <row r="1859" spans="1:10" x14ac:dyDescent="0.2">
      <c r="A1859" t="str">
        <f>'Claims Data'!A1859</f>
        <v>CLM01858</v>
      </c>
      <c r="B1859" t="str">
        <f>'Claims Data'!B1859</f>
        <v>PAT0122</v>
      </c>
      <c r="C1859" t="str">
        <f>'Claims Data'!C1859</f>
        <v>PRV0052</v>
      </c>
      <c r="D1859" s="1">
        <f>'Claims Data'!D1859</f>
        <v>45290</v>
      </c>
      <c r="E1859">
        <f>'Claims Data'!H1859</f>
        <v>3.4</v>
      </c>
      <c r="F1859">
        <f>'Claims Data'!J1859</f>
        <v>172.41</v>
      </c>
      <c r="G1859">
        <f>'Claims Data'!M1859</f>
        <v>0</v>
      </c>
      <c r="H1859" t="b">
        <f>'Claims Data'!L1859</f>
        <v>0</v>
      </c>
      <c r="I1859">
        <f t="shared" ref="I1859:I1922" si="58">IF(E1859&gt;16,40,0)+IF(MOD(F1859,250)=0,30,0)+IF(H1859=TRUE,10,0)</f>
        <v>0</v>
      </c>
      <c r="J1859" t="str">
        <f t="shared" ref="J1859:J1922" si="59">IF(I1859&gt;=70,"High Risk",IF(I1859&gt;=30,"Medium Risk","Low Risk"))</f>
        <v>Low Risk</v>
      </c>
    </row>
    <row r="1860" spans="1:10" x14ac:dyDescent="0.2">
      <c r="A1860" t="str">
        <f>'Claims Data'!A1860</f>
        <v>CLM01859</v>
      </c>
      <c r="B1860" t="str">
        <f>'Claims Data'!B1860</f>
        <v>PAT0103</v>
      </c>
      <c r="C1860" t="str">
        <f>'Claims Data'!C1860</f>
        <v>PRV0016</v>
      </c>
      <c r="D1860" s="1">
        <f>'Claims Data'!D1860</f>
        <v>45422</v>
      </c>
      <c r="E1860">
        <f>'Claims Data'!H1860</f>
        <v>2.4</v>
      </c>
      <c r="F1860">
        <f>'Claims Data'!J1860</f>
        <v>113.93</v>
      </c>
      <c r="G1860">
        <f>'Claims Data'!M1860</f>
        <v>0</v>
      </c>
      <c r="H1860" t="b">
        <f>'Claims Data'!L1860</f>
        <v>0</v>
      </c>
      <c r="I1860">
        <f t="shared" si="58"/>
        <v>0</v>
      </c>
      <c r="J1860" t="str">
        <f t="shared" si="59"/>
        <v>Low Risk</v>
      </c>
    </row>
    <row r="1861" spans="1:10" x14ac:dyDescent="0.2">
      <c r="A1861" t="str">
        <f>'Claims Data'!A1861</f>
        <v>CLM01860</v>
      </c>
      <c r="B1861" t="str">
        <f>'Claims Data'!B1861</f>
        <v>PAT0182</v>
      </c>
      <c r="C1861" t="str">
        <f>'Claims Data'!C1861</f>
        <v>PRV0043</v>
      </c>
      <c r="D1861" s="1">
        <f>'Claims Data'!D1861</f>
        <v>45023</v>
      </c>
      <c r="E1861">
        <f>'Claims Data'!H1861</f>
        <v>2.9</v>
      </c>
      <c r="F1861">
        <f>'Claims Data'!J1861</f>
        <v>108.06</v>
      </c>
      <c r="G1861">
        <f>'Claims Data'!M1861</f>
        <v>0</v>
      </c>
      <c r="H1861" t="b">
        <f>'Claims Data'!L1861</f>
        <v>0</v>
      </c>
      <c r="I1861">
        <f t="shared" si="58"/>
        <v>0</v>
      </c>
      <c r="J1861" t="str">
        <f t="shared" si="59"/>
        <v>Low Risk</v>
      </c>
    </row>
    <row r="1862" spans="1:10" x14ac:dyDescent="0.2">
      <c r="A1862" t="str">
        <f>'Claims Data'!A1862</f>
        <v>CLM01861</v>
      </c>
      <c r="B1862" t="str">
        <f>'Claims Data'!B1862</f>
        <v>PAT0097</v>
      </c>
      <c r="C1862" t="str">
        <f>'Claims Data'!C1862</f>
        <v>PRV0020</v>
      </c>
      <c r="D1862" s="1">
        <f>'Claims Data'!D1862</f>
        <v>45443</v>
      </c>
      <c r="E1862">
        <f>'Claims Data'!H1862</f>
        <v>7.5</v>
      </c>
      <c r="F1862">
        <f>'Claims Data'!J1862</f>
        <v>456.63</v>
      </c>
      <c r="G1862">
        <f>'Claims Data'!M1862</f>
        <v>0</v>
      </c>
      <c r="H1862" t="b">
        <f>'Claims Data'!L1862</f>
        <v>0</v>
      </c>
      <c r="I1862">
        <f t="shared" si="58"/>
        <v>0</v>
      </c>
      <c r="J1862" t="str">
        <f t="shared" si="59"/>
        <v>Low Risk</v>
      </c>
    </row>
    <row r="1863" spans="1:10" x14ac:dyDescent="0.2">
      <c r="A1863" t="str">
        <f>'Claims Data'!A1863</f>
        <v>CLM01862</v>
      </c>
      <c r="B1863" t="str">
        <f>'Claims Data'!B1863</f>
        <v>PAT0251</v>
      </c>
      <c r="C1863" t="str">
        <f>'Claims Data'!C1863</f>
        <v>PRV0060</v>
      </c>
      <c r="D1863" s="1">
        <f>'Claims Data'!D1863</f>
        <v>45114</v>
      </c>
      <c r="E1863">
        <f>'Claims Data'!H1863</f>
        <v>2.8</v>
      </c>
      <c r="F1863">
        <f>'Claims Data'!J1863</f>
        <v>123.35</v>
      </c>
      <c r="G1863">
        <f>'Claims Data'!M1863</f>
        <v>0</v>
      </c>
      <c r="H1863" t="b">
        <f>'Claims Data'!L1863</f>
        <v>0</v>
      </c>
      <c r="I1863">
        <f t="shared" si="58"/>
        <v>0</v>
      </c>
      <c r="J1863" t="str">
        <f t="shared" si="59"/>
        <v>Low Risk</v>
      </c>
    </row>
    <row r="1864" spans="1:10" x14ac:dyDescent="0.2">
      <c r="A1864" t="str">
        <f>'Claims Data'!A1864</f>
        <v>CLM01863</v>
      </c>
      <c r="B1864" t="str">
        <f>'Claims Data'!B1864</f>
        <v>PAT0227</v>
      </c>
      <c r="C1864" t="str">
        <f>'Claims Data'!C1864</f>
        <v>PRV0023</v>
      </c>
      <c r="D1864" s="1">
        <f>'Claims Data'!D1864</f>
        <v>45474</v>
      </c>
      <c r="E1864">
        <f>'Claims Data'!H1864</f>
        <v>5.9</v>
      </c>
      <c r="F1864">
        <f>'Claims Data'!J1864</f>
        <v>249.61</v>
      </c>
      <c r="G1864" t="str">
        <f>'Claims Data'!M1864</f>
        <v>duplicate_claim</v>
      </c>
      <c r="H1864" t="b">
        <f>'Claims Data'!L1864</f>
        <v>1</v>
      </c>
      <c r="I1864">
        <f t="shared" si="58"/>
        <v>10</v>
      </c>
      <c r="J1864" t="str">
        <f t="shared" si="59"/>
        <v>Low Risk</v>
      </c>
    </row>
    <row r="1865" spans="1:10" x14ac:dyDescent="0.2">
      <c r="A1865" t="str">
        <f>'Claims Data'!A1865</f>
        <v>CLM01864</v>
      </c>
      <c r="B1865" t="str">
        <f>'Claims Data'!B1865</f>
        <v>PAT0248</v>
      </c>
      <c r="C1865" t="str">
        <f>'Claims Data'!C1865</f>
        <v>PRV0014</v>
      </c>
      <c r="D1865" s="1">
        <f>'Claims Data'!D1865</f>
        <v>45333</v>
      </c>
      <c r="E1865">
        <f>'Claims Data'!H1865</f>
        <v>7.1</v>
      </c>
      <c r="F1865">
        <f>'Claims Data'!J1865</f>
        <v>318.62</v>
      </c>
      <c r="G1865">
        <f>'Claims Data'!M1865</f>
        <v>0</v>
      </c>
      <c r="H1865" t="b">
        <f>'Claims Data'!L1865</f>
        <v>0</v>
      </c>
      <c r="I1865">
        <f t="shared" si="58"/>
        <v>0</v>
      </c>
      <c r="J1865" t="str">
        <f t="shared" si="59"/>
        <v>Low Risk</v>
      </c>
    </row>
    <row r="1866" spans="1:10" x14ac:dyDescent="0.2">
      <c r="A1866" t="str">
        <f>'Claims Data'!A1866</f>
        <v>CLM01865</v>
      </c>
      <c r="B1866" t="str">
        <f>'Claims Data'!B1866</f>
        <v>PAT0164</v>
      </c>
      <c r="C1866" t="str">
        <f>'Claims Data'!C1866</f>
        <v>PRV0035</v>
      </c>
      <c r="D1866" s="1">
        <f>'Claims Data'!D1866</f>
        <v>45578</v>
      </c>
      <c r="E1866">
        <f>'Claims Data'!H1866</f>
        <v>5.2</v>
      </c>
      <c r="F1866">
        <f>'Claims Data'!J1866</f>
        <v>412.87</v>
      </c>
      <c r="G1866">
        <f>'Claims Data'!M1866</f>
        <v>0</v>
      </c>
      <c r="H1866" t="b">
        <f>'Claims Data'!L1866</f>
        <v>0</v>
      </c>
      <c r="I1866">
        <f t="shared" si="58"/>
        <v>0</v>
      </c>
      <c r="J1866" t="str">
        <f t="shared" si="59"/>
        <v>Low Risk</v>
      </c>
    </row>
    <row r="1867" spans="1:10" x14ac:dyDescent="0.2">
      <c r="A1867" t="str">
        <f>'Claims Data'!A1867</f>
        <v>CLM01866</v>
      </c>
      <c r="B1867" t="str">
        <f>'Claims Data'!B1867</f>
        <v>PAT0092</v>
      </c>
      <c r="C1867" t="str">
        <f>'Claims Data'!C1867</f>
        <v>PRV0012</v>
      </c>
      <c r="D1867" s="1">
        <f>'Claims Data'!D1867</f>
        <v>45170</v>
      </c>
      <c r="E1867">
        <f>'Claims Data'!H1867</f>
        <v>23.2</v>
      </c>
      <c r="F1867">
        <f>'Claims Data'!J1867</f>
        <v>1549.3</v>
      </c>
      <c r="G1867" t="str">
        <f>'Claims Data'!M1867</f>
        <v>inflated_hours</v>
      </c>
      <c r="H1867" t="b">
        <f>'Claims Data'!L1867</f>
        <v>1</v>
      </c>
      <c r="I1867">
        <f t="shared" si="58"/>
        <v>50</v>
      </c>
      <c r="J1867" t="str">
        <f t="shared" si="59"/>
        <v>Medium Risk</v>
      </c>
    </row>
    <row r="1868" spans="1:10" x14ac:dyDescent="0.2">
      <c r="A1868" t="str">
        <f>'Claims Data'!A1868</f>
        <v>CLM01867</v>
      </c>
      <c r="B1868" t="str">
        <f>'Claims Data'!B1868</f>
        <v>PAT0012</v>
      </c>
      <c r="C1868" t="str">
        <f>'Claims Data'!C1868</f>
        <v>PRV0059</v>
      </c>
      <c r="D1868" s="1">
        <f>'Claims Data'!D1868</f>
        <v>45101</v>
      </c>
      <c r="E1868">
        <f>'Claims Data'!H1868</f>
        <v>5.0999999999999996</v>
      </c>
      <c r="F1868">
        <f>'Claims Data'!J1868</f>
        <v>183.66</v>
      </c>
      <c r="G1868">
        <f>'Claims Data'!M1868</f>
        <v>0</v>
      </c>
      <c r="H1868" t="b">
        <f>'Claims Data'!L1868</f>
        <v>0</v>
      </c>
      <c r="I1868">
        <f t="shared" si="58"/>
        <v>0</v>
      </c>
      <c r="J1868" t="str">
        <f t="shared" si="59"/>
        <v>Low Risk</v>
      </c>
    </row>
    <row r="1869" spans="1:10" x14ac:dyDescent="0.2">
      <c r="A1869" t="str">
        <f>'Claims Data'!A1869</f>
        <v>CLM01868</v>
      </c>
      <c r="B1869" t="str">
        <f>'Claims Data'!B1869</f>
        <v>PAT0150</v>
      </c>
      <c r="C1869" t="str">
        <f>'Claims Data'!C1869</f>
        <v>PRV0055</v>
      </c>
      <c r="D1869" s="1">
        <f>'Claims Data'!D1869</f>
        <v>45337</v>
      </c>
      <c r="E1869">
        <f>'Claims Data'!H1869</f>
        <v>2.4</v>
      </c>
      <c r="F1869">
        <f>'Claims Data'!J1869</f>
        <v>130.80000000000001</v>
      </c>
      <c r="G1869">
        <f>'Claims Data'!M1869</f>
        <v>0</v>
      </c>
      <c r="H1869" t="b">
        <f>'Claims Data'!L1869</f>
        <v>0</v>
      </c>
      <c r="I1869">
        <f t="shared" si="58"/>
        <v>0</v>
      </c>
      <c r="J1869" t="str">
        <f t="shared" si="59"/>
        <v>Low Risk</v>
      </c>
    </row>
    <row r="1870" spans="1:10" x14ac:dyDescent="0.2">
      <c r="A1870" t="str">
        <f>'Claims Data'!A1870</f>
        <v>CLM01869</v>
      </c>
      <c r="B1870" t="str">
        <f>'Claims Data'!B1870</f>
        <v>PAT0249</v>
      </c>
      <c r="C1870" t="str">
        <f>'Claims Data'!C1870</f>
        <v>PRV0003</v>
      </c>
      <c r="D1870" s="1">
        <f>'Claims Data'!D1870</f>
        <v>45328</v>
      </c>
      <c r="E1870">
        <f>'Claims Data'!H1870</f>
        <v>5.8</v>
      </c>
      <c r="F1870">
        <f>'Claims Data'!J1870</f>
        <v>194.25</v>
      </c>
      <c r="G1870">
        <f>'Claims Data'!M1870</f>
        <v>0</v>
      </c>
      <c r="H1870" t="b">
        <f>'Claims Data'!L1870</f>
        <v>0</v>
      </c>
      <c r="I1870">
        <f t="shared" si="58"/>
        <v>0</v>
      </c>
      <c r="J1870" t="str">
        <f t="shared" si="59"/>
        <v>Low Risk</v>
      </c>
    </row>
    <row r="1871" spans="1:10" x14ac:dyDescent="0.2">
      <c r="A1871" t="str">
        <f>'Claims Data'!A1871</f>
        <v>CLM01870</v>
      </c>
      <c r="B1871" t="str">
        <f>'Claims Data'!B1871</f>
        <v>PAT0094</v>
      </c>
      <c r="C1871" t="str">
        <f>'Claims Data'!C1871</f>
        <v>PRV0020</v>
      </c>
      <c r="D1871" s="1">
        <f>'Claims Data'!D1871</f>
        <v>45595</v>
      </c>
      <c r="E1871">
        <f>'Claims Data'!H1871</f>
        <v>2.6</v>
      </c>
      <c r="F1871">
        <f>'Claims Data'!J1871</f>
        <v>157.44999999999999</v>
      </c>
      <c r="G1871">
        <f>'Claims Data'!M1871</f>
        <v>0</v>
      </c>
      <c r="H1871" t="b">
        <f>'Claims Data'!L1871</f>
        <v>0</v>
      </c>
      <c r="I1871">
        <f t="shared" si="58"/>
        <v>0</v>
      </c>
      <c r="J1871" t="str">
        <f t="shared" si="59"/>
        <v>Low Risk</v>
      </c>
    </row>
    <row r="1872" spans="1:10" x14ac:dyDescent="0.2">
      <c r="A1872" t="str">
        <f>'Claims Data'!A1872</f>
        <v>CLM01871</v>
      </c>
      <c r="B1872" t="str">
        <f>'Claims Data'!B1872</f>
        <v>PAT0238</v>
      </c>
      <c r="C1872" t="str">
        <f>'Claims Data'!C1872</f>
        <v>PRV0019</v>
      </c>
      <c r="D1872" s="1">
        <f>'Claims Data'!D1872</f>
        <v>45417</v>
      </c>
      <c r="E1872">
        <f>'Claims Data'!H1872</f>
        <v>9.9</v>
      </c>
      <c r="F1872">
        <f>'Claims Data'!J1872</f>
        <v>500</v>
      </c>
      <c r="G1872" t="str">
        <f>'Claims Data'!M1872</f>
        <v>phantom_round_amount</v>
      </c>
      <c r="H1872" t="b">
        <f>'Claims Data'!L1872</f>
        <v>1</v>
      </c>
      <c r="I1872">
        <f t="shared" si="58"/>
        <v>40</v>
      </c>
      <c r="J1872" t="str">
        <f t="shared" si="59"/>
        <v>Medium Risk</v>
      </c>
    </row>
    <row r="1873" spans="1:10" x14ac:dyDescent="0.2">
      <c r="A1873" t="str">
        <f>'Claims Data'!A1873</f>
        <v>CLM01872</v>
      </c>
      <c r="B1873" t="str">
        <f>'Claims Data'!B1873</f>
        <v>PAT0290</v>
      </c>
      <c r="C1873" t="str">
        <f>'Claims Data'!C1873</f>
        <v>PRV0001</v>
      </c>
      <c r="D1873" s="1">
        <f>'Claims Data'!D1873</f>
        <v>45122</v>
      </c>
      <c r="E1873">
        <f>'Claims Data'!H1873</f>
        <v>40.700000000000003</v>
      </c>
      <c r="F1873">
        <f>'Claims Data'!J1873</f>
        <v>1500</v>
      </c>
      <c r="G1873" t="str">
        <f>'Claims Data'!M1873</f>
        <v>phantom_round_amount</v>
      </c>
      <c r="H1873" t="b">
        <f>'Claims Data'!L1873</f>
        <v>1</v>
      </c>
      <c r="I1873">
        <f t="shared" si="58"/>
        <v>80</v>
      </c>
      <c r="J1873" t="str">
        <f t="shared" si="59"/>
        <v>High Risk</v>
      </c>
    </row>
    <row r="1874" spans="1:10" x14ac:dyDescent="0.2">
      <c r="A1874" t="str">
        <f>'Claims Data'!A1874</f>
        <v>CLM01873</v>
      </c>
      <c r="B1874" t="str">
        <f>'Claims Data'!B1874</f>
        <v>PAT0224</v>
      </c>
      <c r="C1874" t="str">
        <f>'Claims Data'!C1874</f>
        <v>PRV0036</v>
      </c>
      <c r="D1874" s="1">
        <f>'Claims Data'!D1874</f>
        <v>45293</v>
      </c>
      <c r="E1874">
        <f>'Claims Data'!H1874</f>
        <v>5.6</v>
      </c>
      <c r="F1874">
        <f>'Claims Data'!J1874</f>
        <v>241.84</v>
      </c>
      <c r="G1874">
        <f>'Claims Data'!M1874</f>
        <v>0</v>
      </c>
      <c r="H1874" t="b">
        <f>'Claims Data'!L1874</f>
        <v>0</v>
      </c>
      <c r="I1874">
        <f t="shared" si="58"/>
        <v>0</v>
      </c>
      <c r="J1874" t="str">
        <f t="shared" si="59"/>
        <v>Low Risk</v>
      </c>
    </row>
    <row r="1875" spans="1:10" x14ac:dyDescent="0.2">
      <c r="A1875" t="str">
        <f>'Claims Data'!A1875</f>
        <v>CLM01874</v>
      </c>
      <c r="B1875" t="str">
        <f>'Claims Data'!B1875</f>
        <v>PAT0191</v>
      </c>
      <c r="C1875" t="str">
        <f>'Claims Data'!C1875</f>
        <v>PRV0026</v>
      </c>
      <c r="D1875" s="1">
        <f>'Claims Data'!D1875</f>
        <v>45212</v>
      </c>
      <c r="E1875">
        <f>'Claims Data'!H1875</f>
        <v>7.8</v>
      </c>
      <c r="F1875">
        <f>'Claims Data'!J1875</f>
        <v>289.26</v>
      </c>
      <c r="G1875">
        <f>'Claims Data'!M1875</f>
        <v>0</v>
      </c>
      <c r="H1875" t="b">
        <f>'Claims Data'!L1875</f>
        <v>0</v>
      </c>
      <c r="I1875">
        <f t="shared" si="58"/>
        <v>0</v>
      </c>
      <c r="J1875" t="str">
        <f t="shared" si="59"/>
        <v>Low Risk</v>
      </c>
    </row>
    <row r="1876" spans="1:10" x14ac:dyDescent="0.2">
      <c r="A1876" t="str">
        <f>'Claims Data'!A1876</f>
        <v>CLM01875</v>
      </c>
      <c r="B1876" t="str">
        <f>'Claims Data'!B1876</f>
        <v>PAT0160</v>
      </c>
      <c r="C1876" t="str">
        <f>'Claims Data'!C1876</f>
        <v>PRV0037</v>
      </c>
      <c r="D1876" s="1">
        <f>'Claims Data'!D1876</f>
        <v>45420</v>
      </c>
      <c r="E1876">
        <f>'Claims Data'!H1876</f>
        <v>7.7</v>
      </c>
      <c r="F1876">
        <f>'Claims Data'!J1876</f>
        <v>358.63</v>
      </c>
      <c r="G1876">
        <f>'Claims Data'!M1876</f>
        <v>0</v>
      </c>
      <c r="H1876" t="b">
        <f>'Claims Data'!L1876</f>
        <v>0</v>
      </c>
      <c r="I1876">
        <f t="shared" si="58"/>
        <v>0</v>
      </c>
      <c r="J1876" t="str">
        <f t="shared" si="59"/>
        <v>Low Risk</v>
      </c>
    </row>
    <row r="1877" spans="1:10" x14ac:dyDescent="0.2">
      <c r="A1877" t="str">
        <f>'Claims Data'!A1877</f>
        <v>CLM01876</v>
      </c>
      <c r="B1877" t="str">
        <f>'Claims Data'!B1877</f>
        <v>PAT0202</v>
      </c>
      <c r="C1877" t="str">
        <f>'Claims Data'!C1877</f>
        <v>PRV0031</v>
      </c>
      <c r="D1877" s="1">
        <f>'Claims Data'!D1877</f>
        <v>45623</v>
      </c>
      <c r="E1877">
        <f>'Claims Data'!H1877</f>
        <v>4.8</v>
      </c>
      <c r="F1877">
        <f>'Claims Data'!J1877</f>
        <v>241.74</v>
      </c>
      <c r="G1877">
        <f>'Claims Data'!M1877</f>
        <v>0</v>
      </c>
      <c r="H1877" t="b">
        <f>'Claims Data'!L1877</f>
        <v>0</v>
      </c>
      <c r="I1877">
        <f t="shared" si="58"/>
        <v>0</v>
      </c>
      <c r="J1877" t="str">
        <f t="shared" si="59"/>
        <v>Low Risk</v>
      </c>
    </row>
    <row r="1878" spans="1:10" x14ac:dyDescent="0.2">
      <c r="A1878" t="str">
        <f>'Claims Data'!A1878</f>
        <v>CLM01877</v>
      </c>
      <c r="B1878" t="str">
        <f>'Claims Data'!B1878</f>
        <v>PAT0039</v>
      </c>
      <c r="C1878" t="str">
        <f>'Claims Data'!C1878</f>
        <v>PRV0049</v>
      </c>
      <c r="D1878" s="1">
        <f>'Claims Data'!D1878</f>
        <v>44990</v>
      </c>
      <c r="E1878">
        <f>'Claims Data'!H1878</f>
        <v>6.6</v>
      </c>
      <c r="F1878">
        <f>'Claims Data'!J1878</f>
        <v>489.56</v>
      </c>
      <c r="G1878">
        <f>'Claims Data'!M1878</f>
        <v>0</v>
      </c>
      <c r="H1878" t="b">
        <f>'Claims Data'!L1878</f>
        <v>0</v>
      </c>
      <c r="I1878">
        <f t="shared" si="58"/>
        <v>0</v>
      </c>
      <c r="J1878" t="str">
        <f t="shared" si="59"/>
        <v>Low Risk</v>
      </c>
    </row>
    <row r="1879" spans="1:10" x14ac:dyDescent="0.2">
      <c r="A1879" t="str">
        <f>'Claims Data'!A1879</f>
        <v>CLM01878</v>
      </c>
      <c r="B1879" t="str">
        <f>'Claims Data'!B1879</f>
        <v>PAT0097</v>
      </c>
      <c r="C1879" t="str">
        <f>'Claims Data'!C1879</f>
        <v>PRV0053</v>
      </c>
      <c r="D1879" s="1">
        <f>'Claims Data'!D1879</f>
        <v>45349</v>
      </c>
      <c r="E1879">
        <f>'Claims Data'!H1879</f>
        <v>6.6</v>
      </c>
      <c r="F1879">
        <f>'Claims Data'!J1879</f>
        <v>334.25</v>
      </c>
      <c r="G1879">
        <f>'Claims Data'!M1879</f>
        <v>0</v>
      </c>
      <c r="H1879" t="b">
        <f>'Claims Data'!L1879</f>
        <v>0</v>
      </c>
      <c r="I1879">
        <f t="shared" si="58"/>
        <v>0</v>
      </c>
      <c r="J1879" t="str">
        <f t="shared" si="59"/>
        <v>Low Risk</v>
      </c>
    </row>
    <row r="1880" spans="1:10" x14ac:dyDescent="0.2">
      <c r="A1880" t="str">
        <f>'Claims Data'!A1880</f>
        <v>CLM01879</v>
      </c>
      <c r="B1880" t="str">
        <f>'Claims Data'!B1880</f>
        <v>PAT0277</v>
      </c>
      <c r="C1880" t="str">
        <f>'Claims Data'!C1880</f>
        <v>PRV0048</v>
      </c>
      <c r="D1880" s="1">
        <f>'Claims Data'!D1880</f>
        <v>45265</v>
      </c>
      <c r="E1880">
        <f>'Claims Data'!H1880</f>
        <v>5.6</v>
      </c>
      <c r="F1880">
        <f>'Claims Data'!J1880</f>
        <v>191.34</v>
      </c>
      <c r="G1880">
        <f>'Claims Data'!M1880</f>
        <v>0</v>
      </c>
      <c r="H1880" t="b">
        <f>'Claims Data'!L1880</f>
        <v>0</v>
      </c>
      <c r="I1880">
        <f t="shared" si="58"/>
        <v>0</v>
      </c>
      <c r="J1880" t="str">
        <f t="shared" si="59"/>
        <v>Low Risk</v>
      </c>
    </row>
    <row r="1881" spans="1:10" x14ac:dyDescent="0.2">
      <c r="A1881" t="str">
        <f>'Claims Data'!A1881</f>
        <v>CLM01880</v>
      </c>
      <c r="B1881" t="str">
        <f>'Claims Data'!B1881</f>
        <v>PAT0001</v>
      </c>
      <c r="C1881" t="str">
        <f>'Claims Data'!C1881</f>
        <v>PRV0051</v>
      </c>
      <c r="D1881" s="1">
        <f>'Claims Data'!D1881</f>
        <v>45115</v>
      </c>
      <c r="E1881">
        <f>'Claims Data'!H1881</f>
        <v>3.5</v>
      </c>
      <c r="F1881">
        <f>'Claims Data'!J1881</f>
        <v>184.87</v>
      </c>
      <c r="G1881">
        <f>'Claims Data'!M1881</f>
        <v>0</v>
      </c>
      <c r="H1881" t="b">
        <f>'Claims Data'!L1881</f>
        <v>0</v>
      </c>
      <c r="I1881">
        <f t="shared" si="58"/>
        <v>0</v>
      </c>
      <c r="J1881" t="str">
        <f t="shared" si="59"/>
        <v>Low Risk</v>
      </c>
    </row>
    <row r="1882" spans="1:10" x14ac:dyDescent="0.2">
      <c r="A1882" t="str">
        <f>'Claims Data'!A1882</f>
        <v>CLM01881</v>
      </c>
      <c r="B1882" t="str">
        <f>'Claims Data'!B1882</f>
        <v>PAT0223</v>
      </c>
      <c r="C1882" t="str">
        <f>'Claims Data'!C1882</f>
        <v>PRV0001</v>
      </c>
      <c r="D1882" s="1">
        <f>'Claims Data'!D1882</f>
        <v>45297</v>
      </c>
      <c r="E1882">
        <f>'Claims Data'!H1882</f>
        <v>18.5</v>
      </c>
      <c r="F1882">
        <f>'Claims Data'!J1882</f>
        <v>1135.1600000000001</v>
      </c>
      <c r="G1882" t="str">
        <f>'Claims Data'!M1882</f>
        <v>inflated_hours</v>
      </c>
      <c r="H1882" t="b">
        <f>'Claims Data'!L1882</f>
        <v>1</v>
      </c>
      <c r="I1882">
        <f t="shared" si="58"/>
        <v>50</v>
      </c>
      <c r="J1882" t="str">
        <f t="shared" si="59"/>
        <v>Medium Risk</v>
      </c>
    </row>
    <row r="1883" spans="1:10" x14ac:dyDescent="0.2">
      <c r="A1883" t="str">
        <f>'Claims Data'!A1883</f>
        <v>CLM01882</v>
      </c>
      <c r="B1883" t="str">
        <f>'Claims Data'!B1883</f>
        <v>PAT0138</v>
      </c>
      <c r="C1883" t="str">
        <f>'Claims Data'!C1883</f>
        <v>PRV0010</v>
      </c>
      <c r="D1883" s="1">
        <f>'Claims Data'!D1883</f>
        <v>45221</v>
      </c>
      <c r="E1883">
        <f>'Claims Data'!H1883</f>
        <v>2.8</v>
      </c>
      <c r="F1883">
        <f>'Claims Data'!J1883</f>
        <v>148.84</v>
      </c>
      <c r="G1883">
        <f>'Claims Data'!M1883</f>
        <v>0</v>
      </c>
      <c r="H1883" t="b">
        <f>'Claims Data'!L1883</f>
        <v>0</v>
      </c>
      <c r="I1883">
        <f t="shared" si="58"/>
        <v>0</v>
      </c>
      <c r="J1883" t="str">
        <f t="shared" si="59"/>
        <v>Low Risk</v>
      </c>
    </row>
    <row r="1884" spans="1:10" x14ac:dyDescent="0.2">
      <c r="A1884" t="str">
        <f>'Claims Data'!A1884</f>
        <v>CLM01883</v>
      </c>
      <c r="B1884" t="str">
        <f>'Claims Data'!B1884</f>
        <v>PAT0178</v>
      </c>
      <c r="C1884" t="str">
        <f>'Claims Data'!C1884</f>
        <v>PRV0045</v>
      </c>
      <c r="D1884" s="1">
        <f>'Claims Data'!D1884</f>
        <v>45192</v>
      </c>
      <c r="E1884">
        <f>'Claims Data'!H1884</f>
        <v>2</v>
      </c>
      <c r="F1884">
        <f>'Claims Data'!J1884</f>
        <v>153.4</v>
      </c>
      <c r="G1884">
        <f>'Claims Data'!M1884</f>
        <v>0</v>
      </c>
      <c r="H1884" t="b">
        <f>'Claims Data'!L1884</f>
        <v>0</v>
      </c>
      <c r="I1884">
        <f t="shared" si="58"/>
        <v>0</v>
      </c>
      <c r="J1884" t="str">
        <f t="shared" si="59"/>
        <v>Low Risk</v>
      </c>
    </row>
    <row r="1885" spans="1:10" x14ac:dyDescent="0.2">
      <c r="A1885" t="str">
        <f>'Claims Data'!A1885</f>
        <v>CLM01884</v>
      </c>
      <c r="B1885" t="str">
        <f>'Claims Data'!B1885</f>
        <v>PAT0152</v>
      </c>
      <c r="C1885" t="str">
        <f>'Claims Data'!C1885</f>
        <v>PRV0001</v>
      </c>
      <c r="D1885" s="1">
        <f>'Claims Data'!D1885</f>
        <v>44967</v>
      </c>
      <c r="E1885">
        <f>'Claims Data'!H1885</f>
        <v>4.9000000000000004</v>
      </c>
      <c r="F1885">
        <f>'Claims Data'!J1885</f>
        <v>394.65</v>
      </c>
      <c r="G1885">
        <f>'Claims Data'!M1885</f>
        <v>0</v>
      </c>
      <c r="H1885" t="b">
        <f>'Claims Data'!L1885</f>
        <v>0</v>
      </c>
      <c r="I1885">
        <f t="shared" si="58"/>
        <v>0</v>
      </c>
      <c r="J1885" t="str">
        <f t="shared" si="59"/>
        <v>Low Risk</v>
      </c>
    </row>
    <row r="1886" spans="1:10" x14ac:dyDescent="0.2">
      <c r="A1886" t="str">
        <f>'Claims Data'!A1886</f>
        <v>CLM01885</v>
      </c>
      <c r="B1886" t="str">
        <f>'Claims Data'!B1886</f>
        <v>PAT0164</v>
      </c>
      <c r="C1886" t="str">
        <f>'Claims Data'!C1886</f>
        <v>PRV0015</v>
      </c>
      <c r="D1886" s="1">
        <f>'Claims Data'!D1886</f>
        <v>45294</v>
      </c>
      <c r="E1886">
        <f>'Claims Data'!H1886</f>
        <v>4.3</v>
      </c>
      <c r="F1886">
        <f>'Claims Data'!J1886</f>
        <v>186.92</v>
      </c>
      <c r="G1886">
        <f>'Claims Data'!M1886</f>
        <v>0</v>
      </c>
      <c r="H1886" t="b">
        <f>'Claims Data'!L1886</f>
        <v>0</v>
      </c>
      <c r="I1886">
        <f t="shared" si="58"/>
        <v>0</v>
      </c>
      <c r="J1886" t="str">
        <f t="shared" si="59"/>
        <v>Low Risk</v>
      </c>
    </row>
    <row r="1887" spans="1:10" x14ac:dyDescent="0.2">
      <c r="A1887" t="str">
        <f>'Claims Data'!A1887</f>
        <v>CLM01886</v>
      </c>
      <c r="B1887" t="str">
        <f>'Claims Data'!B1887</f>
        <v>PAT0224</v>
      </c>
      <c r="C1887" t="str">
        <f>'Claims Data'!C1887</f>
        <v>PRV0032</v>
      </c>
      <c r="D1887" s="1">
        <f>'Claims Data'!D1887</f>
        <v>45464</v>
      </c>
      <c r="E1887">
        <f>'Claims Data'!H1887</f>
        <v>27.4</v>
      </c>
      <c r="F1887">
        <f>'Claims Data'!J1887</f>
        <v>750</v>
      </c>
      <c r="G1887" t="str">
        <f>'Claims Data'!M1887</f>
        <v>phantom_round_amount</v>
      </c>
      <c r="H1887" t="b">
        <f>'Claims Data'!L1887</f>
        <v>1</v>
      </c>
      <c r="I1887">
        <f t="shared" si="58"/>
        <v>80</v>
      </c>
      <c r="J1887" t="str">
        <f t="shared" si="59"/>
        <v>High Risk</v>
      </c>
    </row>
    <row r="1888" spans="1:10" x14ac:dyDescent="0.2">
      <c r="A1888" t="str">
        <f>'Claims Data'!A1888</f>
        <v>CLM01887</v>
      </c>
      <c r="B1888" t="str">
        <f>'Claims Data'!B1888</f>
        <v>PAT0144</v>
      </c>
      <c r="C1888" t="str">
        <f>'Claims Data'!C1888</f>
        <v>PRV0049</v>
      </c>
      <c r="D1888" s="1">
        <f>'Claims Data'!D1888</f>
        <v>45057</v>
      </c>
      <c r="E1888">
        <f>'Claims Data'!H1888</f>
        <v>7.6</v>
      </c>
      <c r="F1888">
        <f>'Claims Data'!J1888</f>
        <v>264.04000000000002</v>
      </c>
      <c r="G1888">
        <f>'Claims Data'!M1888</f>
        <v>0</v>
      </c>
      <c r="H1888" t="b">
        <f>'Claims Data'!L1888</f>
        <v>0</v>
      </c>
      <c r="I1888">
        <f t="shared" si="58"/>
        <v>0</v>
      </c>
      <c r="J1888" t="str">
        <f t="shared" si="59"/>
        <v>Low Risk</v>
      </c>
    </row>
    <row r="1889" spans="1:10" x14ac:dyDescent="0.2">
      <c r="A1889" t="str">
        <f>'Claims Data'!A1889</f>
        <v>CLM01888</v>
      </c>
      <c r="B1889" t="str">
        <f>'Claims Data'!B1889</f>
        <v>PAT0249</v>
      </c>
      <c r="C1889" t="str">
        <f>'Claims Data'!C1889</f>
        <v>PRV0007</v>
      </c>
      <c r="D1889" s="1">
        <f>'Claims Data'!D1889</f>
        <v>45262</v>
      </c>
      <c r="E1889">
        <f>'Claims Data'!H1889</f>
        <v>6.6</v>
      </c>
      <c r="F1889">
        <f>'Claims Data'!J1889</f>
        <v>462.62</v>
      </c>
      <c r="G1889">
        <f>'Claims Data'!M1889</f>
        <v>0</v>
      </c>
      <c r="H1889" t="b">
        <f>'Claims Data'!L1889</f>
        <v>0</v>
      </c>
      <c r="I1889">
        <f t="shared" si="58"/>
        <v>0</v>
      </c>
      <c r="J1889" t="str">
        <f t="shared" si="59"/>
        <v>Low Risk</v>
      </c>
    </row>
    <row r="1890" spans="1:10" x14ac:dyDescent="0.2">
      <c r="A1890" t="str">
        <f>'Claims Data'!A1890</f>
        <v>CLM01889</v>
      </c>
      <c r="B1890" t="str">
        <f>'Claims Data'!B1890</f>
        <v>PAT0193</v>
      </c>
      <c r="C1890" t="str">
        <f>'Claims Data'!C1890</f>
        <v>PRV0045</v>
      </c>
      <c r="D1890" s="1">
        <f>'Claims Data'!D1890</f>
        <v>45412</v>
      </c>
      <c r="E1890">
        <f>'Claims Data'!H1890</f>
        <v>5.8</v>
      </c>
      <c r="F1890">
        <f>'Claims Data'!J1890</f>
        <v>273.13</v>
      </c>
      <c r="G1890">
        <f>'Claims Data'!M1890</f>
        <v>0</v>
      </c>
      <c r="H1890" t="b">
        <f>'Claims Data'!L1890</f>
        <v>0</v>
      </c>
      <c r="I1890">
        <f t="shared" si="58"/>
        <v>0</v>
      </c>
      <c r="J1890" t="str">
        <f t="shared" si="59"/>
        <v>Low Risk</v>
      </c>
    </row>
    <row r="1891" spans="1:10" x14ac:dyDescent="0.2">
      <c r="A1891" t="str">
        <f>'Claims Data'!A1891</f>
        <v>CLM01890</v>
      </c>
      <c r="B1891" t="str">
        <f>'Claims Data'!B1891</f>
        <v>PAT0083</v>
      </c>
      <c r="C1891" t="str">
        <f>'Claims Data'!C1891</f>
        <v>PRV0051</v>
      </c>
      <c r="D1891" s="1">
        <f>'Claims Data'!D1891</f>
        <v>45067</v>
      </c>
      <c r="E1891">
        <f>'Claims Data'!H1891</f>
        <v>7.6</v>
      </c>
      <c r="F1891">
        <f>'Claims Data'!J1891</f>
        <v>525.46</v>
      </c>
      <c r="G1891">
        <f>'Claims Data'!M1891</f>
        <v>0</v>
      </c>
      <c r="H1891" t="b">
        <f>'Claims Data'!L1891</f>
        <v>0</v>
      </c>
      <c r="I1891">
        <f t="shared" si="58"/>
        <v>0</v>
      </c>
      <c r="J1891" t="str">
        <f t="shared" si="59"/>
        <v>Low Risk</v>
      </c>
    </row>
    <row r="1892" spans="1:10" x14ac:dyDescent="0.2">
      <c r="A1892" t="str">
        <f>'Claims Data'!A1892</f>
        <v>CLM01891</v>
      </c>
      <c r="B1892" t="str">
        <f>'Claims Data'!B1892</f>
        <v>PAT0068</v>
      </c>
      <c r="C1892" t="str">
        <f>'Claims Data'!C1892</f>
        <v>PRV0045</v>
      </c>
      <c r="D1892" s="1">
        <f>'Claims Data'!D1892</f>
        <v>45519</v>
      </c>
      <c r="E1892">
        <f>'Claims Data'!H1892</f>
        <v>27.1</v>
      </c>
      <c r="F1892">
        <f>'Claims Data'!J1892</f>
        <v>2000</v>
      </c>
      <c r="G1892" t="str">
        <f>'Claims Data'!M1892</f>
        <v>phantom_round_amount</v>
      </c>
      <c r="H1892" t="b">
        <f>'Claims Data'!L1892</f>
        <v>1</v>
      </c>
      <c r="I1892">
        <f t="shared" si="58"/>
        <v>80</v>
      </c>
      <c r="J1892" t="str">
        <f t="shared" si="59"/>
        <v>High Risk</v>
      </c>
    </row>
    <row r="1893" spans="1:10" x14ac:dyDescent="0.2">
      <c r="A1893" t="str">
        <f>'Claims Data'!A1893</f>
        <v>CLM01892</v>
      </c>
      <c r="B1893" t="str">
        <f>'Claims Data'!B1893</f>
        <v>PAT0081</v>
      </c>
      <c r="C1893" t="str">
        <f>'Claims Data'!C1893</f>
        <v>PRV0027</v>
      </c>
      <c r="D1893" s="1">
        <f>'Claims Data'!D1893</f>
        <v>45333</v>
      </c>
      <c r="E1893">
        <f>'Claims Data'!H1893</f>
        <v>23.4</v>
      </c>
      <c r="F1893">
        <f>'Claims Data'!J1893</f>
        <v>1491.05</v>
      </c>
      <c r="G1893" t="str">
        <f>'Claims Data'!M1893</f>
        <v>inflated_hours</v>
      </c>
      <c r="H1893" t="b">
        <f>'Claims Data'!L1893</f>
        <v>1</v>
      </c>
      <c r="I1893">
        <f t="shared" si="58"/>
        <v>50</v>
      </c>
      <c r="J1893" t="str">
        <f t="shared" si="59"/>
        <v>Medium Risk</v>
      </c>
    </row>
    <row r="1894" spans="1:10" x14ac:dyDescent="0.2">
      <c r="A1894" t="str">
        <f>'Claims Data'!A1894</f>
        <v>CLM01893</v>
      </c>
      <c r="B1894" t="str">
        <f>'Claims Data'!B1894</f>
        <v>PAT0043</v>
      </c>
      <c r="C1894" t="str">
        <f>'Claims Data'!C1894</f>
        <v>PRV0022</v>
      </c>
      <c r="D1894" s="1">
        <f>'Claims Data'!D1894</f>
        <v>45215</v>
      </c>
      <c r="E1894">
        <f>'Claims Data'!H1894</f>
        <v>7.7</v>
      </c>
      <c r="F1894">
        <f>'Claims Data'!J1894</f>
        <v>260.58</v>
      </c>
      <c r="G1894">
        <f>'Claims Data'!M1894</f>
        <v>0</v>
      </c>
      <c r="H1894" t="b">
        <f>'Claims Data'!L1894</f>
        <v>0</v>
      </c>
      <c r="I1894">
        <f t="shared" si="58"/>
        <v>0</v>
      </c>
      <c r="J1894" t="str">
        <f t="shared" si="59"/>
        <v>Low Risk</v>
      </c>
    </row>
    <row r="1895" spans="1:10" x14ac:dyDescent="0.2">
      <c r="A1895" t="str">
        <f>'Claims Data'!A1895</f>
        <v>CLM01894</v>
      </c>
      <c r="B1895" t="str">
        <f>'Claims Data'!B1895</f>
        <v>PAT0023</v>
      </c>
      <c r="C1895" t="str">
        <f>'Claims Data'!C1895</f>
        <v>PRV0003</v>
      </c>
      <c r="D1895" s="1">
        <f>'Claims Data'!D1895</f>
        <v>44942</v>
      </c>
      <c r="E1895">
        <f>'Claims Data'!H1895</f>
        <v>2.1</v>
      </c>
      <c r="F1895">
        <f>'Claims Data'!J1895</f>
        <v>149.63999999999999</v>
      </c>
      <c r="G1895">
        <f>'Claims Data'!M1895</f>
        <v>0</v>
      </c>
      <c r="H1895" t="b">
        <f>'Claims Data'!L1895</f>
        <v>0</v>
      </c>
      <c r="I1895">
        <f t="shared" si="58"/>
        <v>0</v>
      </c>
      <c r="J1895" t="str">
        <f t="shared" si="59"/>
        <v>Low Risk</v>
      </c>
    </row>
    <row r="1896" spans="1:10" x14ac:dyDescent="0.2">
      <c r="A1896" t="str">
        <f>'Claims Data'!A1896</f>
        <v>CLM01895</v>
      </c>
      <c r="B1896" t="str">
        <f>'Claims Data'!B1896</f>
        <v>PAT0048</v>
      </c>
      <c r="C1896" t="str">
        <f>'Claims Data'!C1896</f>
        <v>PRV0013</v>
      </c>
      <c r="D1896" s="1">
        <f>'Claims Data'!D1896</f>
        <v>45254</v>
      </c>
      <c r="E1896">
        <f>'Claims Data'!H1896</f>
        <v>4.4000000000000004</v>
      </c>
      <c r="F1896">
        <f>'Claims Data'!J1896</f>
        <v>264.75</v>
      </c>
      <c r="G1896">
        <f>'Claims Data'!M1896</f>
        <v>0</v>
      </c>
      <c r="H1896" t="b">
        <f>'Claims Data'!L1896</f>
        <v>0</v>
      </c>
      <c r="I1896">
        <f t="shared" si="58"/>
        <v>0</v>
      </c>
      <c r="J1896" t="str">
        <f t="shared" si="59"/>
        <v>Low Risk</v>
      </c>
    </row>
    <row r="1897" spans="1:10" x14ac:dyDescent="0.2">
      <c r="A1897" t="str">
        <f>'Claims Data'!A1897</f>
        <v>CLM01896</v>
      </c>
      <c r="B1897" t="str">
        <f>'Claims Data'!B1897</f>
        <v>PAT0239</v>
      </c>
      <c r="C1897" t="str">
        <f>'Claims Data'!C1897</f>
        <v>PRV0005</v>
      </c>
      <c r="D1897" s="1">
        <f>'Claims Data'!D1897</f>
        <v>45260</v>
      </c>
      <c r="E1897">
        <f>'Claims Data'!H1897</f>
        <v>7.3</v>
      </c>
      <c r="F1897">
        <f>'Claims Data'!J1897</f>
        <v>255.13</v>
      </c>
      <c r="G1897" t="str">
        <f>'Claims Data'!M1897</f>
        <v>duplicate_claim</v>
      </c>
      <c r="H1897" t="b">
        <f>'Claims Data'!L1897</f>
        <v>1</v>
      </c>
      <c r="I1897">
        <f t="shared" si="58"/>
        <v>10</v>
      </c>
      <c r="J1897" t="str">
        <f t="shared" si="59"/>
        <v>Low Risk</v>
      </c>
    </row>
    <row r="1898" spans="1:10" x14ac:dyDescent="0.2">
      <c r="A1898" t="str">
        <f>'Claims Data'!A1898</f>
        <v>CLM01897</v>
      </c>
      <c r="B1898" t="str">
        <f>'Claims Data'!B1898</f>
        <v>PAT0024</v>
      </c>
      <c r="C1898" t="str">
        <f>'Claims Data'!C1898</f>
        <v>PRV0010</v>
      </c>
      <c r="D1898" s="1">
        <f>'Claims Data'!D1898</f>
        <v>45339</v>
      </c>
      <c r="E1898">
        <f>'Claims Data'!H1898</f>
        <v>6.2</v>
      </c>
      <c r="F1898">
        <f>'Claims Data'!J1898</f>
        <v>341.24</v>
      </c>
      <c r="G1898">
        <f>'Claims Data'!M1898</f>
        <v>0</v>
      </c>
      <c r="H1898" t="b">
        <f>'Claims Data'!L1898</f>
        <v>0</v>
      </c>
      <c r="I1898">
        <f t="shared" si="58"/>
        <v>0</v>
      </c>
      <c r="J1898" t="str">
        <f t="shared" si="59"/>
        <v>Low Risk</v>
      </c>
    </row>
    <row r="1899" spans="1:10" x14ac:dyDescent="0.2">
      <c r="A1899" t="str">
        <f>'Claims Data'!A1899</f>
        <v>CLM01898</v>
      </c>
      <c r="B1899" t="str">
        <f>'Claims Data'!B1899</f>
        <v>PAT0048</v>
      </c>
      <c r="C1899" t="str">
        <f>'Claims Data'!C1899</f>
        <v>PRV0056</v>
      </c>
      <c r="D1899" s="1">
        <f>'Claims Data'!D1899</f>
        <v>45129</v>
      </c>
      <c r="E1899">
        <f>'Claims Data'!H1899</f>
        <v>5.5</v>
      </c>
      <c r="F1899">
        <f>'Claims Data'!J1899</f>
        <v>379.7</v>
      </c>
      <c r="G1899">
        <f>'Claims Data'!M1899</f>
        <v>0</v>
      </c>
      <c r="H1899" t="b">
        <f>'Claims Data'!L1899</f>
        <v>0</v>
      </c>
      <c r="I1899">
        <f t="shared" si="58"/>
        <v>0</v>
      </c>
      <c r="J1899" t="str">
        <f t="shared" si="59"/>
        <v>Low Risk</v>
      </c>
    </row>
    <row r="1900" spans="1:10" x14ac:dyDescent="0.2">
      <c r="A1900" t="str">
        <f>'Claims Data'!A1900</f>
        <v>CLM01899</v>
      </c>
      <c r="B1900" t="str">
        <f>'Claims Data'!B1900</f>
        <v>PAT0165</v>
      </c>
      <c r="C1900" t="str">
        <f>'Claims Data'!C1900</f>
        <v>PRV0030</v>
      </c>
      <c r="D1900" s="1">
        <f>'Claims Data'!D1900</f>
        <v>45562</v>
      </c>
      <c r="E1900">
        <f>'Claims Data'!H1900</f>
        <v>2.7</v>
      </c>
      <c r="F1900">
        <f>'Claims Data'!J1900</f>
        <v>160.26</v>
      </c>
      <c r="G1900">
        <f>'Claims Data'!M1900</f>
        <v>0</v>
      </c>
      <c r="H1900" t="b">
        <f>'Claims Data'!L1900</f>
        <v>0</v>
      </c>
      <c r="I1900">
        <f t="shared" si="58"/>
        <v>0</v>
      </c>
      <c r="J1900" t="str">
        <f t="shared" si="59"/>
        <v>Low Risk</v>
      </c>
    </row>
    <row r="1901" spans="1:10" x14ac:dyDescent="0.2">
      <c r="A1901" t="str">
        <f>'Claims Data'!A1901</f>
        <v>CLM01900</v>
      </c>
      <c r="B1901" t="str">
        <f>'Claims Data'!B1901</f>
        <v>PAT0010</v>
      </c>
      <c r="C1901" t="str">
        <f>'Claims Data'!C1901</f>
        <v>PRV0032</v>
      </c>
      <c r="D1901" s="1">
        <f>'Claims Data'!D1901</f>
        <v>45463</v>
      </c>
      <c r="E1901">
        <f>'Claims Data'!H1901</f>
        <v>3.6</v>
      </c>
      <c r="F1901">
        <f>'Claims Data'!J1901</f>
        <v>135.26</v>
      </c>
      <c r="G1901">
        <f>'Claims Data'!M1901</f>
        <v>0</v>
      </c>
      <c r="H1901" t="b">
        <f>'Claims Data'!L1901</f>
        <v>0</v>
      </c>
      <c r="I1901">
        <f t="shared" si="58"/>
        <v>0</v>
      </c>
      <c r="J1901" t="str">
        <f t="shared" si="59"/>
        <v>Low Risk</v>
      </c>
    </row>
    <row r="1902" spans="1:10" x14ac:dyDescent="0.2">
      <c r="A1902" t="str">
        <f>'Claims Data'!A1902</f>
        <v>CLM01901</v>
      </c>
      <c r="B1902" t="str">
        <f>'Claims Data'!B1902</f>
        <v>PAT0235</v>
      </c>
      <c r="C1902" t="str">
        <f>'Claims Data'!C1902</f>
        <v>PRV0056</v>
      </c>
      <c r="D1902" s="1">
        <f>'Claims Data'!D1902</f>
        <v>44976</v>
      </c>
      <c r="E1902">
        <f>'Claims Data'!H1902</f>
        <v>6.2</v>
      </c>
      <c r="F1902">
        <f>'Claims Data'!J1902</f>
        <v>157.38999999999999</v>
      </c>
      <c r="G1902">
        <f>'Claims Data'!M1902</f>
        <v>0</v>
      </c>
      <c r="H1902" t="b">
        <f>'Claims Data'!L1902</f>
        <v>0</v>
      </c>
      <c r="I1902">
        <f t="shared" si="58"/>
        <v>0</v>
      </c>
      <c r="J1902" t="str">
        <f t="shared" si="59"/>
        <v>Low Risk</v>
      </c>
    </row>
    <row r="1903" spans="1:10" x14ac:dyDescent="0.2">
      <c r="A1903" t="str">
        <f>'Claims Data'!A1903</f>
        <v>CLM01902</v>
      </c>
      <c r="B1903" t="str">
        <f>'Claims Data'!B1903</f>
        <v>PAT0279</v>
      </c>
      <c r="C1903" t="str">
        <f>'Claims Data'!C1903</f>
        <v>PRV0004</v>
      </c>
      <c r="D1903" s="1">
        <f>'Claims Data'!D1903</f>
        <v>44996</v>
      </c>
      <c r="E1903">
        <f>'Claims Data'!H1903</f>
        <v>2</v>
      </c>
      <c r="F1903">
        <f>'Claims Data'!J1903</f>
        <v>58.38</v>
      </c>
      <c r="G1903">
        <f>'Claims Data'!M1903</f>
        <v>0</v>
      </c>
      <c r="H1903" t="b">
        <f>'Claims Data'!L1903</f>
        <v>0</v>
      </c>
      <c r="I1903">
        <f t="shared" si="58"/>
        <v>0</v>
      </c>
      <c r="J1903" t="str">
        <f t="shared" si="59"/>
        <v>Low Risk</v>
      </c>
    </row>
    <row r="1904" spans="1:10" x14ac:dyDescent="0.2">
      <c r="A1904" t="str">
        <f>'Claims Data'!A1904</f>
        <v>CLM01903</v>
      </c>
      <c r="B1904" t="str">
        <f>'Claims Data'!B1904</f>
        <v>PAT0106</v>
      </c>
      <c r="C1904" t="str">
        <f>'Claims Data'!C1904</f>
        <v>PRV0036</v>
      </c>
      <c r="D1904" s="1">
        <f>'Claims Data'!D1904</f>
        <v>44927</v>
      </c>
      <c r="E1904">
        <f>'Claims Data'!H1904</f>
        <v>38.9</v>
      </c>
      <c r="F1904">
        <f>'Claims Data'!J1904</f>
        <v>2500</v>
      </c>
      <c r="G1904" t="str">
        <f>'Claims Data'!M1904</f>
        <v>phantom_round_amount</v>
      </c>
      <c r="H1904" t="b">
        <f>'Claims Data'!L1904</f>
        <v>1</v>
      </c>
      <c r="I1904">
        <f t="shared" si="58"/>
        <v>80</v>
      </c>
      <c r="J1904" t="str">
        <f t="shared" si="59"/>
        <v>High Risk</v>
      </c>
    </row>
    <row r="1905" spans="1:10" x14ac:dyDescent="0.2">
      <c r="A1905" t="str">
        <f>'Claims Data'!A1905</f>
        <v>CLM01904</v>
      </c>
      <c r="B1905" t="str">
        <f>'Claims Data'!B1905</f>
        <v>PAT0034</v>
      </c>
      <c r="C1905" t="str">
        <f>'Claims Data'!C1905</f>
        <v>PRV0024</v>
      </c>
      <c r="D1905" s="1">
        <f>'Claims Data'!D1905</f>
        <v>45000</v>
      </c>
      <c r="E1905">
        <f>'Claims Data'!H1905</f>
        <v>20.5</v>
      </c>
      <c r="F1905">
        <f>'Claims Data'!J1905</f>
        <v>973.34</v>
      </c>
      <c r="G1905" t="str">
        <f>'Claims Data'!M1905</f>
        <v>inflated_hours</v>
      </c>
      <c r="H1905" t="b">
        <f>'Claims Data'!L1905</f>
        <v>1</v>
      </c>
      <c r="I1905">
        <f t="shared" si="58"/>
        <v>50</v>
      </c>
      <c r="J1905" t="str">
        <f t="shared" si="59"/>
        <v>Medium Risk</v>
      </c>
    </row>
    <row r="1906" spans="1:10" x14ac:dyDescent="0.2">
      <c r="A1906" t="str">
        <f>'Claims Data'!A1906</f>
        <v>CLM01905</v>
      </c>
      <c r="B1906" t="str">
        <f>'Claims Data'!B1906</f>
        <v>PAT0031</v>
      </c>
      <c r="C1906" t="str">
        <f>'Claims Data'!C1906</f>
        <v>PRV0040</v>
      </c>
      <c r="D1906" s="1">
        <f>'Claims Data'!D1906</f>
        <v>45445</v>
      </c>
      <c r="E1906">
        <f>'Claims Data'!H1906</f>
        <v>3.2</v>
      </c>
      <c r="F1906">
        <f>'Claims Data'!J1906</f>
        <v>114.94</v>
      </c>
      <c r="G1906">
        <f>'Claims Data'!M1906</f>
        <v>0</v>
      </c>
      <c r="H1906" t="b">
        <f>'Claims Data'!L1906</f>
        <v>0</v>
      </c>
      <c r="I1906">
        <f t="shared" si="58"/>
        <v>0</v>
      </c>
      <c r="J1906" t="str">
        <f t="shared" si="59"/>
        <v>Low Risk</v>
      </c>
    </row>
    <row r="1907" spans="1:10" x14ac:dyDescent="0.2">
      <c r="A1907" t="str">
        <f>'Claims Data'!A1907</f>
        <v>CLM01906</v>
      </c>
      <c r="B1907" t="str">
        <f>'Claims Data'!B1907</f>
        <v>PAT0175</v>
      </c>
      <c r="C1907" t="str">
        <f>'Claims Data'!C1907</f>
        <v>PRV0042</v>
      </c>
      <c r="D1907" s="1">
        <f>'Claims Data'!D1907</f>
        <v>45282</v>
      </c>
      <c r="E1907">
        <f>'Claims Data'!H1907</f>
        <v>26.5</v>
      </c>
      <c r="F1907">
        <f>'Claims Data'!J1907</f>
        <v>1000</v>
      </c>
      <c r="G1907" t="str">
        <f>'Claims Data'!M1907</f>
        <v>phantom_round_amount</v>
      </c>
      <c r="H1907" t="b">
        <f>'Claims Data'!L1907</f>
        <v>1</v>
      </c>
      <c r="I1907">
        <f t="shared" si="58"/>
        <v>80</v>
      </c>
      <c r="J1907" t="str">
        <f t="shared" si="59"/>
        <v>High Risk</v>
      </c>
    </row>
    <row r="1908" spans="1:10" x14ac:dyDescent="0.2">
      <c r="A1908" t="str">
        <f>'Claims Data'!A1908</f>
        <v>CLM01907</v>
      </c>
      <c r="B1908" t="str">
        <f>'Claims Data'!B1908</f>
        <v>PAT0136</v>
      </c>
      <c r="C1908" t="str">
        <f>'Claims Data'!C1908</f>
        <v>PRV0012</v>
      </c>
      <c r="D1908" s="1">
        <f>'Claims Data'!D1908</f>
        <v>45075</v>
      </c>
      <c r="E1908">
        <f>'Claims Data'!H1908</f>
        <v>6.5</v>
      </c>
      <c r="F1908">
        <f>'Claims Data'!J1908</f>
        <v>478.08</v>
      </c>
      <c r="G1908">
        <f>'Claims Data'!M1908</f>
        <v>0</v>
      </c>
      <c r="H1908" t="b">
        <f>'Claims Data'!L1908</f>
        <v>0</v>
      </c>
      <c r="I1908">
        <f t="shared" si="58"/>
        <v>0</v>
      </c>
      <c r="J1908" t="str">
        <f t="shared" si="59"/>
        <v>Low Risk</v>
      </c>
    </row>
    <row r="1909" spans="1:10" x14ac:dyDescent="0.2">
      <c r="A1909" t="str">
        <f>'Claims Data'!A1909</f>
        <v>CLM01908</v>
      </c>
      <c r="B1909" t="str">
        <f>'Claims Data'!B1909</f>
        <v>PAT0073</v>
      </c>
      <c r="C1909" t="str">
        <f>'Claims Data'!C1909</f>
        <v>PRV0047</v>
      </c>
      <c r="D1909" s="1">
        <f>'Claims Data'!D1909</f>
        <v>45426</v>
      </c>
      <c r="E1909">
        <f>'Claims Data'!H1909</f>
        <v>7.9</v>
      </c>
      <c r="F1909">
        <f>'Claims Data'!J1909</f>
        <v>610.65</v>
      </c>
      <c r="G1909">
        <f>'Claims Data'!M1909</f>
        <v>0</v>
      </c>
      <c r="H1909" t="b">
        <f>'Claims Data'!L1909</f>
        <v>0</v>
      </c>
      <c r="I1909">
        <f t="shared" si="58"/>
        <v>0</v>
      </c>
      <c r="J1909" t="str">
        <f t="shared" si="59"/>
        <v>Low Risk</v>
      </c>
    </row>
    <row r="1910" spans="1:10" x14ac:dyDescent="0.2">
      <c r="A1910" t="str">
        <f>'Claims Data'!A1910</f>
        <v>CLM01909</v>
      </c>
      <c r="B1910" t="str">
        <f>'Claims Data'!B1910</f>
        <v>PAT0105</v>
      </c>
      <c r="C1910" t="str">
        <f>'Claims Data'!C1910</f>
        <v>PRV0007</v>
      </c>
      <c r="D1910" s="1">
        <f>'Claims Data'!D1910</f>
        <v>44948</v>
      </c>
      <c r="E1910">
        <f>'Claims Data'!H1910</f>
        <v>7.2</v>
      </c>
      <c r="F1910">
        <f>'Claims Data'!J1910</f>
        <v>251.77</v>
      </c>
      <c r="G1910">
        <f>'Claims Data'!M1910</f>
        <v>0</v>
      </c>
      <c r="H1910" t="b">
        <f>'Claims Data'!L1910</f>
        <v>0</v>
      </c>
      <c r="I1910">
        <f t="shared" si="58"/>
        <v>0</v>
      </c>
      <c r="J1910" t="str">
        <f t="shared" si="59"/>
        <v>Low Risk</v>
      </c>
    </row>
    <row r="1911" spans="1:10" x14ac:dyDescent="0.2">
      <c r="A1911" t="str">
        <f>'Claims Data'!A1911</f>
        <v>CLM01910</v>
      </c>
      <c r="B1911" t="str">
        <f>'Claims Data'!B1911</f>
        <v>PAT0296</v>
      </c>
      <c r="C1911" t="str">
        <f>'Claims Data'!C1911</f>
        <v>PRV0018</v>
      </c>
      <c r="D1911" s="1">
        <f>'Claims Data'!D1911</f>
        <v>45187</v>
      </c>
      <c r="E1911">
        <f>'Claims Data'!H1911</f>
        <v>19.8</v>
      </c>
      <c r="F1911">
        <f>'Claims Data'!J1911</f>
        <v>823.88</v>
      </c>
      <c r="G1911" t="str">
        <f>'Claims Data'!M1911</f>
        <v>inflated_hours</v>
      </c>
      <c r="H1911" t="b">
        <f>'Claims Data'!L1911</f>
        <v>1</v>
      </c>
      <c r="I1911">
        <f t="shared" si="58"/>
        <v>50</v>
      </c>
      <c r="J1911" t="str">
        <f t="shared" si="59"/>
        <v>Medium Risk</v>
      </c>
    </row>
    <row r="1912" spans="1:10" x14ac:dyDescent="0.2">
      <c r="A1912" t="str">
        <f>'Claims Data'!A1912</f>
        <v>CLM01911</v>
      </c>
      <c r="B1912" t="str">
        <f>'Claims Data'!B1912</f>
        <v>PAT0015</v>
      </c>
      <c r="C1912" t="str">
        <f>'Claims Data'!C1912</f>
        <v>PRV0037</v>
      </c>
      <c r="D1912" s="1">
        <f>'Claims Data'!D1912</f>
        <v>45405</v>
      </c>
      <c r="E1912">
        <f>'Claims Data'!H1912</f>
        <v>5.5</v>
      </c>
      <c r="F1912">
        <f>'Claims Data'!J1912</f>
        <v>295.20999999999998</v>
      </c>
      <c r="G1912">
        <f>'Claims Data'!M1912</f>
        <v>0</v>
      </c>
      <c r="H1912" t="b">
        <f>'Claims Data'!L1912</f>
        <v>0</v>
      </c>
      <c r="I1912">
        <f t="shared" si="58"/>
        <v>0</v>
      </c>
      <c r="J1912" t="str">
        <f t="shared" si="59"/>
        <v>Low Risk</v>
      </c>
    </row>
    <row r="1913" spans="1:10" x14ac:dyDescent="0.2">
      <c r="A1913" t="str">
        <f>'Claims Data'!A1913</f>
        <v>CLM01912</v>
      </c>
      <c r="B1913" t="str">
        <f>'Claims Data'!B1913</f>
        <v>PAT0180</v>
      </c>
      <c r="C1913" t="str">
        <f>'Claims Data'!C1913</f>
        <v>PRV0053</v>
      </c>
      <c r="D1913" s="1">
        <f>'Claims Data'!D1913</f>
        <v>45352</v>
      </c>
      <c r="E1913">
        <f>'Claims Data'!H1913</f>
        <v>61</v>
      </c>
      <c r="F1913">
        <f>'Claims Data'!J1913</f>
        <v>2500</v>
      </c>
      <c r="G1913" t="str">
        <f>'Claims Data'!M1913</f>
        <v>phantom_round_amount</v>
      </c>
      <c r="H1913" t="b">
        <f>'Claims Data'!L1913</f>
        <v>1</v>
      </c>
      <c r="I1913">
        <f t="shared" si="58"/>
        <v>80</v>
      </c>
      <c r="J1913" t="str">
        <f t="shared" si="59"/>
        <v>High Risk</v>
      </c>
    </row>
    <row r="1914" spans="1:10" x14ac:dyDescent="0.2">
      <c r="A1914" t="str">
        <f>'Claims Data'!A1914</f>
        <v>CLM01913</v>
      </c>
      <c r="B1914" t="str">
        <f>'Claims Data'!B1914</f>
        <v>PAT0002</v>
      </c>
      <c r="C1914" t="str">
        <f>'Claims Data'!C1914</f>
        <v>PRV0008</v>
      </c>
      <c r="D1914" s="1">
        <f>'Claims Data'!D1914</f>
        <v>45408</v>
      </c>
      <c r="E1914">
        <f>'Claims Data'!H1914</f>
        <v>2.6</v>
      </c>
      <c r="F1914">
        <f>'Claims Data'!J1914</f>
        <v>146.47999999999999</v>
      </c>
      <c r="G1914">
        <f>'Claims Data'!M1914</f>
        <v>0</v>
      </c>
      <c r="H1914" t="b">
        <f>'Claims Data'!L1914</f>
        <v>0</v>
      </c>
      <c r="I1914">
        <f t="shared" si="58"/>
        <v>0</v>
      </c>
      <c r="J1914" t="str">
        <f t="shared" si="59"/>
        <v>Low Risk</v>
      </c>
    </row>
    <row r="1915" spans="1:10" x14ac:dyDescent="0.2">
      <c r="A1915" t="str">
        <f>'Claims Data'!A1915</f>
        <v>CLM01914</v>
      </c>
      <c r="B1915" t="str">
        <f>'Claims Data'!B1915</f>
        <v>PAT0101</v>
      </c>
      <c r="C1915" t="str">
        <f>'Claims Data'!C1915</f>
        <v>PRV0005</v>
      </c>
      <c r="D1915" s="1">
        <f>'Claims Data'!D1915</f>
        <v>45473</v>
      </c>
      <c r="E1915">
        <f>'Claims Data'!H1915</f>
        <v>5.6</v>
      </c>
      <c r="F1915">
        <f>'Claims Data'!J1915</f>
        <v>471.6</v>
      </c>
      <c r="G1915">
        <f>'Claims Data'!M1915</f>
        <v>0</v>
      </c>
      <c r="H1915" t="b">
        <f>'Claims Data'!L1915</f>
        <v>0</v>
      </c>
      <c r="I1915">
        <f t="shared" si="58"/>
        <v>0</v>
      </c>
      <c r="J1915" t="str">
        <f t="shared" si="59"/>
        <v>Low Risk</v>
      </c>
    </row>
    <row r="1916" spans="1:10" x14ac:dyDescent="0.2">
      <c r="A1916" t="str">
        <f>'Claims Data'!A1916</f>
        <v>CLM01915</v>
      </c>
      <c r="B1916" t="str">
        <f>'Claims Data'!B1916</f>
        <v>PAT0232</v>
      </c>
      <c r="C1916" t="str">
        <f>'Claims Data'!C1916</f>
        <v>PRV0012</v>
      </c>
      <c r="D1916" s="1">
        <f>'Claims Data'!D1916</f>
        <v>44957</v>
      </c>
      <c r="E1916">
        <f>'Claims Data'!H1916</f>
        <v>4.8</v>
      </c>
      <c r="F1916">
        <f>'Claims Data'!J1916</f>
        <v>217.06</v>
      </c>
      <c r="G1916">
        <f>'Claims Data'!M1916</f>
        <v>0</v>
      </c>
      <c r="H1916" t="b">
        <f>'Claims Data'!L1916</f>
        <v>0</v>
      </c>
      <c r="I1916">
        <f t="shared" si="58"/>
        <v>0</v>
      </c>
      <c r="J1916" t="str">
        <f t="shared" si="59"/>
        <v>Low Risk</v>
      </c>
    </row>
    <row r="1917" spans="1:10" x14ac:dyDescent="0.2">
      <c r="A1917" t="str">
        <f>'Claims Data'!A1917</f>
        <v>CLM01916</v>
      </c>
      <c r="B1917" t="str">
        <f>'Claims Data'!B1917</f>
        <v>PAT0071</v>
      </c>
      <c r="C1917" t="str">
        <f>'Claims Data'!C1917</f>
        <v>PRV0028</v>
      </c>
      <c r="D1917" s="1">
        <f>'Claims Data'!D1917</f>
        <v>45598</v>
      </c>
      <c r="E1917">
        <f>'Claims Data'!H1917</f>
        <v>25.5</v>
      </c>
      <c r="F1917">
        <f>'Claims Data'!J1917</f>
        <v>2000</v>
      </c>
      <c r="G1917" t="str">
        <f>'Claims Data'!M1917</f>
        <v>phantom_round_amount</v>
      </c>
      <c r="H1917" t="b">
        <f>'Claims Data'!L1917</f>
        <v>1</v>
      </c>
      <c r="I1917">
        <f t="shared" si="58"/>
        <v>80</v>
      </c>
      <c r="J1917" t="str">
        <f t="shared" si="59"/>
        <v>High Risk</v>
      </c>
    </row>
    <row r="1918" spans="1:10" x14ac:dyDescent="0.2">
      <c r="A1918" t="str">
        <f>'Claims Data'!A1918</f>
        <v>CLM01917</v>
      </c>
      <c r="B1918" t="str">
        <f>'Claims Data'!B1918</f>
        <v>PAT0233</v>
      </c>
      <c r="C1918" t="str">
        <f>'Claims Data'!C1918</f>
        <v>PRV0040</v>
      </c>
      <c r="D1918" s="1">
        <f>'Claims Data'!D1918</f>
        <v>45218</v>
      </c>
      <c r="E1918">
        <f>'Claims Data'!H1918</f>
        <v>7.6</v>
      </c>
      <c r="F1918">
        <f>'Claims Data'!J1918</f>
        <v>493.28</v>
      </c>
      <c r="G1918">
        <f>'Claims Data'!M1918</f>
        <v>0</v>
      </c>
      <c r="H1918" t="b">
        <f>'Claims Data'!L1918</f>
        <v>0</v>
      </c>
      <c r="I1918">
        <f t="shared" si="58"/>
        <v>0</v>
      </c>
      <c r="J1918" t="str">
        <f t="shared" si="59"/>
        <v>Low Risk</v>
      </c>
    </row>
    <row r="1919" spans="1:10" x14ac:dyDescent="0.2">
      <c r="A1919" t="str">
        <f>'Claims Data'!A1919</f>
        <v>CLM01918</v>
      </c>
      <c r="B1919" t="str">
        <f>'Claims Data'!B1919</f>
        <v>PAT0220</v>
      </c>
      <c r="C1919" t="str">
        <f>'Claims Data'!C1919</f>
        <v>PRV0053</v>
      </c>
      <c r="D1919" s="1">
        <f>'Claims Data'!D1919</f>
        <v>44984</v>
      </c>
      <c r="E1919">
        <f>'Claims Data'!H1919</f>
        <v>7.9</v>
      </c>
      <c r="F1919">
        <f>'Claims Data'!J1919</f>
        <v>611.34</v>
      </c>
      <c r="G1919">
        <f>'Claims Data'!M1919</f>
        <v>0</v>
      </c>
      <c r="H1919" t="b">
        <f>'Claims Data'!L1919</f>
        <v>0</v>
      </c>
      <c r="I1919">
        <f t="shared" si="58"/>
        <v>0</v>
      </c>
      <c r="J1919" t="str">
        <f t="shared" si="59"/>
        <v>Low Risk</v>
      </c>
    </row>
    <row r="1920" spans="1:10" x14ac:dyDescent="0.2">
      <c r="A1920" t="str">
        <f>'Claims Data'!A1920</f>
        <v>CLM01919</v>
      </c>
      <c r="B1920" t="str">
        <f>'Claims Data'!B1920</f>
        <v>PAT0143</v>
      </c>
      <c r="C1920" t="str">
        <f>'Claims Data'!C1920</f>
        <v>PRV0034</v>
      </c>
      <c r="D1920" s="1">
        <f>'Claims Data'!D1920</f>
        <v>45483</v>
      </c>
      <c r="E1920">
        <f>'Claims Data'!H1920</f>
        <v>4.7</v>
      </c>
      <c r="F1920">
        <f>'Claims Data'!J1920</f>
        <v>314.42</v>
      </c>
      <c r="G1920">
        <f>'Claims Data'!M1920</f>
        <v>0</v>
      </c>
      <c r="H1920" t="b">
        <f>'Claims Data'!L1920</f>
        <v>0</v>
      </c>
      <c r="I1920">
        <f t="shared" si="58"/>
        <v>0</v>
      </c>
      <c r="J1920" t="str">
        <f t="shared" si="59"/>
        <v>Low Risk</v>
      </c>
    </row>
    <row r="1921" spans="1:10" x14ac:dyDescent="0.2">
      <c r="A1921" t="str">
        <f>'Claims Data'!A1921</f>
        <v>CLM01920</v>
      </c>
      <c r="B1921" t="str">
        <f>'Claims Data'!B1921</f>
        <v>PAT0298</v>
      </c>
      <c r="C1921" t="str">
        <f>'Claims Data'!C1921</f>
        <v>PRV0029</v>
      </c>
      <c r="D1921" s="1">
        <f>'Claims Data'!D1921</f>
        <v>45179</v>
      </c>
      <c r="E1921">
        <f>'Claims Data'!H1921</f>
        <v>2.2000000000000002</v>
      </c>
      <c r="F1921">
        <f>'Claims Data'!J1921</f>
        <v>71.22</v>
      </c>
      <c r="G1921">
        <f>'Claims Data'!M1921</f>
        <v>0</v>
      </c>
      <c r="H1921" t="b">
        <f>'Claims Data'!L1921</f>
        <v>0</v>
      </c>
      <c r="I1921">
        <f t="shared" si="58"/>
        <v>0</v>
      </c>
      <c r="J1921" t="str">
        <f t="shared" si="59"/>
        <v>Low Risk</v>
      </c>
    </row>
    <row r="1922" spans="1:10" x14ac:dyDescent="0.2">
      <c r="A1922" t="str">
        <f>'Claims Data'!A1922</f>
        <v>CLM01921</v>
      </c>
      <c r="B1922" t="str">
        <f>'Claims Data'!B1922</f>
        <v>PAT0226</v>
      </c>
      <c r="C1922" t="str">
        <f>'Claims Data'!C1922</f>
        <v>PRV0016</v>
      </c>
      <c r="D1922" s="1">
        <f>'Claims Data'!D1922</f>
        <v>45079</v>
      </c>
      <c r="E1922">
        <f>'Claims Data'!H1922</f>
        <v>7.7</v>
      </c>
      <c r="F1922">
        <f>'Claims Data'!J1922</f>
        <v>539.66999999999996</v>
      </c>
      <c r="G1922">
        <f>'Claims Data'!M1922</f>
        <v>0</v>
      </c>
      <c r="H1922" t="b">
        <f>'Claims Data'!L1922</f>
        <v>0</v>
      </c>
      <c r="I1922">
        <f t="shared" si="58"/>
        <v>0</v>
      </c>
      <c r="J1922" t="str">
        <f t="shared" si="59"/>
        <v>Low Risk</v>
      </c>
    </row>
    <row r="1923" spans="1:10" x14ac:dyDescent="0.2">
      <c r="A1923" t="str">
        <f>'Claims Data'!A1923</f>
        <v>CLM01922</v>
      </c>
      <c r="B1923" t="str">
        <f>'Claims Data'!B1923</f>
        <v>PAT0201</v>
      </c>
      <c r="C1923" t="str">
        <f>'Claims Data'!C1923</f>
        <v>PRV0010</v>
      </c>
      <c r="D1923" s="1">
        <f>'Claims Data'!D1923</f>
        <v>45351</v>
      </c>
      <c r="E1923">
        <f>'Claims Data'!H1923</f>
        <v>4.7</v>
      </c>
      <c r="F1923">
        <f>'Claims Data'!J1923</f>
        <v>311</v>
      </c>
      <c r="G1923">
        <f>'Claims Data'!M1923</f>
        <v>0</v>
      </c>
      <c r="H1923" t="b">
        <f>'Claims Data'!L1923</f>
        <v>0</v>
      </c>
      <c r="I1923">
        <f t="shared" ref="I1923:I1986" si="60">IF(E1923&gt;16,40,0)+IF(MOD(F1923,250)=0,30,0)+IF(H1923=TRUE,10,0)</f>
        <v>0</v>
      </c>
      <c r="J1923" t="str">
        <f t="shared" ref="J1923:J1986" si="61">IF(I1923&gt;=70,"High Risk",IF(I1923&gt;=30,"Medium Risk","Low Risk"))</f>
        <v>Low Risk</v>
      </c>
    </row>
    <row r="1924" spans="1:10" x14ac:dyDescent="0.2">
      <c r="A1924" t="str">
        <f>'Claims Data'!A1924</f>
        <v>CLM01923</v>
      </c>
      <c r="B1924" t="str">
        <f>'Claims Data'!B1924</f>
        <v>PAT0121</v>
      </c>
      <c r="C1924" t="str">
        <f>'Claims Data'!C1924</f>
        <v>PRV0037</v>
      </c>
      <c r="D1924" s="1">
        <f>'Claims Data'!D1924</f>
        <v>45029</v>
      </c>
      <c r="E1924">
        <f>'Claims Data'!H1924</f>
        <v>6</v>
      </c>
      <c r="F1924">
        <f>'Claims Data'!J1924</f>
        <v>151.13</v>
      </c>
      <c r="G1924">
        <f>'Claims Data'!M1924</f>
        <v>0</v>
      </c>
      <c r="H1924" t="b">
        <f>'Claims Data'!L1924</f>
        <v>0</v>
      </c>
      <c r="I1924">
        <f t="shared" si="60"/>
        <v>0</v>
      </c>
      <c r="J1924" t="str">
        <f t="shared" si="61"/>
        <v>Low Risk</v>
      </c>
    </row>
    <row r="1925" spans="1:10" x14ac:dyDescent="0.2">
      <c r="A1925" t="str">
        <f>'Claims Data'!A1925</f>
        <v>CLM01924</v>
      </c>
      <c r="B1925" t="str">
        <f>'Claims Data'!B1925</f>
        <v>PAT0249</v>
      </c>
      <c r="C1925" t="str">
        <f>'Claims Data'!C1925</f>
        <v>PRV0027</v>
      </c>
      <c r="D1925" s="1">
        <f>'Claims Data'!D1925</f>
        <v>45218</v>
      </c>
      <c r="E1925">
        <f>'Claims Data'!H1925</f>
        <v>2.1</v>
      </c>
      <c r="F1925">
        <f>'Claims Data'!J1925</f>
        <v>97.89</v>
      </c>
      <c r="G1925">
        <f>'Claims Data'!M1925</f>
        <v>0</v>
      </c>
      <c r="H1925" t="b">
        <f>'Claims Data'!L1925</f>
        <v>0</v>
      </c>
      <c r="I1925">
        <f t="shared" si="60"/>
        <v>0</v>
      </c>
      <c r="J1925" t="str">
        <f t="shared" si="61"/>
        <v>Low Risk</v>
      </c>
    </row>
    <row r="1926" spans="1:10" x14ac:dyDescent="0.2">
      <c r="A1926" t="str">
        <f>'Claims Data'!A1926</f>
        <v>CLM01925</v>
      </c>
      <c r="B1926" t="str">
        <f>'Claims Data'!B1926</f>
        <v>PAT0255</v>
      </c>
      <c r="C1926" t="str">
        <f>'Claims Data'!C1926</f>
        <v>PRV0045</v>
      </c>
      <c r="D1926" s="1">
        <f>'Claims Data'!D1926</f>
        <v>45338</v>
      </c>
      <c r="E1926">
        <f>'Claims Data'!H1926</f>
        <v>6.1</v>
      </c>
      <c r="F1926">
        <f>'Claims Data'!J1926</f>
        <v>237.98</v>
      </c>
      <c r="G1926">
        <f>'Claims Data'!M1926</f>
        <v>0</v>
      </c>
      <c r="H1926" t="b">
        <f>'Claims Data'!L1926</f>
        <v>0</v>
      </c>
      <c r="I1926">
        <f t="shared" si="60"/>
        <v>0</v>
      </c>
      <c r="J1926" t="str">
        <f t="shared" si="61"/>
        <v>Low Risk</v>
      </c>
    </row>
    <row r="1927" spans="1:10" x14ac:dyDescent="0.2">
      <c r="A1927" t="str">
        <f>'Claims Data'!A1927</f>
        <v>CLM01926</v>
      </c>
      <c r="B1927" t="str">
        <f>'Claims Data'!B1927</f>
        <v>PAT0162</v>
      </c>
      <c r="C1927" t="str">
        <f>'Claims Data'!C1927</f>
        <v>PRV0037</v>
      </c>
      <c r="D1927" s="1">
        <f>'Claims Data'!D1927</f>
        <v>45313</v>
      </c>
      <c r="E1927">
        <f>'Claims Data'!H1927</f>
        <v>6.4</v>
      </c>
      <c r="F1927">
        <f>'Claims Data'!J1927</f>
        <v>464.88</v>
      </c>
      <c r="G1927">
        <f>'Claims Data'!M1927</f>
        <v>0</v>
      </c>
      <c r="H1927" t="b">
        <f>'Claims Data'!L1927</f>
        <v>0</v>
      </c>
      <c r="I1927">
        <f t="shared" si="60"/>
        <v>0</v>
      </c>
      <c r="J1927" t="str">
        <f t="shared" si="61"/>
        <v>Low Risk</v>
      </c>
    </row>
    <row r="1928" spans="1:10" x14ac:dyDescent="0.2">
      <c r="A1928" t="str">
        <f>'Claims Data'!A1928</f>
        <v>CLM01927</v>
      </c>
      <c r="B1928" t="str">
        <f>'Claims Data'!B1928</f>
        <v>PAT0129</v>
      </c>
      <c r="C1928" t="str">
        <f>'Claims Data'!C1928</f>
        <v>PRV0020</v>
      </c>
      <c r="D1928" s="1">
        <f>'Claims Data'!D1928</f>
        <v>45271</v>
      </c>
      <c r="E1928">
        <f>'Claims Data'!H1928</f>
        <v>7.6</v>
      </c>
      <c r="F1928">
        <f>'Claims Data'!J1928</f>
        <v>619.30999999999995</v>
      </c>
      <c r="G1928">
        <f>'Claims Data'!M1928</f>
        <v>0</v>
      </c>
      <c r="H1928" t="b">
        <f>'Claims Data'!L1928</f>
        <v>0</v>
      </c>
      <c r="I1928">
        <f t="shared" si="60"/>
        <v>0</v>
      </c>
      <c r="J1928" t="str">
        <f t="shared" si="61"/>
        <v>Low Risk</v>
      </c>
    </row>
    <row r="1929" spans="1:10" x14ac:dyDescent="0.2">
      <c r="A1929" t="str">
        <f>'Claims Data'!A1929</f>
        <v>CLM01928</v>
      </c>
      <c r="B1929" t="str">
        <f>'Claims Data'!B1929</f>
        <v>PAT0276</v>
      </c>
      <c r="C1929" t="str">
        <f>'Claims Data'!C1929</f>
        <v>PRV0018</v>
      </c>
      <c r="D1929" s="1">
        <f>'Claims Data'!D1929</f>
        <v>45016</v>
      </c>
      <c r="E1929">
        <f>'Claims Data'!H1929</f>
        <v>6.4</v>
      </c>
      <c r="F1929">
        <f>'Claims Data'!J1929</f>
        <v>272.83999999999997</v>
      </c>
      <c r="G1929">
        <f>'Claims Data'!M1929</f>
        <v>0</v>
      </c>
      <c r="H1929" t="b">
        <f>'Claims Data'!L1929</f>
        <v>0</v>
      </c>
      <c r="I1929">
        <f t="shared" si="60"/>
        <v>0</v>
      </c>
      <c r="J1929" t="str">
        <f t="shared" si="61"/>
        <v>Low Risk</v>
      </c>
    </row>
    <row r="1930" spans="1:10" x14ac:dyDescent="0.2">
      <c r="A1930" t="str">
        <f>'Claims Data'!A1930</f>
        <v>CLM01929</v>
      </c>
      <c r="B1930" t="str">
        <f>'Claims Data'!B1930</f>
        <v>PAT0204</v>
      </c>
      <c r="C1930" t="str">
        <f>'Claims Data'!C1930</f>
        <v>PRV0011</v>
      </c>
      <c r="D1930" s="1">
        <f>'Claims Data'!D1930</f>
        <v>45431</v>
      </c>
      <c r="E1930">
        <f>'Claims Data'!H1930</f>
        <v>22.2</v>
      </c>
      <c r="F1930">
        <f>'Claims Data'!J1930</f>
        <v>1722.05</v>
      </c>
      <c r="G1930" t="str">
        <f>'Claims Data'!M1930</f>
        <v>inflated_hours</v>
      </c>
      <c r="H1930" t="b">
        <f>'Claims Data'!L1930</f>
        <v>1</v>
      </c>
      <c r="I1930">
        <f t="shared" si="60"/>
        <v>50</v>
      </c>
      <c r="J1930" t="str">
        <f t="shared" si="61"/>
        <v>Medium Risk</v>
      </c>
    </row>
    <row r="1931" spans="1:10" x14ac:dyDescent="0.2">
      <c r="A1931" t="str">
        <f>'Claims Data'!A1931</f>
        <v>CLM01930</v>
      </c>
      <c r="B1931" t="str">
        <f>'Claims Data'!B1931</f>
        <v>PAT0193</v>
      </c>
      <c r="C1931" t="str">
        <f>'Claims Data'!C1931</f>
        <v>PRV0023</v>
      </c>
      <c r="D1931" s="1">
        <f>'Claims Data'!D1931</f>
        <v>45279</v>
      </c>
      <c r="E1931">
        <f>'Claims Data'!H1931</f>
        <v>2.8</v>
      </c>
      <c r="F1931">
        <f>'Claims Data'!J1931</f>
        <v>203.87</v>
      </c>
      <c r="G1931">
        <f>'Claims Data'!M1931</f>
        <v>0</v>
      </c>
      <c r="H1931" t="b">
        <f>'Claims Data'!L1931</f>
        <v>0</v>
      </c>
      <c r="I1931">
        <f t="shared" si="60"/>
        <v>0</v>
      </c>
      <c r="J1931" t="str">
        <f t="shared" si="61"/>
        <v>Low Risk</v>
      </c>
    </row>
    <row r="1932" spans="1:10" x14ac:dyDescent="0.2">
      <c r="A1932" t="str">
        <f>'Claims Data'!A1932</f>
        <v>CLM01931</v>
      </c>
      <c r="B1932" t="str">
        <f>'Claims Data'!B1932</f>
        <v>PAT0133</v>
      </c>
      <c r="C1932" t="str">
        <f>'Claims Data'!C1932</f>
        <v>PRV0008</v>
      </c>
      <c r="D1932" s="1">
        <f>'Claims Data'!D1932</f>
        <v>45147</v>
      </c>
      <c r="E1932">
        <f>'Claims Data'!H1932</f>
        <v>3</v>
      </c>
      <c r="F1932">
        <f>'Claims Data'!J1932</f>
        <v>155.33000000000001</v>
      </c>
      <c r="G1932">
        <f>'Claims Data'!M1932</f>
        <v>0</v>
      </c>
      <c r="H1932" t="b">
        <f>'Claims Data'!L1932</f>
        <v>0</v>
      </c>
      <c r="I1932">
        <f t="shared" si="60"/>
        <v>0</v>
      </c>
      <c r="J1932" t="str">
        <f t="shared" si="61"/>
        <v>Low Risk</v>
      </c>
    </row>
    <row r="1933" spans="1:10" x14ac:dyDescent="0.2">
      <c r="A1933" t="str">
        <f>'Claims Data'!A1933</f>
        <v>CLM01932</v>
      </c>
      <c r="B1933" t="str">
        <f>'Claims Data'!B1933</f>
        <v>PAT0074</v>
      </c>
      <c r="C1933" t="str">
        <f>'Claims Data'!C1933</f>
        <v>PRV0004</v>
      </c>
      <c r="D1933" s="1">
        <f>'Claims Data'!D1933</f>
        <v>45087</v>
      </c>
      <c r="E1933">
        <f>'Claims Data'!H1933</f>
        <v>6</v>
      </c>
      <c r="F1933">
        <f>'Claims Data'!J1933</f>
        <v>236.72</v>
      </c>
      <c r="G1933">
        <f>'Claims Data'!M1933</f>
        <v>0</v>
      </c>
      <c r="H1933" t="b">
        <f>'Claims Data'!L1933</f>
        <v>0</v>
      </c>
      <c r="I1933">
        <f t="shared" si="60"/>
        <v>0</v>
      </c>
      <c r="J1933" t="str">
        <f t="shared" si="61"/>
        <v>Low Risk</v>
      </c>
    </row>
    <row r="1934" spans="1:10" x14ac:dyDescent="0.2">
      <c r="A1934" t="str">
        <f>'Claims Data'!A1934</f>
        <v>CLM01933</v>
      </c>
      <c r="B1934" t="str">
        <f>'Claims Data'!B1934</f>
        <v>PAT0019</v>
      </c>
      <c r="C1934" t="str">
        <f>'Claims Data'!C1934</f>
        <v>PRV0047</v>
      </c>
      <c r="D1934" s="1">
        <f>'Claims Data'!D1934</f>
        <v>45324</v>
      </c>
      <c r="E1934">
        <f>'Claims Data'!H1934</f>
        <v>6.5</v>
      </c>
      <c r="F1934">
        <f>'Claims Data'!J1934</f>
        <v>419.8</v>
      </c>
      <c r="G1934">
        <f>'Claims Data'!M1934</f>
        <v>0</v>
      </c>
      <c r="H1934" t="b">
        <f>'Claims Data'!L1934</f>
        <v>0</v>
      </c>
      <c r="I1934">
        <f t="shared" si="60"/>
        <v>0</v>
      </c>
      <c r="J1934" t="str">
        <f t="shared" si="61"/>
        <v>Low Risk</v>
      </c>
    </row>
    <row r="1935" spans="1:10" x14ac:dyDescent="0.2">
      <c r="A1935" t="str">
        <f>'Claims Data'!A1935</f>
        <v>CLM01934</v>
      </c>
      <c r="B1935" t="str">
        <f>'Claims Data'!B1935</f>
        <v>PAT0266</v>
      </c>
      <c r="C1935" t="str">
        <f>'Claims Data'!C1935</f>
        <v>PRV0040</v>
      </c>
      <c r="D1935" s="1">
        <f>'Claims Data'!D1935</f>
        <v>45360</v>
      </c>
      <c r="E1935">
        <f>'Claims Data'!H1935</f>
        <v>4.5999999999999996</v>
      </c>
      <c r="F1935">
        <f>'Claims Data'!J1935</f>
        <v>312.55</v>
      </c>
      <c r="G1935">
        <f>'Claims Data'!M1935</f>
        <v>0</v>
      </c>
      <c r="H1935" t="b">
        <f>'Claims Data'!L1935</f>
        <v>0</v>
      </c>
      <c r="I1935">
        <f t="shared" si="60"/>
        <v>0</v>
      </c>
      <c r="J1935" t="str">
        <f t="shared" si="61"/>
        <v>Low Risk</v>
      </c>
    </row>
    <row r="1936" spans="1:10" x14ac:dyDescent="0.2">
      <c r="A1936" t="str">
        <f>'Claims Data'!A1936</f>
        <v>CLM01935</v>
      </c>
      <c r="B1936" t="str">
        <f>'Claims Data'!B1936</f>
        <v>PAT0155</v>
      </c>
      <c r="C1936" t="str">
        <f>'Claims Data'!C1936</f>
        <v>PRV0059</v>
      </c>
      <c r="D1936" s="1">
        <f>'Claims Data'!D1936</f>
        <v>45427</v>
      </c>
      <c r="E1936">
        <f>'Claims Data'!H1936</f>
        <v>7.4</v>
      </c>
      <c r="F1936">
        <f>'Claims Data'!J1936</f>
        <v>525.24</v>
      </c>
      <c r="G1936">
        <f>'Claims Data'!M1936</f>
        <v>0</v>
      </c>
      <c r="H1936" t="b">
        <f>'Claims Data'!L1936</f>
        <v>0</v>
      </c>
      <c r="I1936">
        <f t="shared" si="60"/>
        <v>0</v>
      </c>
      <c r="J1936" t="str">
        <f t="shared" si="61"/>
        <v>Low Risk</v>
      </c>
    </row>
    <row r="1937" spans="1:10" x14ac:dyDescent="0.2">
      <c r="A1937" t="str">
        <f>'Claims Data'!A1937</f>
        <v>CLM01936</v>
      </c>
      <c r="B1937" t="str">
        <f>'Claims Data'!B1937</f>
        <v>PAT0041</v>
      </c>
      <c r="C1937" t="str">
        <f>'Claims Data'!C1937</f>
        <v>PRV0048</v>
      </c>
      <c r="D1937" s="1">
        <f>'Claims Data'!D1937</f>
        <v>44931</v>
      </c>
      <c r="E1937">
        <f>'Claims Data'!H1937</f>
        <v>23.3</v>
      </c>
      <c r="F1937">
        <f>'Claims Data'!J1937</f>
        <v>1912.7</v>
      </c>
      <c r="G1937" t="str">
        <f>'Claims Data'!M1937</f>
        <v>inflated_hours</v>
      </c>
      <c r="H1937" t="b">
        <f>'Claims Data'!L1937</f>
        <v>1</v>
      </c>
      <c r="I1937">
        <f t="shared" si="60"/>
        <v>50</v>
      </c>
      <c r="J1937" t="str">
        <f t="shared" si="61"/>
        <v>Medium Risk</v>
      </c>
    </row>
    <row r="1938" spans="1:10" x14ac:dyDescent="0.2">
      <c r="A1938" t="str">
        <f>'Claims Data'!A1938</f>
        <v>CLM01937</v>
      </c>
      <c r="B1938" t="str">
        <f>'Claims Data'!B1938</f>
        <v>PAT0262</v>
      </c>
      <c r="C1938" t="str">
        <f>'Claims Data'!C1938</f>
        <v>PRV0019</v>
      </c>
      <c r="D1938" s="1">
        <f>'Claims Data'!D1938</f>
        <v>45124</v>
      </c>
      <c r="E1938">
        <f>'Claims Data'!H1938</f>
        <v>6</v>
      </c>
      <c r="F1938">
        <f>'Claims Data'!J1938</f>
        <v>482.19</v>
      </c>
      <c r="G1938">
        <f>'Claims Data'!M1938</f>
        <v>0</v>
      </c>
      <c r="H1938" t="b">
        <f>'Claims Data'!L1938</f>
        <v>0</v>
      </c>
      <c r="I1938">
        <f t="shared" si="60"/>
        <v>0</v>
      </c>
      <c r="J1938" t="str">
        <f t="shared" si="61"/>
        <v>Low Risk</v>
      </c>
    </row>
    <row r="1939" spans="1:10" x14ac:dyDescent="0.2">
      <c r="A1939" t="str">
        <f>'Claims Data'!A1939</f>
        <v>CLM01938</v>
      </c>
      <c r="B1939" t="str">
        <f>'Claims Data'!B1939</f>
        <v>PAT0203</v>
      </c>
      <c r="C1939" t="str">
        <f>'Claims Data'!C1939</f>
        <v>PRV0046</v>
      </c>
      <c r="D1939" s="1">
        <f>'Claims Data'!D1939</f>
        <v>45285</v>
      </c>
      <c r="E1939">
        <f>'Claims Data'!H1939</f>
        <v>2.5</v>
      </c>
      <c r="F1939">
        <f>'Claims Data'!J1939</f>
        <v>166.27</v>
      </c>
      <c r="G1939">
        <f>'Claims Data'!M1939</f>
        <v>0</v>
      </c>
      <c r="H1939" t="b">
        <f>'Claims Data'!L1939</f>
        <v>0</v>
      </c>
      <c r="I1939">
        <f t="shared" si="60"/>
        <v>0</v>
      </c>
      <c r="J1939" t="str">
        <f t="shared" si="61"/>
        <v>Low Risk</v>
      </c>
    </row>
    <row r="1940" spans="1:10" x14ac:dyDescent="0.2">
      <c r="A1940" t="str">
        <f>'Claims Data'!A1940</f>
        <v>CLM01939</v>
      </c>
      <c r="B1940" t="str">
        <f>'Claims Data'!B1940</f>
        <v>PAT0214</v>
      </c>
      <c r="C1940" t="str">
        <f>'Claims Data'!C1940</f>
        <v>PRV0007</v>
      </c>
      <c r="D1940" s="1">
        <f>'Claims Data'!D1940</f>
        <v>42810</v>
      </c>
      <c r="E1940">
        <f>'Claims Data'!H1940</f>
        <v>5.9</v>
      </c>
      <c r="F1940">
        <f>'Claims Data'!J1940</f>
        <v>280.95999999999998</v>
      </c>
      <c r="G1940" t="str">
        <f>'Claims Data'!M1940</f>
        <v>deceased_patient_billing</v>
      </c>
      <c r="H1940" t="b">
        <f>'Claims Data'!L1940</f>
        <v>1</v>
      </c>
      <c r="I1940">
        <f t="shared" si="60"/>
        <v>10</v>
      </c>
      <c r="J1940" t="str">
        <f t="shared" si="61"/>
        <v>Low Risk</v>
      </c>
    </row>
    <row r="1941" spans="1:10" x14ac:dyDescent="0.2">
      <c r="A1941" t="str">
        <f>'Claims Data'!A1941</f>
        <v>CLM01940</v>
      </c>
      <c r="B1941" t="str">
        <f>'Claims Data'!B1941</f>
        <v>PAT0224</v>
      </c>
      <c r="C1941" t="str">
        <f>'Claims Data'!C1941</f>
        <v>PRV0025</v>
      </c>
      <c r="D1941" s="1">
        <f>'Claims Data'!D1941</f>
        <v>44970</v>
      </c>
      <c r="E1941">
        <f>'Claims Data'!H1941</f>
        <v>5.9</v>
      </c>
      <c r="F1941">
        <f>'Claims Data'!J1941</f>
        <v>425.42</v>
      </c>
      <c r="G1941">
        <f>'Claims Data'!M1941</f>
        <v>0</v>
      </c>
      <c r="H1941" t="b">
        <f>'Claims Data'!L1941</f>
        <v>0</v>
      </c>
      <c r="I1941">
        <f t="shared" si="60"/>
        <v>0</v>
      </c>
      <c r="J1941" t="str">
        <f t="shared" si="61"/>
        <v>Low Risk</v>
      </c>
    </row>
    <row r="1942" spans="1:10" x14ac:dyDescent="0.2">
      <c r="A1942" t="str">
        <f>'Claims Data'!A1942</f>
        <v>CLM01941</v>
      </c>
      <c r="B1942" t="str">
        <f>'Claims Data'!B1942</f>
        <v>PAT0291</v>
      </c>
      <c r="C1942" t="str">
        <f>'Claims Data'!C1942</f>
        <v>PRV0030</v>
      </c>
      <c r="D1942" s="1">
        <f>'Claims Data'!D1942</f>
        <v>45357</v>
      </c>
      <c r="E1942">
        <f>'Claims Data'!H1942</f>
        <v>19.399999999999999</v>
      </c>
      <c r="F1942">
        <f>'Claims Data'!J1942</f>
        <v>619.64</v>
      </c>
      <c r="G1942" t="str">
        <f>'Claims Data'!M1942</f>
        <v>inflated_hours</v>
      </c>
      <c r="H1942" t="b">
        <f>'Claims Data'!L1942</f>
        <v>1</v>
      </c>
      <c r="I1942">
        <f t="shared" si="60"/>
        <v>50</v>
      </c>
      <c r="J1942" t="str">
        <f t="shared" si="61"/>
        <v>Medium Risk</v>
      </c>
    </row>
    <row r="1943" spans="1:10" x14ac:dyDescent="0.2">
      <c r="A1943" t="str">
        <f>'Claims Data'!A1943</f>
        <v>CLM01942</v>
      </c>
      <c r="B1943" t="str">
        <f>'Claims Data'!B1943</f>
        <v>PAT0144</v>
      </c>
      <c r="C1943" t="str">
        <f>'Claims Data'!C1943</f>
        <v>PRV0012</v>
      </c>
      <c r="D1943" s="1">
        <f>'Claims Data'!D1943</f>
        <v>45336</v>
      </c>
      <c r="E1943">
        <f>'Claims Data'!H1943</f>
        <v>2.5</v>
      </c>
      <c r="F1943">
        <f>'Claims Data'!J1943</f>
        <v>173.59</v>
      </c>
      <c r="G1943">
        <f>'Claims Data'!M1943</f>
        <v>0</v>
      </c>
      <c r="H1943" t="b">
        <f>'Claims Data'!L1943</f>
        <v>0</v>
      </c>
      <c r="I1943">
        <f t="shared" si="60"/>
        <v>0</v>
      </c>
      <c r="J1943" t="str">
        <f t="shared" si="61"/>
        <v>Low Risk</v>
      </c>
    </row>
    <row r="1944" spans="1:10" x14ac:dyDescent="0.2">
      <c r="A1944" t="str">
        <f>'Claims Data'!A1944</f>
        <v>CLM01943</v>
      </c>
      <c r="B1944" t="str">
        <f>'Claims Data'!B1944</f>
        <v>PAT0005</v>
      </c>
      <c r="C1944" t="str">
        <f>'Claims Data'!C1944</f>
        <v>PRV0057</v>
      </c>
      <c r="D1944" s="1">
        <f>'Claims Data'!D1944</f>
        <v>45079</v>
      </c>
      <c r="E1944">
        <f>'Claims Data'!H1944</f>
        <v>21</v>
      </c>
      <c r="F1944">
        <f>'Claims Data'!J1944</f>
        <v>685.65</v>
      </c>
      <c r="G1944" t="str">
        <f>'Claims Data'!M1944</f>
        <v>inflated_hours</v>
      </c>
      <c r="H1944" t="b">
        <f>'Claims Data'!L1944</f>
        <v>1</v>
      </c>
      <c r="I1944">
        <f t="shared" si="60"/>
        <v>50</v>
      </c>
      <c r="J1944" t="str">
        <f t="shared" si="61"/>
        <v>Medium Risk</v>
      </c>
    </row>
    <row r="1945" spans="1:10" x14ac:dyDescent="0.2">
      <c r="A1945" t="str">
        <f>'Claims Data'!A1945</f>
        <v>CLM01944</v>
      </c>
      <c r="B1945" t="str">
        <f>'Claims Data'!B1945</f>
        <v>PAT0035</v>
      </c>
      <c r="C1945" t="str">
        <f>'Claims Data'!C1945</f>
        <v>PRV0057</v>
      </c>
      <c r="D1945" s="1">
        <f>'Claims Data'!D1945</f>
        <v>45232</v>
      </c>
      <c r="E1945">
        <f>'Claims Data'!H1945</f>
        <v>5.5</v>
      </c>
      <c r="F1945">
        <f>'Claims Data'!J1945</f>
        <v>138.05000000000001</v>
      </c>
      <c r="G1945">
        <f>'Claims Data'!M1945</f>
        <v>0</v>
      </c>
      <c r="H1945" t="b">
        <f>'Claims Data'!L1945</f>
        <v>0</v>
      </c>
      <c r="I1945">
        <f t="shared" si="60"/>
        <v>0</v>
      </c>
      <c r="J1945" t="str">
        <f t="shared" si="61"/>
        <v>Low Risk</v>
      </c>
    </row>
    <row r="1946" spans="1:10" x14ac:dyDescent="0.2">
      <c r="A1946" t="str">
        <f>'Claims Data'!A1946</f>
        <v>CLM01945</v>
      </c>
      <c r="B1946" t="str">
        <f>'Claims Data'!B1946</f>
        <v>PAT0203</v>
      </c>
      <c r="C1946" t="str">
        <f>'Claims Data'!C1946</f>
        <v>PRV0005</v>
      </c>
      <c r="D1946" s="1">
        <f>'Claims Data'!D1946</f>
        <v>45520</v>
      </c>
      <c r="E1946">
        <f>'Claims Data'!H1946</f>
        <v>7.1</v>
      </c>
      <c r="F1946">
        <f>'Claims Data'!J1946</f>
        <v>594.91999999999996</v>
      </c>
      <c r="G1946">
        <f>'Claims Data'!M1946</f>
        <v>0</v>
      </c>
      <c r="H1946" t="b">
        <f>'Claims Data'!L1946</f>
        <v>0</v>
      </c>
      <c r="I1946">
        <f t="shared" si="60"/>
        <v>0</v>
      </c>
      <c r="J1946" t="str">
        <f t="shared" si="61"/>
        <v>Low Risk</v>
      </c>
    </row>
    <row r="1947" spans="1:10" x14ac:dyDescent="0.2">
      <c r="A1947" t="str">
        <f>'Claims Data'!A1947</f>
        <v>CLM01946</v>
      </c>
      <c r="B1947" t="str">
        <f>'Claims Data'!B1947</f>
        <v>PAT0257</v>
      </c>
      <c r="C1947" t="str">
        <f>'Claims Data'!C1947</f>
        <v>PRV0039</v>
      </c>
      <c r="D1947" s="1">
        <f>'Claims Data'!D1947</f>
        <v>44944</v>
      </c>
      <c r="E1947">
        <f>'Claims Data'!H1947</f>
        <v>6.8</v>
      </c>
      <c r="F1947">
        <f>'Claims Data'!J1947</f>
        <v>551.04</v>
      </c>
      <c r="G1947">
        <f>'Claims Data'!M1947</f>
        <v>0</v>
      </c>
      <c r="H1947" t="b">
        <f>'Claims Data'!L1947</f>
        <v>0</v>
      </c>
      <c r="I1947">
        <f t="shared" si="60"/>
        <v>0</v>
      </c>
      <c r="J1947" t="str">
        <f t="shared" si="61"/>
        <v>Low Risk</v>
      </c>
    </row>
    <row r="1948" spans="1:10" x14ac:dyDescent="0.2">
      <c r="A1948" t="str">
        <f>'Claims Data'!A1948</f>
        <v>CLM01947</v>
      </c>
      <c r="B1948" t="str">
        <f>'Claims Data'!B1948</f>
        <v>PAT0268</v>
      </c>
      <c r="C1948" t="str">
        <f>'Claims Data'!C1948</f>
        <v>PRV0019</v>
      </c>
      <c r="D1948" s="1">
        <f>'Claims Data'!D1948</f>
        <v>45085</v>
      </c>
      <c r="E1948">
        <f>'Claims Data'!H1948</f>
        <v>2.6</v>
      </c>
      <c r="F1948">
        <f>'Claims Data'!J1948</f>
        <v>66.430000000000007</v>
      </c>
      <c r="G1948">
        <f>'Claims Data'!M1948</f>
        <v>0</v>
      </c>
      <c r="H1948" t="b">
        <f>'Claims Data'!L1948</f>
        <v>0</v>
      </c>
      <c r="I1948">
        <f t="shared" si="60"/>
        <v>0</v>
      </c>
      <c r="J1948" t="str">
        <f t="shared" si="61"/>
        <v>Low Risk</v>
      </c>
    </row>
    <row r="1949" spans="1:10" x14ac:dyDescent="0.2">
      <c r="A1949" t="str">
        <f>'Claims Data'!A1949</f>
        <v>CLM01948</v>
      </c>
      <c r="B1949" t="str">
        <f>'Claims Data'!B1949</f>
        <v>PAT0141</v>
      </c>
      <c r="C1949" t="str">
        <f>'Claims Data'!C1949</f>
        <v>PRV0020</v>
      </c>
      <c r="D1949" s="1">
        <f>'Claims Data'!D1949</f>
        <v>45487</v>
      </c>
      <c r="E1949">
        <f>'Claims Data'!H1949</f>
        <v>6.1</v>
      </c>
      <c r="F1949">
        <f>'Claims Data'!J1949</f>
        <v>500</v>
      </c>
      <c r="G1949" t="str">
        <f>'Claims Data'!M1949</f>
        <v>phantom_round_amount</v>
      </c>
      <c r="H1949" t="b">
        <f>'Claims Data'!L1949</f>
        <v>1</v>
      </c>
      <c r="I1949">
        <f t="shared" si="60"/>
        <v>40</v>
      </c>
      <c r="J1949" t="str">
        <f t="shared" si="61"/>
        <v>Medium Risk</v>
      </c>
    </row>
    <row r="1950" spans="1:10" x14ac:dyDescent="0.2">
      <c r="A1950" t="str">
        <f>'Claims Data'!A1950</f>
        <v>CLM01949</v>
      </c>
      <c r="B1950" t="str">
        <f>'Claims Data'!B1950</f>
        <v>PAT0075</v>
      </c>
      <c r="C1950" t="str">
        <f>'Claims Data'!C1950</f>
        <v>PRV0055</v>
      </c>
      <c r="D1950" s="1">
        <f>'Claims Data'!D1950</f>
        <v>45053</v>
      </c>
      <c r="E1950">
        <f>'Claims Data'!H1950</f>
        <v>6.1</v>
      </c>
      <c r="F1950">
        <f>'Claims Data'!J1950</f>
        <v>206.46</v>
      </c>
      <c r="G1950">
        <f>'Claims Data'!M1950</f>
        <v>0</v>
      </c>
      <c r="H1950" t="b">
        <f>'Claims Data'!L1950</f>
        <v>0</v>
      </c>
      <c r="I1950">
        <f t="shared" si="60"/>
        <v>0</v>
      </c>
      <c r="J1950" t="str">
        <f t="shared" si="61"/>
        <v>Low Risk</v>
      </c>
    </row>
    <row r="1951" spans="1:10" x14ac:dyDescent="0.2">
      <c r="A1951" t="str">
        <f>'Claims Data'!A1951</f>
        <v>CLM01950</v>
      </c>
      <c r="B1951" t="str">
        <f>'Claims Data'!B1951</f>
        <v>PAT0229</v>
      </c>
      <c r="C1951" t="str">
        <f>'Claims Data'!C1951</f>
        <v>PRV0005</v>
      </c>
      <c r="D1951" s="1">
        <f>'Claims Data'!D1951</f>
        <v>45613</v>
      </c>
      <c r="E1951">
        <f>'Claims Data'!H1951</f>
        <v>6.5</v>
      </c>
      <c r="F1951">
        <f>'Claims Data'!J1951</f>
        <v>493.66</v>
      </c>
      <c r="G1951" t="str">
        <f>'Claims Data'!M1951</f>
        <v>duplicate_claim</v>
      </c>
      <c r="H1951" t="b">
        <f>'Claims Data'!L1951</f>
        <v>1</v>
      </c>
      <c r="I1951">
        <f t="shared" si="60"/>
        <v>10</v>
      </c>
      <c r="J1951" t="str">
        <f t="shared" si="61"/>
        <v>Low Risk</v>
      </c>
    </row>
    <row r="1952" spans="1:10" x14ac:dyDescent="0.2">
      <c r="A1952" t="str">
        <f>'Claims Data'!A1952</f>
        <v>CLM01951</v>
      </c>
      <c r="B1952" t="str">
        <f>'Claims Data'!B1952</f>
        <v>PAT0294</v>
      </c>
      <c r="C1952" t="str">
        <f>'Claims Data'!C1952</f>
        <v>PRV0055</v>
      </c>
      <c r="D1952" s="1">
        <f>'Claims Data'!D1952</f>
        <v>44974</v>
      </c>
      <c r="E1952">
        <f>'Claims Data'!H1952</f>
        <v>19.7</v>
      </c>
      <c r="F1952">
        <f>'Claims Data'!J1952</f>
        <v>857.54</v>
      </c>
      <c r="G1952" t="str">
        <f>'Claims Data'!M1952</f>
        <v>inflated_hours</v>
      </c>
      <c r="H1952" t="b">
        <f>'Claims Data'!L1952</f>
        <v>1</v>
      </c>
      <c r="I1952">
        <f t="shared" si="60"/>
        <v>50</v>
      </c>
      <c r="J1952" t="str">
        <f t="shared" si="61"/>
        <v>Medium Risk</v>
      </c>
    </row>
    <row r="1953" spans="1:10" x14ac:dyDescent="0.2">
      <c r="A1953" t="str">
        <f>'Claims Data'!A1953</f>
        <v>CLM01952</v>
      </c>
      <c r="B1953" t="str">
        <f>'Claims Data'!B1953</f>
        <v>PAT0083</v>
      </c>
      <c r="C1953" t="str">
        <f>'Claims Data'!C1953</f>
        <v>PRV0045</v>
      </c>
      <c r="D1953" s="1">
        <f>'Claims Data'!D1953</f>
        <v>45596</v>
      </c>
      <c r="E1953">
        <f>'Claims Data'!H1953</f>
        <v>3.6</v>
      </c>
      <c r="F1953">
        <f>'Claims Data'!J1953</f>
        <v>273.10000000000002</v>
      </c>
      <c r="G1953">
        <f>'Claims Data'!M1953</f>
        <v>0</v>
      </c>
      <c r="H1953" t="b">
        <f>'Claims Data'!L1953</f>
        <v>0</v>
      </c>
      <c r="I1953">
        <f t="shared" si="60"/>
        <v>0</v>
      </c>
      <c r="J1953" t="str">
        <f t="shared" si="61"/>
        <v>Low Risk</v>
      </c>
    </row>
    <row r="1954" spans="1:10" x14ac:dyDescent="0.2">
      <c r="A1954" t="str">
        <f>'Claims Data'!A1954</f>
        <v>CLM01953</v>
      </c>
      <c r="B1954" t="str">
        <f>'Claims Data'!B1954</f>
        <v>PAT0180</v>
      </c>
      <c r="C1954" t="str">
        <f>'Claims Data'!C1954</f>
        <v>PRV0030</v>
      </c>
      <c r="D1954" s="1">
        <f>'Claims Data'!D1954</f>
        <v>45529</v>
      </c>
      <c r="E1954">
        <f>'Claims Data'!H1954</f>
        <v>5.8</v>
      </c>
      <c r="F1954">
        <f>'Claims Data'!J1954</f>
        <v>220.07</v>
      </c>
      <c r="G1954">
        <f>'Claims Data'!M1954</f>
        <v>0</v>
      </c>
      <c r="H1954" t="b">
        <f>'Claims Data'!L1954</f>
        <v>0</v>
      </c>
      <c r="I1954">
        <f t="shared" si="60"/>
        <v>0</v>
      </c>
      <c r="J1954" t="str">
        <f t="shared" si="61"/>
        <v>Low Risk</v>
      </c>
    </row>
    <row r="1955" spans="1:10" x14ac:dyDescent="0.2">
      <c r="A1955" t="str">
        <f>'Claims Data'!A1955</f>
        <v>CLM01954</v>
      </c>
      <c r="B1955" t="str">
        <f>'Claims Data'!B1955</f>
        <v>PAT0064</v>
      </c>
      <c r="C1955" t="str">
        <f>'Claims Data'!C1955</f>
        <v>PRV0048</v>
      </c>
      <c r="D1955" s="1">
        <f>'Claims Data'!D1955</f>
        <v>45013</v>
      </c>
      <c r="E1955">
        <f>'Claims Data'!H1955</f>
        <v>2.4</v>
      </c>
      <c r="F1955">
        <f>'Claims Data'!J1955</f>
        <v>176.67</v>
      </c>
      <c r="G1955">
        <f>'Claims Data'!M1955</f>
        <v>0</v>
      </c>
      <c r="H1955" t="b">
        <f>'Claims Data'!L1955</f>
        <v>0</v>
      </c>
      <c r="I1955">
        <f t="shared" si="60"/>
        <v>0</v>
      </c>
      <c r="J1955" t="str">
        <f t="shared" si="61"/>
        <v>Low Risk</v>
      </c>
    </row>
    <row r="1956" spans="1:10" x14ac:dyDescent="0.2">
      <c r="A1956" t="str">
        <f>'Claims Data'!A1956</f>
        <v>CLM01955</v>
      </c>
      <c r="B1956" t="str">
        <f>'Claims Data'!B1956</f>
        <v>PAT0159</v>
      </c>
      <c r="C1956" t="str">
        <f>'Claims Data'!C1956</f>
        <v>PRV0001</v>
      </c>
      <c r="D1956" s="1">
        <f>'Claims Data'!D1956</f>
        <v>45446</v>
      </c>
      <c r="E1956">
        <f>'Claims Data'!H1956</f>
        <v>7.1</v>
      </c>
      <c r="F1956">
        <f>'Claims Data'!J1956</f>
        <v>575.57000000000005</v>
      </c>
      <c r="G1956">
        <f>'Claims Data'!M1956</f>
        <v>0</v>
      </c>
      <c r="H1956" t="b">
        <f>'Claims Data'!L1956</f>
        <v>0</v>
      </c>
      <c r="I1956">
        <f t="shared" si="60"/>
        <v>0</v>
      </c>
      <c r="J1956" t="str">
        <f t="shared" si="61"/>
        <v>Low Risk</v>
      </c>
    </row>
    <row r="1957" spans="1:10" x14ac:dyDescent="0.2">
      <c r="A1957" t="str">
        <f>'Claims Data'!A1957</f>
        <v>CLM01956</v>
      </c>
      <c r="B1957" t="str">
        <f>'Claims Data'!B1957</f>
        <v>PAT0251</v>
      </c>
      <c r="C1957" t="str">
        <f>'Claims Data'!C1957</f>
        <v>PRV0030</v>
      </c>
      <c r="D1957" s="1">
        <f>'Claims Data'!D1957</f>
        <v>45578</v>
      </c>
      <c r="E1957">
        <f>'Claims Data'!H1957</f>
        <v>7.5</v>
      </c>
      <c r="F1957">
        <f>'Claims Data'!J1957</f>
        <v>536.72</v>
      </c>
      <c r="G1957">
        <f>'Claims Data'!M1957</f>
        <v>0</v>
      </c>
      <c r="H1957" t="b">
        <f>'Claims Data'!L1957</f>
        <v>0</v>
      </c>
      <c r="I1957">
        <f t="shared" si="60"/>
        <v>0</v>
      </c>
      <c r="J1957" t="str">
        <f t="shared" si="61"/>
        <v>Low Risk</v>
      </c>
    </row>
    <row r="1958" spans="1:10" x14ac:dyDescent="0.2">
      <c r="A1958" t="str">
        <f>'Claims Data'!A1958</f>
        <v>CLM01957</v>
      </c>
      <c r="B1958" t="str">
        <f>'Claims Data'!B1958</f>
        <v>PAT0294</v>
      </c>
      <c r="C1958" t="str">
        <f>'Claims Data'!C1958</f>
        <v>PRV0010</v>
      </c>
      <c r="D1958" s="1">
        <f>'Claims Data'!D1958</f>
        <v>45157</v>
      </c>
      <c r="E1958">
        <f>'Claims Data'!H1958</f>
        <v>3.8</v>
      </c>
      <c r="F1958">
        <f>'Claims Data'!J1958</f>
        <v>280.82</v>
      </c>
      <c r="G1958">
        <f>'Claims Data'!M1958</f>
        <v>0</v>
      </c>
      <c r="H1958" t="b">
        <f>'Claims Data'!L1958</f>
        <v>0</v>
      </c>
      <c r="I1958">
        <f t="shared" si="60"/>
        <v>0</v>
      </c>
      <c r="J1958" t="str">
        <f t="shared" si="61"/>
        <v>Low Risk</v>
      </c>
    </row>
    <row r="1959" spans="1:10" x14ac:dyDescent="0.2">
      <c r="A1959" t="str">
        <f>'Claims Data'!A1959</f>
        <v>CLM01958</v>
      </c>
      <c r="B1959" t="str">
        <f>'Claims Data'!B1959</f>
        <v>PAT0180</v>
      </c>
      <c r="C1959" t="str">
        <f>'Claims Data'!C1959</f>
        <v>PRV0051</v>
      </c>
      <c r="D1959" s="1">
        <f>'Claims Data'!D1959</f>
        <v>45515</v>
      </c>
      <c r="E1959">
        <f>'Claims Data'!H1959</f>
        <v>5.3</v>
      </c>
      <c r="F1959">
        <f>'Claims Data'!J1959</f>
        <v>239.8</v>
      </c>
      <c r="G1959">
        <f>'Claims Data'!M1959</f>
        <v>0</v>
      </c>
      <c r="H1959" t="b">
        <f>'Claims Data'!L1959</f>
        <v>0</v>
      </c>
      <c r="I1959">
        <f t="shared" si="60"/>
        <v>0</v>
      </c>
      <c r="J1959" t="str">
        <f t="shared" si="61"/>
        <v>Low Risk</v>
      </c>
    </row>
    <row r="1960" spans="1:10" x14ac:dyDescent="0.2">
      <c r="A1960" t="str">
        <f>'Claims Data'!A1960</f>
        <v>CLM01959</v>
      </c>
      <c r="B1960" t="str">
        <f>'Claims Data'!B1960</f>
        <v>PAT0182</v>
      </c>
      <c r="C1960" t="str">
        <f>'Claims Data'!C1960</f>
        <v>PRV0057</v>
      </c>
      <c r="D1960" s="1">
        <f>'Claims Data'!D1960</f>
        <v>45284</v>
      </c>
      <c r="E1960">
        <f>'Claims Data'!H1960</f>
        <v>7.9</v>
      </c>
      <c r="F1960">
        <f>'Claims Data'!J1960</f>
        <v>556.66</v>
      </c>
      <c r="G1960">
        <f>'Claims Data'!M1960</f>
        <v>0</v>
      </c>
      <c r="H1960" t="b">
        <f>'Claims Data'!L1960</f>
        <v>0</v>
      </c>
      <c r="I1960">
        <f t="shared" si="60"/>
        <v>0</v>
      </c>
      <c r="J1960" t="str">
        <f t="shared" si="61"/>
        <v>Low Risk</v>
      </c>
    </row>
    <row r="1961" spans="1:10" x14ac:dyDescent="0.2">
      <c r="A1961" t="str">
        <f>'Claims Data'!A1961</f>
        <v>CLM01960</v>
      </c>
      <c r="B1961" t="str">
        <f>'Claims Data'!B1961</f>
        <v>PAT0140</v>
      </c>
      <c r="C1961" t="str">
        <f>'Claims Data'!C1961</f>
        <v>PRV0051</v>
      </c>
      <c r="D1961" s="1">
        <f>'Claims Data'!D1961</f>
        <v>45240</v>
      </c>
      <c r="E1961">
        <f>'Claims Data'!H1961</f>
        <v>5.2</v>
      </c>
      <c r="F1961">
        <f>'Claims Data'!J1961</f>
        <v>218.31</v>
      </c>
      <c r="G1961">
        <f>'Claims Data'!M1961</f>
        <v>0</v>
      </c>
      <c r="H1961" t="b">
        <f>'Claims Data'!L1961</f>
        <v>0</v>
      </c>
      <c r="I1961">
        <f t="shared" si="60"/>
        <v>0</v>
      </c>
      <c r="J1961" t="str">
        <f t="shared" si="61"/>
        <v>Low Risk</v>
      </c>
    </row>
    <row r="1962" spans="1:10" x14ac:dyDescent="0.2">
      <c r="A1962" t="str">
        <f>'Claims Data'!A1962</f>
        <v>CLM01961</v>
      </c>
      <c r="B1962" t="str">
        <f>'Claims Data'!B1962</f>
        <v>PAT0197</v>
      </c>
      <c r="C1962" t="str">
        <f>'Claims Data'!C1962</f>
        <v>PRV0053</v>
      </c>
      <c r="D1962" s="1">
        <f>'Claims Data'!D1962</f>
        <v>45116</v>
      </c>
      <c r="E1962">
        <f>'Claims Data'!H1962</f>
        <v>6.2</v>
      </c>
      <c r="F1962">
        <f>'Claims Data'!J1962</f>
        <v>358.86</v>
      </c>
      <c r="G1962">
        <f>'Claims Data'!M1962</f>
        <v>0</v>
      </c>
      <c r="H1962" t="b">
        <f>'Claims Data'!L1962</f>
        <v>0</v>
      </c>
      <c r="I1962">
        <f t="shared" si="60"/>
        <v>0</v>
      </c>
      <c r="J1962" t="str">
        <f t="shared" si="61"/>
        <v>Low Risk</v>
      </c>
    </row>
    <row r="1963" spans="1:10" x14ac:dyDescent="0.2">
      <c r="A1963" t="str">
        <f>'Claims Data'!A1963</f>
        <v>CLM01962</v>
      </c>
      <c r="B1963" t="str">
        <f>'Claims Data'!B1963</f>
        <v>PAT0279</v>
      </c>
      <c r="C1963" t="str">
        <f>'Claims Data'!C1963</f>
        <v>PRV0001</v>
      </c>
      <c r="D1963" s="1">
        <f>'Claims Data'!D1963</f>
        <v>45559</v>
      </c>
      <c r="E1963">
        <f>'Claims Data'!H1963</f>
        <v>3.9</v>
      </c>
      <c r="F1963">
        <f>'Claims Data'!J1963</f>
        <v>282.66000000000003</v>
      </c>
      <c r="G1963">
        <f>'Claims Data'!M1963</f>
        <v>0</v>
      </c>
      <c r="H1963" t="b">
        <f>'Claims Data'!L1963</f>
        <v>0</v>
      </c>
      <c r="I1963">
        <f t="shared" si="60"/>
        <v>0</v>
      </c>
      <c r="J1963" t="str">
        <f t="shared" si="61"/>
        <v>Low Risk</v>
      </c>
    </row>
    <row r="1964" spans="1:10" x14ac:dyDescent="0.2">
      <c r="A1964" t="str">
        <f>'Claims Data'!A1964</f>
        <v>CLM01963</v>
      </c>
      <c r="B1964" t="str">
        <f>'Claims Data'!B1964</f>
        <v>PAT0287</v>
      </c>
      <c r="C1964" t="str">
        <f>'Claims Data'!C1964</f>
        <v>PRV0005</v>
      </c>
      <c r="D1964" s="1">
        <f>'Claims Data'!D1964</f>
        <v>45313</v>
      </c>
      <c r="E1964">
        <f>'Claims Data'!H1964</f>
        <v>4.7</v>
      </c>
      <c r="F1964">
        <f>'Claims Data'!J1964</f>
        <v>163.66</v>
      </c>
      <c r="G1964">
        <f>'Claims Data'!M1964</f>
        <v>0</v>
      </c>
      <c r="H1964" t="b">
        <f>'Claims Data'!L1964</f>
        <v>0</v>
      </c>
      <c r="I1964">
        <f t="shared" si="60"/>
        <v>0</v>
      </c>
      <c r="J1964" t="str">
        <f t="shared" si="61"/>
        <v>Low Risk</v>
      </c>
    </row>
    <row r="1965" spans="1:10" x14ac:dyDescent="0.2">
      <c r="A1965" t="str">
        <f>'Claims Data'!A1965</f>
        <v>CLM01964</v>
      </c>
      <c r="B1965" t="str">
        <f>'Claims Data'!B1965</f>
        <v>PAT0203</v>
      </c>
      <c r="C1965" t="str">
        <f>'Claims Data'!C1965</f>
        <v>PRV0046</v>
      </c>
      <c r="D1965" s="1">
        <f>'Claims Data'!D1965</f>
        <v>45633</v>
      </c>
      <c r="E1965">
        <f>'Claims Data'!H1965</f>
        <v>6.2</v>
      </c>
      <c r="F1965">
        <f>'Claims Data'!J1965</f>
        <v>263.27999999999997</v>
      </c>
      <c r="G1965">
        <f>'Claims Data'!M1965</f>
        <v>0</v>
      </c>
      <c r="H1965" t="b">
        <f>'Claims Data'!L1965</f>
        <v>0</v>
      </c>
      <c r="I1965">
        <f t="shared" si="60"/>
        <v>0</v>
      </c>
      <c r="J1965" t="str">
        <f t="shared" si="61"/>
        <v>Low Risk</v>
      </c>
    </row>
    <row r="1966" spans="1:10" x14ac:dyDescent="0.2">
      <c r="A1966" t="str">
        <f>'Claims Data'!A1966</f>
        <v>CLM01965</v>
      </c>
      <c r="B1966" t="str">
        <f>'Claims Data'!B1966</f>
        <v>PAT0187</v>
      </c>
      <c r="C1966" t="str">
        <f>'Claims Data'!C1966</f>
        <v>PRV0029</v>
      </c>
      <c r="D1966" s="1">
        <f>'Claims Data'!D1966</f>
        <v>45084</v>
      </c>
      <c r="E1966">
        <f>'Claims Data'!H1966</f>
        <v>21.5</v>
      </c>
      <c r="F1966">
        <f>'Claims Data'!J1966</f>
        <v>1500</v>
      </c>
      <c r="G1966" t="str">
        <f>'Claims Data'!M1966</f>
        <v>phantom_round_amount</v>
      </c>
      <c r="H1966" t="b">
        <f>'Claims Data'!L1966</f>
        <v>1</v>
      </c>
      <c r="I1966">
        <f t="shared" si="60"/>
        <v>80</v>
      </c>
      <c r="J1966" t="str">
        <f t="shared" si="61"/>
        <v>High Risk</v>
      </c>
    </row>
    <row r="1967" spans="1:10" x14ac:dyDescent="0.2">
      <c r="A1967" t="str">
        <f>'Claims Data'!A1967</f>
        <v>CLM01966</v>
      </c>
      <c r="B1967" t="str">
        <f>'Claims Data'!B1967</f>
        <v>PAT0040</v>
      </c>
      <c r="C1967" t="str">
        <f>'Claims Data'!C1967</f>
        <v>PRV0035</v>
      </c>
      <c r="D1967" s="1">
        <f>'Claims Data'!D1967</f>
        <v>45028</v>
      </c>
      <c r="E1967">
        <f>'Claims Data'!H1967</f>
        <v>4.2</v>
      </c>
      <c r="F1967">
        <f>'Claims Data'!J1967</f>
        <v>320.75</v>
      </c>
      <c r="G1967">
        <f>'Claims Data'!M1967</f>
        <v>0</v>
      </c>
      <c r="H1967" t="b">
        <f>'Claims Data'!L1967</f>
        <v>0</v>
      </c>
      <c r="I1967">
        <f t="shared" si="60"/>
        <v>0</v>
      </c>
      <c r="J1967" t="str">
        <f t="shared" si="61"/>
        <v>Low Risk</v>
      </c>
    </row>
    <row r="1968" spans="1:10" x14ac:dyDescent="0.2">
      <c r="A1968" t="str">
        <f>'Claims Data'!A1968</f>
        <v>CLM01967</v>
      </c>
      <c r="B1968" t="str">
        <f>'Claims Data'!B1968</f>
        <v>PAT0148</v>
      </c>
      <c r="C1968" t="str">
        <f>'Claims Data'!C1968</f>
        <v>PRV0024</v>
      </c>
      <c r="D1968" s="1">
        <f>'Claims Data'!D1968</f>
        <v>45258</v>
      </c>
      <c r="E1968">
        <f>'Claims Data'!H1968</f>
        <v>4.3</v>
      </c>
      <c r="F1968">
        <f>'Claims Data'!J1968</f>
        <v>361.04</v>
      </c>
      <c r="G1968">
        <f>'Claims Data'!M1968</f>
        <v>0</v>
      </c>
      <c r="H1968" t="b">
        <f>'Claims Data'!L1968</f>
        <v>0</v>
      </c>
      <c r="I1968">
        <f t="shared" si="60"/>
        <v>0</v>
      </c>
      <c r="J1968" t="str">
        <f t="shared" si="61"/>
        <v>Low Risk</v>
      </c>
    </row>
    <row r="1969" spans="1:10" x14ac:dyDescent="0.2">
      <c r="A1969" t="str">
        <f>'Claims Data'!A1969</f>
        <v>CLM01968</v>
      </c>
      <c r="B1969" t="str">
        <f>'Claims Data'!B1969</f>
        <v>PAT0028</v>
      </c>
      <c r="C1969" t="str">
        <f>'Claims Data'!C1969</f>
        <v>PRV0023</v>
      </c>
      <c r="D1969" s="1">
        <f>'Claims Data'!D1969</f>
        <v>45028</v>
      </c>
      <c r="E1969">
        <f>'Claims Data'!H1969</f>
        <v>7.6</v>
      </c>
      <c r="F1969">
        <f>'Claims Data'!J1969</f>
        <v>233.8</v>
      </c>
      <c r="G1969">
        <f>'Claims Data'!M1969</f>
        <v>0</v>
      </c>
      <c r="H1969" t="b">
        <f>'Claims Data'!L1969</f>
        <v>0</v>
      </c>
      <c r="I1969">
        <f t="shared" si="60"/>
        <v>0</v>
      </c>
      <c r="J1969" t="str">
        <f t="shared" si="61"/>
        <v>Low Risk</v>
      </c>
    </row>
    <row r="1970" spans="1:10" x14ac:dyDescent="0.2">
      <c r="A1970" t="str">
        <f>'Claims Data'!A1970</f>
        <v>CLM01969</v>
      </c>
      <c r="B1970" t="str">
        <f>'Claims Data'!B1970</f>
        <v>PAT0085</v>
      </c>
      <c r="C1970" t="str">
        <f>'Claims Data'!C1970</f>
        <v>PRV0033</v>
      </c>
      <c r="D1970" s="1">
        <f>'Claims Data'!D1970</f>
        <v>45113</v>
      </c>
      <c r="E1970">
        <f>'Claims Data'!H1970</f>
        <v>7.7</v>
      </c>
      <c r="F1970">
        <f>'Claims Data'!J1970</f>
        <v>246.71</v>
      </c>
      <c r="G1970">
        <f>'Claims Data'!M1970</f>
        <v>0</v>
      </c>
      <c r="H1970" t="b">
        <f>'Claims Data'!L1970</f>
        <v>0</v>
      </c>
      <c r="I1970">
        <f t="shared" si="60"/>
        <v>0</v>
      </c>
      <c r="J1970" t="str">
        <f t="shared" si="61"/>
        <v>Low Risk</v>
      </c>
    </row>
    <row r="1971" spans="1:10" x14ac:dyDescent="0.2">
      <c r="A1971" t="str">
        <f>'Claims Data'!A1971</f>
        <v>CLM01970</v>
      </c>
      <c r="B1971" t="str">
        <f>'Claims Data'!B1971</f>
        <v>PAT0270</v>
      </c>
      <c r="C1971" t="str">
        <f>'Claims Data'!C1971</f>
        <v>PRV0035</v>
      </c>
      <c r="D1971" s="1">
        <f>'Claims Data'!D1971</f>
        <v>45451</v>
      </c>
      <c r="E1971">
        <f>'Claims Data'!H1971</f>
        <v>5.6</v>
      </c>
      <c r="F1971">
        <f>'Claims Data'!J1971</f>
        <v>465.83</v>
      </c>
      <c r="G1971">
        <f>'Claims Data'!M1971</f>
        <v>0</v>
      </c>
      <c r="H1971" t="b">
        <f>'Claims Data'!L1971</f>
        <v>0</v>
      </c>
      <c r="I1971">
        <f t="shared" si="60"/>
        <v>0</v>
      </c>
      <c r="J1971" t="str">
        <f t="shared" si="61"/>
        <v>Low Risk</v>
      </c>
    </row>
    <row r="1972" spans="1:10" x14ac:dyDescent="0.2">
      <c r="A1972" t="str">
        <f>'Claims Data'!A1972</f>
        <v>CLM01971</v>
      </c>
      <c r="B1972" t="str">
        <f>'Claims Data'!B1972</f>
        <v>PAT0159</v>
      </c>
      <c r="C1972" t="str">
        <f>'Claims Data'!C1972</f>
        <v>PRV0024</v>
      </c>
      <c r="D1972" s="1">
        <f>'Claims Data'!D1972</f>
        <v>45103</v>
      </c>
      <c r="E1972">
        <f>'Claims Data'!H1972</f>
        <v>17.3</v>
      </c>
      <c r="F1972">
        <f>'Claims Data'!J1972</f>
        <v>555.85</v>
      </c>
      <c r="G1972" t="str">
        <f>'Claims Data'!M1972</f>
        <v>inflated_hours</v>
      </c>
      <c r="H1972" t="b">
        <f>'Claims Data'!L1972</f>
        <v>1</v>
      </c>
      <c r="I1972">
        <f t="shared" si="60"/>
        <v>50</v>
      </c>
      <c r="J1972" t="str">
        <f t="shared" si="61"/>
        <v>Medium Risk</v>
      </c>
    </row>
    <row r="1973" spans="1:10" x14ac:dyDescent="0.2">
      <c r="A1973" t="str">
        <f>'Claims Data'!A1973</f>
        <v>CLM01972</v>
      </c>
      <c r="B1973" t="str">
        <f>'Claims Data'!B1973</f>
        <v>PAT0198</v>
      </c>
      <c r="C1973" t="str">
        <f>'Claims Data'!C1973</f>
        <v>PRV0011</v>
      </c>
      <c r="D1973" s="1">
        <f>'Claims Data'!D1973</f>
        <v>44985</v>
      </c>
      <c r="E1973">
        <f>'Claims Data'!H1973</f>
        <v>3.8</v>
      </c>
      <c r="F1973">
        <f>'Claims Data'!J1973</f>
        <v>230.92</v>
      </c>
      <c r="G1973">
        <f>'Claims Data'!M1973</f>
        <v>0</v>
      </c>
      <c r="H1973" t="b">
        <f>'Claims Data'!L1973</f>
        <v>0</v>
      </c>
      <c r="I1973">
        <f t="shared" si="60"/>
        <v>0</v>
      </c>
      <c r="J1973" t="str">
        <f t="shared" si="61"/>
        <v>Low Risk</v>
      </c>
    </row>
    <row r="1974" spans="1:10" x14ac:dyDescent="0.2">
      <c r="A1974" t="str">
        <f>'Claims Data'!A1974</f>
        <v>CLM01973</v>
      </c>
      <c r="B1974" t="str">
        <f>'Claims Data'!B1974</f>
        <v>PAT0103</v>
      </c>
      <c r="C1974" t="str">
        <f>'Claims Data'!C1974</f>
        <v>PRV0023</v>
      </c>
      <c r="D1974" s="1">
        <f>'Claims Data'!D1974</f>
        <v>44992</v>
      </c>
      <c r="E1974">
        <f>'Claims Data'!H1974</f>
        <v>6.7</v>
      </c>
      <c r="F1974">
        <f>'Claims Data'!J1974</f>
        <v>565.95000000000005</v>
      </c>
      <c r="G1974">
        <f>'Claims Data'!M1974</f>
        <v>0</v>
      </c>
      <c r="H1974" t="b">
        <f>'Claims Data'!L1974</f>
        <v>0</v>
      </c>
      <c r="I1974">
        <f t="shared" si="60"/>
        <v>0</v>
      </c>
      <c r="J1974" t="str">
        <f t="shared" si="61"/>
        <v>Low Risk</v>
      </c>
    </row>
    <row r="1975" spans="1:10" x14ac:dyDescent="0.2">
      <c r="A1975" t="str">
        <f>'Claims Data'!A1975</f>
        <v>CLM01974</v>
      </c>
      <c r="B1975" t="str">
        <f>'Claims Data'!B1975</f>
        <v>PAT0226</v>
      </c>
      <c r="C1975" t="str">
        <f>'Claims Data'!C1975</f>
        <v>PRV0009</v>
      </c>
      <c r="D1975" s="1">
        <f>'Claims Data'!D1975</f>
        <v>45392</v>
      </c>
      <c r="E1975">
        <f>'Claims Data'!H1975</f>
        <v>6.7</v>
      </c>
      <c r="F1975">
        <f>'Claims Data'!J1975</f>
        <v>515.19000000000005</v>
      </c>
      <c r="G1975">
        <f>'Claims Data'!M1975</f>
        <v>0</v>
      </c>
      <c r="H1975" t="b">
        <f>'Claims Data'!L1975</f>
        <v>0</v>
      </c>
      <c r="I1975">
        <f t="shared" si="60"/>
        <v>0</v>
      </c>
      <c r="J1975" t="str">
        <f t="shared" si="61"/>
        <v>Low Risk</v>
      </c>
    </row>
    <row r="1976" spans="1:10" x14ac:dyDescent="0.2">
      <c r="A1976" t="str">
        <f>'Claims Data'!A1976</f>
        <v>CLM01975</v>
      </c>
      <c r="B1976" t="str">
        <f>'Claims Data'!B1976</f>
        <v>PAT0187</v>
      </c>
      <c r="C1976" t="str">
        <f>'Claims Data'!C1976</f>
        <v>PRV0059</v>
      </c>
      <c r="D1976" s="1">
        <f>'Claims Data'!D1976</f>
        <v>45646</v>
      </c>
      <c r="E1976">
        <f>'Claims Data'!H1976</f>
        <v>3.7</v>
      </c>
      <c r="F1976">
        <f>'Claims Data'!J1976</f>
        <v>237.51</v>
      </c>
      <c r="G1976" t="str">
        <f>'Claims Data'!M1976</f>
        <v>duplicate_claim</v>
      </c>
      <c r="H1976" t="b">
        <f>'Claims Data'!L1976</f>
        <v>1</v>
      </c>
      <c r="I1976">
        <f t="shared" si="60"/>
        <v>10</v>
      </c>
      <c r="J1976" t="str">
        <f t="shared" si="61"/>
        <v>Low Risk</v>
      </c>
    </row>
    <row r="1977" spans="1:10" x14ac:dyDescent="0.2">
      <c r="A1977" t="str">
        <f>'Claims Data'!A1977</f>
        <v>CLM01976</v>
      </c>
      <c r="B1977" t="str">
        <f>'Claims Data'!B1977</f>
        <v>PAT0010</v>
      </c>
      <c r="C1977" t="str">
        <f>'Claims Data'!C1977</f>
        <v>PRV0005</v>
      </c>
      <c r="D1977" s="1">
        <f>'Claims Data'!D1977</f>
        <v>45031</v>
      </c>
      <c r="E1977">
        <f>'Claims Data'!H1977</f>
        <v>25</v>
      </c>
      <c r="F1977">
        <f>'Claims Data'!J1977</f>
        <v>750</v>
      </c>
      <c r="G1977" t="str">
        <f>'Claims Data'!M1977</f>
        <v>phantom_round_amount</v>
      </c>
      <c r="H1977" t="b">
        <f>'Claims Data'!L1977</f>
        <v>1</v>
      </c>
      <c r="I1977">
        <f t="shared" si="60"/>
        <v>80</v>
      </c>
      <c r="J1977" t="str">
        <f t="shared" si="61"/>
        <v>High Risk</v>
      </c>
    </row>
    <row r="1978" spans="1:10" x14ac:dyDescent="0.2">
      <c r="A1978" t="str">
        <f>'Claims Data'!A1978</f>
        <v>CLM01977</v>
      </c>
      <c r="B1978" t="str">
        <f>'Claims Data'!B1978</f>
        <v>PAT0056</v>
      </c>
      <c r="C1978" t="str">
        <f>'Claims Data'!C1978</f>
        <v>PRV0058</v>
      </c>
      <c r="D1978" s="1">
        <f>'Claims Data'!D1978</f>
        <v>45215</v>
      </c>
      <c r="E1978">
        <f>'Claims Data'!H1978</f>
        <v>2.1</v>
      </c>
      <c r="F1978">
        <f>'Claims Data'!J1978</f>
        <v>124.7</v>
      </c>
      <c r="G1978">
        <f>'Claims Data'!M1978</f>
        <v>0</v>
      </c>
      <c r="H1978" t="b">
        <f>'Claims Data'!L1978</f>
        <v>0</v>
      </c>
      <c r="I1978">
        <f t="shared" si="60"/>
        <v>0</v>
      </c>
      <c r="J1978" t="str">
        <f t="shared" si="61"/>
        <v>Low Risk</v>
      </c>
    </row>
    <row r="1979" spans="1:10" x14ac:dyDescent="0.2">
      <c r="A1979" t="str">
        <f>'Claims Data'!A1979</f>
        <v>CLM01978</v>
      </c>
      <c r="B1979" t="str">
        <f>'Claims Data'!B1979</f>
        <v>PAT0245</v>
      </c>
      <c r="C1979" t="str">
        <f>'Claims Data'!C1979</f>
        <v>PRV0036</v>
      </c>
      <c r="D1979" s="1">
        <f>'Claims Data'!D1979</f>
        <v>44977</v>
      </c>
      <c r="E1979">
        <f>'Claims Data'!H1979</f>
        <v>3.6</v>
      </c>
      <c r="F1979">
        <f>'Claims Data'!J1979</f>
        <v>251</v>
      </c>
      <c r="G1979">
        <f>'Claims Data'!M1979</f>
        <v>0</v>
      </c>
      <c r="H1979" t="b">
        <f>'Claims Data'!L1979</f>
        <v>0</v>
      </c>
      <c r="I1979">
        <f t="shared" si="60"/>
        <v>0</v>
      </c>
      <c r="J1979" t="str">
        <f t="shared" si="61"/>
        <v>Low Risk</v>
      </c>
    </row>
    <row r="1980" spans="1:10" x14ac:dyDescent="0.2">
      <c r="A1980" t="str">
        <f>'Claims Data'!A1980</f>
        <v>CLM01979</v>
      </c>
      <c r="B1980" t="str">
        <f>'Claims Data'!B1980</f>
        <v>PAT0014</v>
      </c>
      <c r="C1980" t="str">
        <f>'Claims Data'!C1980</f>
        <v>PRV0009</v>
      </c>
      <c r="D1980" s="1">
        <f>'Claims Data'!D1980</f>
        <v>45202</v>
      </c>
      <c r="E1980">
        <f>'Claims Data'!H1980</f>
        <v>4.3</v>
      </c>
      <c r="F1980">
        <f>'Claims Data'!J1980</f>
        <v>365.49</v>
      </c>
      <c r="G1980">
        <f>'Claims Data'!M1980</f>
        <v>0</v>
      </c>
      <c r="H1980" t="b">
        <f>'Claims Data'!L1980</f>
        <v>0</v>
      </c>
      <c r="I1980">
        <f t="shared" si="60"/>
        <v>0</v>
      </c>
      <c r="J1980" t="str">
        <f t="shared" si="61"/>
        <v>Low Risk</v>
      </c>
    </row>
    <row r="1981" spans="1:10" x14ac:dyDescent="0.2">
      <c r="A1981" t="str">
        <f>'Claims Data'!A1981</f>
        <v>CLM01980</v>
      </c>
      <c r="B1981" t="str">
        <f>'Claims Data'!B1981</f>
        <v>PAT0268</v>
      </c>
      <c r="C1981" t="str">
        <f>'Claims Data'!C1981</f>
        <v>PRV0029</v>
      </c>
      <c r="D1981" s="1">
        <f>'Claims Data'!D1981</f>
        <v>45544</v>
      </c>
      <c r="E1981">
        <f>'Claims Data'!H1981</f>
        <v>3.8</v>
      </c>
      <c r="F1981">
        <f>'Claims Data'!J1981</f>
        <v>123.55</v>
      </c>
      <c r="G1981">
        <f>'Claims Data'!M1981</f>
        <v>0</v>
      </c>
      <c r="H1981" t="b">
        <f>'Claims Data'!L1981</f>
        <v>0</v>
      </c>
      <c r="I1981">
        <f t="shared" si="60"/>
        <v>0</v>
      </c>
      <c r="J1981" t="str">
        <f t="shared" si="61"/>
        <v>Low Risk</v>
      </c>
    </row>
    <row r="1982" spans="1:10" x14ac:dyDescent="0.2">
      <c r="A1982" t="str">
        <f>'Claims Data'!A1982</f>
        <v>CLM01981</v>
      </c>
      <c r="B1982" t="str">
        <f>'Claims Data'!B1982</f>
        <v>PAT0161</v>
      </c>
      <c r="C1982" t="str">
        <f>'Claims Data'!C1982</f>
        <v>PRV0039</v>
      </c>
      <c r="D1982" s="1">
        <f>'Claims Data'!D1982</f>
        <v>45225</v>
      </c>
      <c r="E1982">
        <f>'Claims Data'!H1982</f>
        <v>6.3</v>
      </c>
      <c r="F1982">
        <f>'Claims Data'!J1982</f>
        <v>483.42</v>
      </c>
      <c r="G1982">
        <f>'Claims Data'!M1982</f>
        <v>0</v>
      </c>
      <c r="H1982" t="b">
        <f>'Claims Data'!L1982</f>
        <v>0</v>
      </c>
      <c r="I1982">
        <f t="shared" si="60"/>
        <v>0</v>
      </c>
      <c r="J1982" t="str">
        <f t="shared" si="61"/>
        <v>Low Risk</v>
      </c>
    </row>
    <row r="1983" spans="1:10" x14ac:dyDescent="0.2">
      <c r="A1983" t="str">
        <f>'Claims Data'!A1983</f>
        <v>CLM01982</v>
      </c>
      <c r="B1983" t="str">
        <f>'Claims Data'!B1983</f>
        <v>PAT0059</v>
      </c>
      <c r="C1983" t="str">
        <f>'Claims Data'!C1983</f>
        <v>PRV0053</v>
      </c>
      <c r="D1983" s="1">
        <f>'Claims Data'!D1983</f>
        <v>45254</v>
      </c>
      <c r="E1983">
        <f>'Claims Data'!H1983</f>
        <v>4.4000000000000004</v>
      </c>
      <c r="F1983">
        <f>'Claims Data'!J1983</f>
        <v>295</v>
      </c>
      <c r="G1983">
        <f>'Claims Data'!M1983</f>
        <v>0</v>
      </c>
      <c r="H1983" t="b">
        <f>'Claims Data'!L1983</f>
        <v>0</v>
      </c>
      <c r="I1983">
        <f t="shared" si="60"/>
        <v>0</v>
      </c>
      <c r="J1983" t="str">
        <f t="shared" si="61"/>
        <v>Low Risk</v>
      </c>
    </row>
    <row r="1984" spans="1:10" x14ac:dyDescent="0.2">
      <c r="A1984" t="str">
        <f>'Claims Data'!A1984</f>
        <v>CLM01983</v>
      </c>
      <c r="B1984" t="str">
        <f>'Claims Data'!B1984</f>
        <v>PAT0120</v>
      </c>
      <c r="C1984" t="str">
        <f>'Claims Data'!C1984</f>
        <v>PRV0055</v>
      </c>
      <c r="D1984" s="1">
        <f>'Claims Data'!D1984</f>
        <v>42548</v>
      </c>
      <c r="E1984">
        <f>'Claims Data'!H1984</f>
        <v>2.4</v>
      </c>
      <c r="F1984">
        <f>'Claims Data'!J1984</f>
        <v>180.55</v>
      </c>
      <c r="G1984" t="str">
        <f>'Claims Data'!M1984</f>
        <v>deceased_patient_billing</v>
      </c>
      <c r="H1984" t="b">
        <f>'Claims Data'!L1984</f>
        <v>1</v>
      </c>
      <c r="I1984">
        <f t="shared" si="60"/>
        <v>10</v>
      </c>
      <c r="J1984" t="str">
        <f t="shared" si="61"/>
        <v>Low Risk</v>
      </c>
    </row>
    <row r="1985" spans="1:10" x14ac:dyDescent="0.2">
      <c r="A1985" t="str">
        <f>'Claims Data'!A1985</f>
        <v>CLM01984</v>
      </c>
      <c r="B1985" t="str">
        <f>'Claims Data'!B1985</f>
        <v>PAT0300</v>
      </c>
      <c r="C1985" t="str">
        <f>'Claims Data'!C1985</f>
        <v>PRV0027</v>
      </c>
      <c r="D1985" s="1">
        <f>'Claims Data'!D1985</f>
        <v>45394</v>
      </c>
      <c r="E1985">
        <f>'Claims Data'!H1985</f>
        <v>6.5</v>
      </c>
      <c r="F1985">
        <f>'Claims Data'!J1985</f>
        <v>243.41</v>
      </c>
      <c r="G1985">
        <f>'Claims Data'!M1985</f>
        <v>0</v>
      </c>
      <c r="H1985" t="b">
        <f>'Claims Data'!L1985</f>
        <v>0</v>
      </c>
      <c r="I1985">
        <f t="shared" si="60"/>
        <v>0</v>
      </c>
      <c r="J1985" t="str">
        <f t="shared" si="61"/>
        <v>Low Risk</v>
      </c>
    </row>
    <row r="1986" spans="1:10" x14ac:dyDescent="0.2">
      <c r="A1986" t="str">
        <f>'Claims Data'!A1986</f>
        <v>CLM01985</v>
      </c>
      <c r="B1986" t="str">
        <f>'Claims Data'!B1986</f>
        <v>PAT0116</v>
      </c>
      <c r="C1986" t="str">
        <f>'Claims Data'!C1986</f>
        <v>PRV0023</v>
      </c>
      <c r="D1986" s="1">
        <f>'Claims Data'!D1986</f>
        <v>45059</v>
      </c>
      <c r="E1986">
        <f>'Claims Data'!H1986</f>
        <v>3.1</v>
      </c>
      <c r="F1986">
        <f>'Claims Data'!J1986</f>
        <v>188.93</v>
      </c>
      <c r="G1986" t="str">
        <f>'Claims Data'!M1986</f>
        <v>duplicate_claim</v>
      </c>
      <c r="H1986" t="b">
        <f>'Claims Data'!L1986</f>
        <v>1</v>
      </c>
      <c r="I1986">
        <f t="shared" si="60"/>
        <v>10</v>
      </c>
      <c r="J1986" t="str">
        <f t="shared" si="61"/>
        <v>Low Risk</v>
      </c>
    </row>
    <row r="1987" spans="1:10" x14ac:dyDescent="0.2">
      <c r="A1987" t="str">
        <f>'Claims Data'!A1987</f>
        <v>CLM01986</v>
      </c>
      <c r="B1987" t="str">
        <f>'Claims Data'!B1987</f>
        <v>PAT0146</v>
      </c>
      <c r="C1987" t="str">
        <f>'Claims Data'!C1987</f>
        <v>PRV0046</v>
      </c>
      <c r="D1987" s="1">
        <f>'Claims Data'!D1987</f>
        <v>45357</v>
      </c>
      <c r="E1987">
        <f>'Claims Data'!H1987</f>
        <v>5.3</v>
      </c>
      <c r="F1987">
        <f>'Claims Data'!J1987</f>
        <v>387.06</v>
      </c>
      <c r="G1987">
        <f>'Claims Data'!M1987</f>
        <v>0</v>
      </c>
      <c r="H1987" t="b">
        <f>'Claims Data'!L1987</f>
        <v>0</v>
      </c>
      <c r="I1987">
        <f t="shared" ref="I1987:I2000" si="62">IF(E1987&gt;16,40,0)+IF(MOD(F1987,250)=0,30,0)+IF(H1987=TRUE,10,0)</f>
        <v>0</v>
      </c>
      <c r="J1987" t="str">
        <f t="shared" ref="J1987:J2000" si="63">IF(I1987&gt;=70,"High Risk",IF(I1987&gt;=30,"Medium Risk","Low Risk"))</f>
        <v>Low Risk</v>
      </c>
    </row>
    <row r="1988" spans="1:10" x14ac:dyDescent="0.2">
      <c r="A1988" t="str">
        <f>'Claims Data'!A1988</f>
        <v>CLM01987</v>
      </c>
      <c r="B1988" t="str">
        <f>'Claims Data'!B1988</f>
        <v>PAT0177</v>
      </c>
      <c r="C1988" t="str">
        <f>'Claims Data'!C1988</f>
        <v>PRV0014</v>
      </c>
      <c r="D1988" s="1">
        <f>'Claims Data'!D1988</f>
        <v>44936</v>
      </c>
      <c r="E1988">
        <f>'Claims Data'!H1988</f>
        <v>26.8</v>
      </c>
      <c r="F1988">
        <f>'Claims Data'!J1988</f>
        <v>1000</v>
      </c>
      <c r="G1988" t="str">
        <f>'Claims Data'!M1988</f>
        <v>phantom_round_amount</v>
      </c>
      <c r="H1988" t="b">
        <f>'Claims Data'!L1988</f>
        <v>1</v>
      </c>
      <c r="I1988">
        <f t="shared" si="62"/>
        <v>80</v>
      </c>
      <c r="J1988" t="str">
        <f t="shared" si="63"/>
        <v>High Risk</v>
      </c>
    </row>
    <row r="1989" spans="1:10" x14ac:dyDescent="0.2">
      <c r="A1989" t="str">
        <f>'Claims Data'!A1989</f>
        <v>CLM01988</v>
      </c>
      <c r="B1989" t="str">
        <f>'Claims Data'!B1989</f>
        <v>PAT0088</v>
      </c>
      <c r="C1989" t="str">
        <f>'Claims Data'!C1989</f>
        <v>PRV0049</v>
      </c>
      <c r="D1989" s="1">
        <f>'Claims Data'!D1989</f>
        <v>45142</v>
      </c>
      <c r="E1989">
        <f>'Claims Data'!H1989</f>
        <v>5.4</v>
      </c>
      <c r="F1989">
        <f>'Claims Data'!J1989</f>
        <v>410.87</v>
      </c>
      <c r="G1989">
        <f>'Claims Data'!M1989</f>
        <v>0</v>
      </c>
      <c r="H1989" t="b">
        <f>'Claims Data'!L1989</f>
        <v>0</v>
      </c>
      <c r="I1989">
        <f t="shared" si="62"/>
        <v>0</v>
      </c>
      <c r="J1989" t="str">
        <f t="shared" si="63"/>
        <v>Low Risk</v>
      </c>
    </row>
    <row r="1990" spans="1:10" x14ac:dyDescent="0.2">
      <c r="A1990" t="str">
        <f>'Claims Data'!A1990</f>
        <v>CLM01989</v>
      </c>
      <c r="B1990" t="str">
        <f>'Claims Data'!B1990</f>
        <v>PAT0050</v>
      </c>
      <c r="C1990" t="str">
        <f>'Claims Data'!C1990</f>
        <v>PRV0045</v>
      </c>
      <c r="D1990" s="1">
        <f>'Claims Data'!D1990</f>
        <v>45150</v>
      </c>
      <c r="E1990">
        <f>'Claims Data'!H1990</f>
        <v>7.9</v>
      </c>
      <c r="F1990">
        <f>'Claims Data'!J1990</f>
        <v>437.41</v>
      </c>
      <c r="G1990">
        <f>'Claims Data'!M1990</f>
        <v>0</v>
      </c>
      <c r="H1990" t="b">
        <f>'Claims Data'!L1990</f>
        <v>0</v>
      </c>
      <c r="I1990">
        <f t="shared" si="62"/>
        <v>0</v>
      </c>
      <c r="J1990" t="str">
        <f t="shared" si="63"/>
        <v>Low Risk</v>
      </c>
    </row>
    <row r="1991" spans="1:10" x14ac:dyDescent="0.2">
      <c r="A1991" t="str">
        <f>'Claims Data'!A1991</f>
        <v>CLM01990</v>
      </c>
      <c r="B1991" t="str">
        <f>'Claims Data'!B1991</f>
        <v>PAT0212</v>
      </c>
      <c r="C1991" t="str">
        <f>'Claims Data'!C1991</f>
        <v>PRV0003</v>
      </c>
      <c r="D1991" s="1">
        <f>'Claims Data'!D1991</f>
        <v>45549</v>
      </c>
      <c r="E1991">
        <f>'Claims Data'!H1991</f>
        <v>4.5</v>
      </c>
      <c r="F1991">
        <f>'Claims Data'!J1991</f>
        <v>367.71</v>
      </c>
      <c r="G1991">
        <f>'Claims Data'!M1991</f>
        <v>0</v>
      </c>
      <c r="H1991" t="b">
        <f>'Claims Data'!L1991</f>
        <v>0</v>
      </c>
      <c r="I1991">
        <f t="shared" si="62"/>
        <v>0</v>
      </c>
      <c r="J1991" t="str">
        <f t="shared" si="63"/>
        <v>Low Risk</v>
      </c>
    </row>
    <row r="1992" spans="1:10" x14ac:dyDescent="0.2">
      <c r="A1992" t="str">
        <f>'Claims Data'!A1992</f>
        <v>CLM01991</v>
      </c>
      <c r="B1992" t="str">
        <f>'Claims Data'!B1992</f>
        <v>PAT0102</v>
      </c>
      <c r="C1992" t="str">
        <f>'Claims Data'!C1992</f>
        <v>PRV0047</v>
      </c>
      <c r="D1992" s="1">
        <f>'Claims Data'!D1992</f>
        <v>45428</v>
      </c>
      <c r="E1992">
        <f>'Claims Data'!H1992</f>
        <v>3.8</v>
      </c>
      <c r="F1992">
        <f>'Claims Data'!J1992</f>
        <v>310.74</v>
      </c>
      <c r="G1992">
        <f>'Claims Data'!M1992</f>
        <v>0</v>
      </c>
      <c r="H1992" t="b">
        <f>'Claims Data'!L1992</f>
        <v>0</v>
      </c>
      <c r="I1992">
        <f t="shared" si="62"/>
        <v>0</v>
      </c>
      <c r="J1992" t="str">
        <f t="shared" si="63"/>
        <v>Low Risk</v>
      </c>
    </row>
    <row r="1993" spans="1:10" x14ac:dyDescent="0.2">
      <c r="A1993" t="str">
        <f>'Claims Data'!A1993</f>
        <v>CLM01992</v>
      </c>
      <c r="B1993" t="str">
        <f>'Claims Data'!B1993</f>
        <v>PAT0150</v>
      </c>
      <c r="C1993" t="str">
        <f>'Claims Data'!C1993</f>
        <v>PRV0036</v>
      </c>
      <c r="D1993" s="1">
        <f>'Claims Data'!D1993</f>
        <v>45652</v>
      </c>
      <c r="E1993">
        <f>'Claims Data'!H1993</f>
        <v>6</v>
      </c>
      <c r="F1993">
        <f>'Claims Data'!J1993</f>
        <v>310.17</v>
      </c>
      <c r="G1993">
        <f>'Claims Data'!M1993</f>
        <v>0</v>
      </c>
      <c r="H1993" t="b">
        <f>'Claims Data'!L1993</f>
        <v>0</v>
      </c>
      <c r="I1993">
        <f t="shared" si="62"/>
        <v>0</v>
      </c>
      <c r="J1993" t="str">
        <f t="shared" si="63"/>
        <v>Low Risk</v>
      </c>
    </row>
    <row r="1994" spans="1:10" x14ac:dyDescent="0.2">
      <c r="A1994" t="str">
        <f>'Claims Data'!A1994</f>
        <v>CLM01993</v>
      </c>
      <c r="B1994" t="str">
        <f>'Claims Data'!B1994</f>
        <v>PAT0144</v>
      </c>
      <c r="C1994" t="str">
        <f>'Claims Data'!C1994</f>
        <v>PRV0053</v>
      </c>
      <c r="D1994" s="1">
        <f>'Claims Data'!D1994</f>
        <v>44931</v>
      </c>
      <c r="E1994">
        <f>'Claims Data'!H1994</f>
        <v>6.2</v>
      </c>
      <c r="F1994">
        <f>'Claims Data'!J1994</f>
        <v>349.43</v>
      </c>
      <c r="G1994">
        <f>'Claims Data'!M1994</f>
        <v>0</v>
      </c>
      <c r="H1994" t="b">
        <f>'Claims Data'!L1994</f>
        <v>0</v>
      </c>
      <c r="I1994">
        <f t="shared" si="62"/>
        <v>0</v>
      </c>
      <c r="J1994" t="str">
        <f t="shared" si="63"/>
        <v>Low Risk</v>
      </c>
    </row>
    <row r="1995" spans="1:10" x14ac:dyDescent="0.2">
      <c r="A1995" t="str">
        <f>'Claims Data'!A1995</f>
        <v>CLM01994</v>
      </c>
      <c r="B1995" t="str">
        <f>'Claims Data'!B1995</f>
        <v>PAT0289</v>
      </c>
      <c r="C1995" t="str">
        <f>'Claims Data'!C1995</f>
        <v>PRV0050</v>
      </c>
      <c r="D1995" s="1">
        <f>'Claims Data'!D1995</f>
        <v>45239</v>
      </c>
      <c r="E1995">
        <f>'Claims Data'!H1995</f>
        <v>6.1</v>
      </c>
      <c r="F1995">
        <f>'Claims Data'!J1995</f>
        <v>395.02</v>
      </c>
      <c r="G1995">
        <f>'Claims Data'!M1995</f>
        <v>0</v>
      </c>
      <c r="H1995" t="b">
        <f>'Claims Data'!L1995</f>
        <v>0</v>
      </c>
      <c r="I1995">
        <f t="shared" si="62"/>
        <v>0</v>
      </c>
      <c r="J1995" t="str">
        <f t="shared" si="63"/>
        <v>Low Risk</v>
      </c>
    </row>
    <row r="1996" spans="1:10" x14ac:dyDescent="0.2">
      <c r="A1996" t="str">
        <f>'Claims Data'!A1996</f>
        <v>CLM01995</v>
      </c>
      <c r="B1996" t="str">
        <f>'Claims Data'!B1996</f>
        <v>PAT0123</v>
      </c>
      <c r="C1996" t="str">
        <f>'Claims Data'!C1996</f>
        <v>PRV0034</v>
      </c>
      <c r="D1996" s="1">
        <f>'Claims Data'!D1996</f>
        <v>45011</v>
      </c>
      <c r="E1996">
        <f>'Claims Data'!H1996</f>
        <v>2.2000000000000002</v>
      </c>
      <c r="F1996">
        <f>'Claims Data'!J1996</f>
        <v>73.7</v>
      </c>
      <c r="G1996">
        <f>'Claims Data'!M1996</f>
        <v>0</v>
      </c>
      <c r="H1996" t="b">
        <f>'Claims Data'!L1996</f>
        <v>0</v>
      </c>
      <c r="I1996">
        <f t="shared" si="62"/>
        <v>0</v>
      </c>
      <c r="J1996" t="str">
        <f t="shared" si="63"/>
        <v>Low Risk</v>
      </c>
    </row>
    <row r="1997" spans="1:10" x14ac:dyDescent="0.2">
      <c r="A1997" t="str">
        <f>'Claims Data'!A1997</f>
        <v>CLM01996</v>
      </c>
      <c r="B1997" t="str">
        <f>'Claims Data'!B1997</f>
        <v>PAT0189</v>
      </c>
      <c r="C1997" t="str">
        <f>'Claims Data'!C1997</f>
        <v>PRV0037</v>
      </c>
      <c r="D1997" s="1">
        <f>'Claims Data'!D1997</f>
        <v>45179</v>
      </c>
      <c r="E1997">
        <f>'Claims Data'!H1997</f>
        <v>17.7</v>
      </c>
      <c r="F1997">
        <f>'Claims Data'!J1997</f>
        <v>671.89</v>
      </c>
      <c r="G1997" t="str">
        <f>'Claims Data'!M1997</f>
        <v>inflated_hours</v>
      </c>
      <c r="H1997" t="b">
        <f>'Claims Data'!L1997</f>
        <v>1</v>
      </c>
      <c r="I1997">
        <f t="shared" si="62"/>
        <v>50</v>
      </c>
      <c r="J1997" t="str">
        <f t="shared" si="63"/>
        <v>Medium Risk</v>
      </c>
    </row>
    <row r="1998" spans="1:10" x14ac:dyDescent="0.2">
      <c r="A1998" t="str">
        <f>'Claims Data'!A1998</f>
        <v>CLM01997</v>
      </c>
      <c r="B1998" t="str">
        <f>'Claims Data'!B1998</f>
        <v>PAT0092</v>
      </c>
      <c r="C1998" t="str">
        <f>'Claims Data'!C1998</f>
        <v>PRV0036</v>
      </c>
      <c r="D1998" s="1">
        <f>'Claims Data'!D1998</f>
        <v>45351</v>
      </c>
      <c r="E1998">
        <f>'Claims Data'!H1998</f>
        <v>2.8</v>
      </c>
      <c r="F1998">
        <f>'Claims Data'!J1998</f>
        <v>174.55</v>
      </c>
      <c r="G1998">
        <f>'Claims Data'!M1998</f>
        <v>0</v>
      </c>
      <c r="H1998" t="b">
        <f>'Claims Data'!L1998</f>
        <v>0</v>
      </c>
      <c r="I1998">
        <f t="shared" si="62"/>
        <v>0</v>
      </c>
      <c r="J1998" t="str">
        <f t="shared" si="63"/>
        <v>Low Risk</v>
      </c>
    </row>
    <row r="1999" spans="1:10" x14ac:dyDescent="0.2">
      <c r="A1999" t="str">
        <f>'Claims Data'!A1999</f>
        <v>CLM01998</v>
      </c>
      <c r="B1999" t="str">
        <f>'Claims Data'!B1999</f>
        <v>PAT0050</v>
      </c>
      <c r="C1999" t="str">
        <f>'Claims Data'!C1999</f>
        <v>PRV0052</v>
      </c>
      <c r="D1999" s="1">
        <f>'Claims Data'!D1999</f>
        <v>45364</v>
      </c>
      <c r="E1999">
        <f>'Claims Data'!H1999</f>
        <v>3.6</v>
      </c>
      <c r="F1999">
        <f>'Claims Data'!J1999</f>
        <v>230.35</v>
      </c>
      <c r="G1999">
        <f>'Claims Data'!M1999</f>
        <v>0</v>
      </c>
      <c r="H1999" t="b">
        <f>'Claims Data'!L1999</f>
        <v>0</v>
      </c>
      <c r="I1999">
        <f t="shared" si="62"/>
        <v>0</v>
      </c>
      <c r="J1999" t="str">
        <f t="shared" si="63"/>
        <v>Low Risk</v>
      </c>
    </row>
    <row r="2000" spans="1:10" x14ac:dyDescent="0.2">
      <c r="A2000" t="str">
        <f>'Claims Data'!A2000</f>
        <v>CLM01999</v>
      </c>
      <c r="B2000" t="str">
        <f>'Claims Data'!B2000</f>
        <v>PAT0263</v>
      </c>
      <c r="C2000" t="str">
        <f>'Claims Data'!C2000</f>
        <v>PRV0018</v>
      </c>
      <c r="D2000" s="1">
        <f>'Claims Data'!D2000</f>
        <v>45009</v>
      </c>
      <c r="E2000">
        <f>'Claims Data'!H2000</f>
        <v>4.7</v>
      </c>
      <c r="F2000">
        <f>'Claims Data'!J2000</f>
        <v>383.92</v>
      </c>
      <c r="G2000">
        <f>'Claims Data'!M2000</f>
        <v>0</v>
      </c>
      <c r="H2000" t="b">
        <f>'Claims Data'!L2000</f>
        <v>0</v>
      </c>
      <c r="I2000">
        <f t="shared" si="62"/>
        <v>0</v>
      </c>
      <c r="J2000" t="str">
        <f t="shared" si="63"/>
        <v>Low Risk</v>
      </c>
    </row>
    <row r="2001" spans="10:10" x14ac:dyDescent="0.2">
      <c r="J2001" t="str">
        <f>IF(I2001&gt;=70,"High Risk",IF(I2001&gt;=30,"Medium Risk","Low Risk"))</f>
        <v>Low Risk</v>
      </c>
    </row>
  </sheetData>
  <conditionalFormatting sqref="J2:J2001">
    <cfRule type="containsText" dxfId="3" priority="1" operator="containsText" text="Medium Risk">
      <formula>NOT(ISERROR(SEARCH("Medium Risk",J2)))</formula>
    </cfRule>
    <cfRule type="containsText" dxfId="2" priority="2" operator="containsText" text="Low Risk">
      <formula>NOT(ISERROR(SEARCH("Low Risk",J2)))</formula>
    </cfRule>
    <cfRule type="containsText" dxfId="1" priority="3" operator="containsText" text="Medium Risk">
      <formula>NOT(ISERROR(SEARCH("Medium Risk",J2)))</formula>
    </cfRule>
    <cfRule type="containsText" dxfId="0" priority="4" operator="containsText" text="High Risk">
      <formula>NOT(ISERROR(SEARCH("High Risk",J2)))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C1EB-15B6-404A-B194-6712765D54E0}">
  <dimension ref="A1:B8"/>
  <sheetViews>
    <sheetView workbookViewId="0">
      <selection activeCell="B8" sqref="B8"/>
    </sheetView>
  </sheetViews>
  <sheetFormatPr baseColWidth="10" defaultRowHeight="16" x14ac:dyDescent="0.2"/>
  <cols>
    <col min="1" max="1" width="16.83203125" customWidth="1"/>
    <col min="2" max="2" width="12.5" bestFit="1" customWidth="1"/>
  </cols>
  <sheetData>
    <row r="1" spans="1:2" ht="21" x14ac:dyDescent="0.25">
      <c r="A1" s="12" t="s">
        <v>2441</v>
      </c>
    </row>
    <row r="2" spans="1:2" ht="13" customHeight="1" thickBot="1" x14ac:dyDescent="0.25"/>
    <row r="3" spans="1:2" ht="18" thickTop="1" x14ac:dyDescent="0.25">
      <c r="A3" s="15" t="s">
        <v>2442</v>
      </c>
      <c r="B3">
        <f>COUNTA('Claims Data'!A:A)-1</f>
        <v>2000</v>
      </c>
    </row>
    <row r="4" spans="1:2" x14ac:dyDescent="0.2">
      <c r="A4" s="16" t="s">
        <v>2446</v>
      </c>
      <c r="B4">
        <f>COUNTIF('Claims Data'!L:L,TRUE)</f>
        <v>300</v>
      </c>
    </row>
    <row r="5" spans="1:2" x14ac:dyDescent="0.2">
      <c r="A5" s="16" t="s">
        <v>2443</v>
      </c>
      <c r="B5" s="14">
        <f>SUMIF('Claims Data'!L:L,TRUE,'Claims Data'!J:J)</f>
        <v>271339.94999999995</v>
      </c>
    </row>
    <row r="6" spans="1:2" x14ac:dyDescent="0.2">
      <c r="A6" s="16" t="s">
        <v>2444</v>
      </c>
      <c r="B6" s="13">
        <f>B4/B3</f>
        <v>0.15</v>
      </c>
    </row>
    <row r="7" spans="1:2" ht="17" thickBot="1" x14ac:dyDescent="0.25">
      <c r="A7" s="17" t="s">
        <v>2445</v>
      </c>
      <c r="B7">
        <v>58</v>
      </c>
    </row>
    <row r="8" spans="1:2" ht="17" thickTop="1" x14ac:dyDescent="0.2"/>
  </sheetData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Claims Data</vt:lpstr>
      <vt:lpstr>Risk Rules</vt:lpstr>
      <vt:lpstr>Scored Claims</vt:lpstr>
      <vt:lpstr>Summary Dashboard</vt:lpstr>
      <vt:lpstr>'Claims Data'!claims_raw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Srivastava</dc:creator>
  <cp:lastModifiedBy>Pooja Srivastava</cp:lastModifiedBy>
  <cp:lastPrinted>2026-05-07T01:15:07Z</cp:lastPrinted>
  <dcterms:created xsi:type="dcterms:W3CDTF">2026-05-06T19:57:54Z</dcterms:created>
  <dcterms:modified xsi:type="dcterms:W3CDTF">2026-05-07T01:30:12Z</dcterms:modified>
</cp:coreProperties>
</file>